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CEDEARs" sheetId="2" r:id="rId5"/>
    <sheet state="visible" name="ONs" sheetId="3" r:id="rId6"/>
    <sheet state="visible" name="FCIs" sheetId="4" r:id="rId7"/>
    <sheet state="visible" name="Bonds" sheetId="5" r:id="rId8"/>
    <sheet state="visible" name="CCLHistory" sheetId="6" r:id="rId9"/>
    <sheet state="visible" name="MEPHistory" sheetId="7" r:id="rId10"/>
    <sheet state="visible" name="Cryptos" sheetId="8" r:id="rId11"/>
    <sheet state="visible" name="Config" sheetId="9" r:id="rId12"/>
    <sheet state="visible" name="DataImports" sheetId="10" r:id="rId13"/>
  </sheets>
  <definedNames>
    <definedName hidden="1" localSheetId="1" name="_xlnm._FilterDatabase">CEDEARs!$A$1:$U$84</definedName>
  </definedNames>
  <calcPr/>
</workbook>
</file>

<file path=xl/sharedStrings.xml><?xml version="1.0" encoding="utf-8"?>
<sst xmlns="http://schemas.openxmlformats.org/spreadsheetml/2006/main" count="7619" uniqueCount="3944">
  <si>
    <t>TOTALS</t>
  </si>
  <si>
    <t>EARNINGS</t>
  </si>
  <si>
    <t>Type</t>
  </si>
  <si>
    <t>Total Open</t>
  </si>
  <si>
    <t>%Portfolio</t>
  </si>
  <si>
    <t>% Open</t>
  </si>
  <si>
    <t>CASH</t>
  </si>
  <si>
    <t>CEDEAR</t>
  </si>
  <si>
    <t>BOND</t>
  </si>
  <si>
    <t>ON</t>
  </si>
  <si>
    <t>FCI</t>
  </si>
  <si>
    <t>Crypto</t>
  </si>
  <si>
    <t>Total U$D</t>
  </si>
  <si>
    <t>a</t>
  </si>
  <si>
    <t>ID</t>
  </si>
  <si>
    <t>Ticker</t>
  </si>
  <si>
    <t>Apertura</t>
  </si>
  <si>
    <t>Estado</t>
  </si>
  <si>
    <t>Cierre</t>
  </si>
  <si>
    <t>Dias</t>
  </si>
  <si>
    <t>Moneda</t>
  </si>
  <si>
    <t>Unidades</t>
  </si>
  <si>
    <t>Valor Compra</t>
  </si>
  <si>
    <t xml:space="preserve">Valor Venta </t>
  </si>
  <si>
    <t>Valor Actual</t>
  </si>
  <si>
    <t>Total Compra</t>
  </si>
  <si>
    <t>CCL Compra</t>
  </si>
  <si>
    <t>TC USD</t>
  </si>
  <si>
    <t>Total Venta</t>
  </si>
  <si>
    <t>CCL Venta</t>
  </si>
  <si>
    <t>TV USD</t>
  </si>
  <si>
    <t>GAN USD%</t>
  </si>
  <si>
    <t>GAN USD</t>
  </si>
  <si>
    <t>Ganancias (%)</t>
  </si>
  <si>
    <t>Ganancias Bruta</t>
  </si>
  <si>
    <t>CEDEAR Ticker</t>
  </si>
  <si>
    <t>% Cartera</t>
  </si>
  <si>
    <t>PPC</t>
  </si>
  <si>
    <t>Total (Abierto)</t>
  </si>
  <si>
    <t>Ganancias Tot</t>
  </si>
  <si>
    <t>IOL</t>
  </si>
  <si>
    <t>AAPL</t>
  </si>
  <si>
    <t>ABIERTA</t>
  </si>
  <si>
    <t>PESOS</t>
  </si>
  <si>
    <t>USD</t>
  </si>
  <si>
    <t>KO</t>
  </si>
  <si>
    <t>DISN</t>
  </si>
  <si>
    <t>DIA</t>
  </si>
  <si>
    <t>SPY</t>
  </si>
  <si>
    <t>JNJ</t>
  </si>
  <si>
    <t>BRKB</t>
  </si>
  <si>
    <t>HMY</t>
  </si>
  <si>
    <t>INTC</t>
  </si>
  <si>
    <t>MELI</t>
  </si>
  <si>
    <t>MSFT</t>
  </si>
  <si>
    <t>SPOT</t>
  </si>
  <si>
    <t>WMT</t>
  </si>
  <si>
    <t>Total Abierto</t>
  </si>
  <si>
    <t>Total Acumulado</t>
  </si>
  <si>
    <t>Ganancia Abierto</t>
  </si>
  <si>
    <t>Ganancia Acumulada</t>
  </si>
  <si>
    <t>CERRADA</t>
  </si>
  <si>
    <t>(%)</t>
  </si>
  <si>
    <t>10/30/23</t>
  </si>
  <si>
    <t>Valor Actual USD</t>
  </si>
  <si>
    <t>MEP Compra</t>
  </si>
  <si>
    <t>MEP Venta</t>
  </si>
  <si>
    <t>ONs</t>
  </si>
  <si>
    <t>MTCGO</t>
  </si>
  <si>
    <t>IRCFO</t>
  </si>
  <si>
    <t>YMCIO</t>
  </si>
  <si>
    <t>YMCID</t>
  </si>
  <si>
    <t>DOLARES</t>
  </si>
  <si>
    <t>Config Gráficas</t>
  </si>
  <si>
    <t>Tipo</t>
  </si>
  <si>
    <t>column</t>
  </si>
  <si>
    <t>Días</t>
  </si>
  <si>
    <t>FCIs</t>
  </si>
  <si>
    <t xml:space="preserve">CONIOLA </t>
  </si>
  <si>
    <t>Simbolo</t>
  </si>
  <si>
    <t>Valor Actual $</t>
  </si>
  <si>
    <t>Total Compra $</t>
  </si>
  <si>
    <t>Total Venta $</t>
  </si>
  <si>
    <t>Gan. $%</t>
  </si>
  <si>
    <t>Ganancia $</t>
  </si>
  <si>
    <t>PPC USD</t>
  </si>
  <si>
    <t>T. Ab USD</t>
  </si>
  <si>
    <t>T. Ab</t>
  </si>
  <si>
    <t>Gan. USD (%)</t>
  </si>
  <si>
    <t>Gan. Pesos %</t>
  </si>
  <si>
    <t>Gan. Tot. USD</t>
  </si>
  <si>
    <t>Gan. Tot. Pesos</t>
  </si>
  <si>
    <t>BONOS USD</t>
  </si>
  <si>
    <t>AL30D</t>
  </si>
  <si>
    <t>Dolars</t>
  </si>
  <si>
    <t>Pesos</t>
  </si>
  <si>
    <t>CCL</t>
  </si>
  <si>
    <t>Fecha</t>
  </si>
  <si>
    <t>391,279</t>
  </si>
  <si>
    <t>393,158</t>
  </si>
  <si>
    <t>389,342</t>
  </si>
  <si>
    <t>389,512</t>
  </si>
  <si>
    <t>391,014</t>
  </si>
  <si>
    <t>392,048</t>
  </si>
  <si>
    <t>385,003</t>
  </si>
  <si>
    <t>387,126</t>
  </si>
  <si>
    <t>3,8994</t>
  </si>
  <si>
    <t>386,548</t>
  </si>
  <si>
    <t>386,787</t>
  </si>
  <si>
    <t>385,505</t>
  </si>
  <si>
    <t>391,539</t>
  </si>
  <si>
    <t>387,578</t>
  </si>
  <si>
    <t>393,548</t>
  </si>
  <si>
    <t>394,962</t>
  </si>
  <si>
    <t>3,8882</t>
  </si>
  <si>
    <t>399,199</t>
  </si>
  <si>
    <t>398,551</t>
  </si>
  <si>
    <t>393,636</t>
  </si>
  <si>
    <t>393,832</t>
  </si>
  <si>
    <t>392,726</t>
  </si>
  <si>
    <t>391,477</t>
  </si>
  <si>
    <t>392,045</t>
  </si>
  <si>
    <t>396,552</t>
  </si>
  <si>
    <t>396,271</t>
  </si>
  <si>
    <t>389,532</t>
  </si>
  <si>
    <t>391,185</t>
  </si>
  <si>
    <t>385,667</t>
  </si>
  <si>
    <t>393,182</t>
  </si>
  <si>
    <t>396,296</t>
  </si>
  <si>
    <t>395,341</t>
  </si>
  <si>
    <t>394,944</t>
  </si>
  <si>
    <t>394,102</t>
  </si>
  <si>
    <t>391,234</t>
  </si>
  <si>
    <t>392,262</t>
  </si>
  <si>
    <t>393,018</t>
  </si>
  <si>
    <t>395,071</t>
  </si>
  <si>
    <t>389,757</t>
  </si>
  <si>
    <t>390,261</t>
  </si>
  <si>
    <t>395,386</t>
  </si>
  <si>
    <t>391,664</t>
  </si>
  <si>
    <t>397,275</t>
  </si>
  <si>
    <t>389,691</t>
  </si>
  <si>
    <t>386,186</t>
  </si>
  <si>
    <t>397,665</t>
  </si>
  <si>
    <t>397,655</t>
  </si>
  <si>
    <t>396,681</t>
  </si>
  <si>
    <t>396,748</t>
  </si>
  <si>
    <t>402,028</t>
  </si>
  <si>
    <t>400,942</t>
  </si>
  <si>
    <t>397,949</t>
  </si>
  <si>
    <t>3,9697</t>
  </si>
  <si>
    <t>401,786</t>
  </si>
  <si>
    <t>400,508</t>
  </si>
  <si>
    <t>402,051</t>
  </si>
  <si>
    <t>403,601</t>
  </si>
  <si>
    <t>405,361</t>
  </si>
  <si>
    <t>403,814</t>
  </si>
  <si>
    <t>411,733</t>
  </si>
  <si>
    <t>408,995</t>
  </si>
  <si>
    <t>413,263</t>
  </si>
  <si>
    <t>410,966</t>
  </si>
  <si>
    <t>411,518</t>
  </si>
  <si>
    <t>413,158</t>
  </si>
  <si>
    <t>416,316</t>
  </si>
  <si>
    <t>419,098</t>
  </si>
  <si>
    <t>4,2</t>
  </si>
  <si>
    <t>423,936</t>
  </si>
  <si>
    <t>420,635</t>
  </si>
  <si>
    <t>419,271</t>
  </si>
  <si>
    <t>420,187</t>
  </si>
  <si>
    <t>421,503</t>
  </si>
  <si>
    <t>422,461</t>
  </si>
  <si>
    <t>421,684</t>
  </si>
  <si>
    <t>423,617</t>
  </si>
  <si>
    <t>4,2082</t>
  </si>
  <si>
    <t>420,681</t>
  </si>
  <si>
    <t>421,036</t>
  </si>
  <si>
    <t>421,031</t>
  </si>
  <si>
    <t>418,581</t>
  </si>
  <si>
    <t>4,1299</t>
  </si>
  <si>
    <t>4,1478</t>
  </si>
  <si>
    <t>420,545</t>
  </si>
  <si>
    <t>421,025</t>
  </si>
  <si>
    <t>418,653</t>
  </si>
  <si>
    <t>422,373</t>
  </si>
  <si>
    <t>423,081</t>
  </si>
  <si>
    <t>423,579</t>
  </si>
  <si>
    <t>423,238</t>
  </si>
  <si>
    <t>423,896</t>
  </si>
  <si>
    <t>426,423</t>
  </si>
  <si>
    <t>426,804</t>
  </si>
  <si>
    <t>435,221</t>
  </si>
  <si>
    <t>4,3551</t>
  </si>
  <si>
    <t>442,051</t>
  </si>
  <si>
    <t>446,058</t>
  </si>
  <si>
    <t>434,367</t>
  </si>
  <si>
    <t>4,3299</t>
  </si>
  <si>
    <t>432,474</t>
  </si>
  <si>
    <t>434,917</t>
  </si>
  <si>
    <t>431,224</t>
  </si>
  <si>
    <t>431,756</t>
  </si>
  <si>
    <t>424,413</t>
  </si>
  <si>
    <t>422,727</t>
  </si>
  <si>
    <t>420,641</t>
  </si>
  <si>
    <t>4,2025</t>
  </si>
  <si>
    <t>423,116</t>
  </si>
  <si>
    <t>424,197</t>
  </si>
  <si>
    <t>424,121</t>
  </si>
  <si>
    <t>422,864</t>
  </si>
  <si>
    <t>424,181</t>
  </si>
  <si>
    <t>423,193</t>
  </si>
  <si>
    <t>423,848</t>
  </si>
  <si>
    <t>4,2485</t>
  </si>
  <si>
    <t>422,056</t>
  </si>
  <si>
    <t>418,657</t>
  </si>
  <si>
    <t>426,507</t>
  </si>
  <si>
    <t>425,935</t>
  </si>
  <si>
    <t>4,2672</t>
  </si>
  <si>
    <t>429,723</t>
  </si>
  <si>
    <t>437,949</t>
  </si>
  <si>
    <t>426,735</t>
  </si>
  <si>
    <t>4,3201</t>
  </si>
  <si>
    <t>432,558</t>
  </si>
  <si>
    <t>433,679</t>
  </si>
  <si>
    <t>433,419</t>
  </si>
  <si>
    <t>431,897</t>
  </si>
  <si>
    <t>435,567</t>
  </si>
  <si>
    <t>434,197</t>
  </si>
  <si>
    <t>440,475</t>
  </si>
  <si>
    <t>440,526</t>
  </si>
  <si>
    <t>437,403</t>
  </si>
  <si>
    <t>4,4151</t>
  </si>
  <si>
    <t>443,005</t>
  </si>
  <si>
    <t>442,894</t>
  </si>
  <si>
    <t>438,755</t>
  </si>
  <si>
    <t>448,438</t>
  </si>
  <si>
    <t>449,323</t>
  </si>
  <si>
    <t>453,931</t>
  </si>
  <si>
    <t>4,5681</t>
  </si>
  <si>
    <t>461,001</t>
  </si>
  <si>
    <t>462,473</t>
  </si>
  <si>
    <t>461,708</t>
  </si>
  <si>
    <t>467,865</t>
  </si>
  <si>
    <t>460,387</t>
  </si>
  <si>
    <t>465,121</t>
  </si>
  <si>
    <t>467,516</t>
  </si>
  <si>
    <t>469,096</t>
  </si>
  <si>
    <t>4,6747</t>
  </si>
  <si>
    <t>464,863</t>
  </si>
  <si>
    <t>4,6303</t>
  </si>
  <si>
    <t>452,663</t>
  </si>
  <si>
    <t>453,488</t>
  </si>
  <si>
    <t>456,818</t>
  </si>
  <si>
    <t>474,432</t>
  </si>
  <si>
    <t>4,7563</t>
  </si>
  <si>
    <t>475,312</t>
  </si>
  <si>
    <t>472,316</t>
  </si>
  <si>
    <t>471,709</t>
  </si>
  <si>
    <t>485,519</t>
  </si>
  <si>
    <t>506,111</t>
  </si>
  <si>
    <t>4,8427</t>
  </si>
  <si>
    <t>465,922</t>
  </si>
  <si>
    <t>472,527</t>
  </si>
  <si>
    <t>475,138</t>
  </si>
  <si>
    <t>471,226</t>
  </si>
  <si>
    <t>480,337</t>
  </si>
  <si>
    <t>478,258</t>
  </si>
  <si>
    <t>458,082</t>
  </si>
  <si>
    <t>460,773</t>
  </si>
  <si>
    <t>439,011</t>
  </si>
  <si>
    <t>460,511</t>
  </si>
  <si>
    <t>459,101</t>
  </si>
  <si>
    <t>467,416</t>
  </si>
  <si>
    <t>465,295</t>
  </si>
  <si>
    <t>472,222</t>
  </si>
  <si>
    <t>460,541</t>
  </si>
  <si>
    <t>466,188</t>
  </si>
  <si>
    <t>467,391</t>
  </si>
  <si>
    <t>467,892</t>
  </si>
  <si>
    <t>460,741</t>
  </si>
  <si>
    <t>464,249</t>
  </si>
  <si>
    <t>467,357</t>
  </si>
  <si>
    <t>4,6875</t>
  </si>
  <si>
    <t>465,285</t>
  </si>
  <si>
    <t>472,208</t>
  </si>
  <si>
    <t>472,727</t>
  </si>
  <si>
    <t>4,6056</t>
  </si>
  <si>
    <t>464,975</t>
  </si>
  <si>
    <t>472,872</t>
  </si>
  <si>
    <t>481,633</t>
  </si>
  <si>
    <t>477,157</t>
  </si>
  <si>
    <t>478,332</t>
  </si>
  <si>
    <t>477,722</t>
  </si>
  <si>
    <t>473,734</t>
  </si>
  <si>
    <t>478,261</t>
  </si>
  <si>
    <t>480,473</t>
  </si>
  <si>
    <t>485,422</t>
  </si>
  <si>
    <t>486,768</t>
  </si>
  <si>
    <t>486,091</t>
  </si>
  <si>
    <t>488,798</t>
  </si>
  <si>
    <t>4,9196</t>
  </si>
  <si>
    <t>4,98</t>
  </si>
  <si>
    <t>4,9875</t>
  </si>
  <si>
    <t>05,06</t>
  </si>
  <si>
    <t>530,108</t>
  </si>
  <si>
    <t>535,699</t>
  </si>
  <si>
    <t>542,437</t>
  </si>
  <si>
    <t>532,937</t>
  </si>
  <si>
    <t>537,127</t>
  </si>
  <si>
    <t>539,891</t>
  </si>
  <si>
    <t>564,756</t>
  </si>
  <si>
    <t>540,556</t>
  </si>
  <si>
    <t>535,359</t>
  </si>
  <si>
    <t>5,4543</t>
  </si>
  <si>
    <t>555,003</t>
  </si>
  <si>
    <t>5,9323</t>
  </si>
  <si>
    <t>609,119</t>
  </si>
  <si>
    <t>596,341</t>
  </si>
  <si>
    <t>612,025</t>
  </si>
  <si>
    <t>617,105</t>
  </si>
  <si>
    <t>631,156</t>
  </si>
  <si>
    <t>622,667</t>
  </si>
  <si>
    <t>617,839</t>
  </si>
  <si>
    <t>607,051</t>
  </si>
  <si>
    <t>611,333</t>
  </si>
  <si>
    <t>650,458</t>
  </si>
  <si>
    <t>650,327</t>
  </si>
  <si>
    <t>664,784</t>
  </si>
  <si>
    <t>665,658</t>
  </si>
  <si>
    <t>666,107</t>
  </si>
  <si>
    <t>665,782</t>
  </si>
  <si>
    <t>672,483</t>
  </si>
  <si>
    <t>659,934</t>
  </si>
  <si>
    <t>653,771</t>
  </si>
  <si>
    <t>656,209</t>
  </si>
  <si>
    <t>655,901</t>
  </si>
  <si>
    <t>663,239</t>
  </si>
  <si>
    <t>675,607</t>
  </si>
  <si>
    <t>668,916</t>
  </si>
  <si>
    <t>701,363</t>
  </si>
  <si>
    <t>685,629</t>
  </si>
  <si>
    <t>696,145</t>
  </si>
  <si>
    <t>682,588</t>
  </si>
  <si>
    <t>677,083</t>
  </si>
  <si>
    <t>674,268</t>
  </si>
  <si>
    <t>680,497</t>
  </si>
  <si>
    <t>6,8494</t>
  </si>
  <si>
    <t>677,647</t>
  </si>
  <si>
    <t>671,454</t>
  </si>
  <si>
    <t>671,453</t>
  </si>
  <si>
    <t>672,303</t>
  </si>
  <si>
    <t>665,521</t>
  </si>
  <si>
    <t>659,297</t>
  </si>
  <si>
    <t>666,286</t>
  </si>
  <si>
    <t>647,191</t>
  </si>
  <si>
    <t>615,301</t>
  </si>
  <si>
    <t>617,033</t>
  </si>
  <si>
    <t>628,729</t>
  </si>
  <si>
    <t>638,674</t>
  </si>
  <si>
    <t>647,645</t>
  </si>
  <si>
    <t>648,859</t>
  </si>
  <si>
    <t>645,414</t>
  </si>
  <si>
    <t>646,993</t>
  </si>
  <si>
    <t>650,847</t>
  </si>
  <si>
    <t>6,4809</t>
  </si>
  <si>
    <t>645,634</t>
  </si>
  <si>
    <t>643,343</t>
  </si>
  <si>
    <t>6488</t>
  </si>
  <si>
    <t>647,727</t>
  </si>
  <si>
    <t>649,432</t>
  </si>
  <si>
    <t>657,143</t>
  </si>
  <si>
    <t>652,027</t>
  </si>
  <si>
    <t>646,667</t>
  </si>
  <si>
    <t>646,896</t>
  </si>
  <si>
    <t>644,983</t>
  </si>
  <si>
    <t>643,753</t>
  </si>
  <si>
    <t>646,674</t>
  </si>
  <si>
    <t>644,397</t>
  </si>
  <si>
    <t>637,234</t>
  </si>
  <si>
    <t>634,817</t>
  </si>
  <si>
    <t>632,395</t>
  </si>
  <si>
    <t>635,356</t>
  </si>
  <si>
    <t>632,604</t>
  </si>
  <si>
    <t>631,135</t>
  </si>
  <si>
    <t>629,147</t>
  </si>
  <si>
    <t>630,546</t>
  </si>
  <si>
    <t>625,405</t>
  </si>
  <si>
    <t>626,757</t>
  </si>
  <si>
    <t>629,919</t>
  </si>
  <si>
    <t>629,015</t>
  </si>
  <si>
    <t>6,2766</t>
  </si>
  <si>
    <t>633,889</t>
  </si>
  <si>
    <t>635,556</t>
  </si>
  <si>
    <t>631,768</t>
  </si>
  <si>
    <t>634,362</t>
  </si>
  <si>
    <t>629,973</t>
  </si>
  <si>
    <t>639,665</t>
  </si>
  <si>
    <t>640,223</t>
  </si>
  <si>
    <t>639,106</t>
  </si>
  <si>
    <t>641,383</t>
  </si>
  <si>
    <t>6,4162</t>
  </si>
  <si>
    <t>639,444</t>
  </si>
  <si>
    <t>639,401</t>
  </si>
  <si>
    <t>6,5731</t>
  </si>
  <si>
    <t>655,294</t>
  </si>
  <si>
    <t>651,105</t>
  </si>
  <si>
    <t>6,6209</t>
  </si>
  <si>
    <t>666,667</t>
  </si>
  <si>
    <t>680,655</t>
  </si>
  <si>
    <t>684,431</t>
  </si>
  <si>
    <t>688,988</t>
  </si>
  <si>
    <t>686,228</t>
  </si>
  <si>
    <t>680,299</t>
  </si>
  <si>
    <t>685,455</t>
  </si>
  <si>
    <t>700,938</t>
  </si>
  <si>
    <t>701,384</t>
  </si>
  <si>
    <t>6,9625</t>
  </si>
  <si>
    <t>6,75</t>
  </si>
  <si>
    <t>680,597</t>
  </si>
  <si>
    <t>6,8125</t>
  </si>
  <si>
    <t>693,082</t>
  </si>
  <si>
    <t>693,325</t>
  </si>
  <si>
    <t>685,732</t>
  </si>
  <si>
    <t>674,118</t>
  </si>
  <si>
    <t>683,402</t>
  </si>
  <si>
    <t>680,814</t>
  </si>
  <si>
    <t>675,505</t>
  </si>
  <si>
    <t>666,571</t>
  </si>
  <si>
    <t>670,224</t>
  </si>
  <si>
    <t>661,781</t>
  </si>
  <si>
    <t>654,167</t>
  </si>
  <si>
    <t>652,234</t>
  </si>
  <si>
    <t>656,906</t>
  </si>
  <si>
    <t>664,088</t>
  </si>
  <si>
    <t>655,135</t>
  </si>
  <si>
    <t>6,4127</t>
  </si>
  <si>
    <t>647,713</t>
  </si>
  <si>
    <t>663,043</t>
  </si>
  <si>
    <t>661,789</t>
  </si>
  <si>
    <t>654,787</t>
  </si>
  <si>
    <t>666,021</t>
  </si>
  <si>
    <t>6,8027</t>
  </si>
  <si>
    <t>677,929</t>
  </si>
  <si>
    <t>6,8895</t>
  </si>
  <si>
    <t>6991</t>
  </si>
  <si>
    <t>702,247</t>
  </si>
  <si>
    <t>708,989</t>
  </si>
  <si>
    <t>718,114</t>
  </si>
  <si>
    <t>715,256</t>
  </si>
  <si>
    <t>720,112</t>
  </si>
  <si>
    <t>729,272</t>
  </si>
  <si>
    <t>7,2933</t>
  </si>
  <si>
    <t>733,146</t>
  </si>
  <si>
    <t>734,831</t>
  </si>
  <si>
    <t>748,262</t>
  </si>
  <si>
    <t>745,892</t>
  </si>
  <si>
    <t>752,278</t>
  </si>
  <si>
    <t>759,195</t>
  </si>
  <si>
    <t>768,391</t>
  </si>
  <si>
    <t>761,364</t>
  </si>
  <si>
    <t>771,023</t>
  </si>
  <si>
    <t>780,114</t>
  </si>
  <si>
    <t>7,83</t>
  </si>
  <si>
    <t>772,831</t>
  </si>
  <si>
    <t>771,347</t>
  </si>
  <si>
    <t>777,143</t>
  </si>
  <si>
    <t>7713</t>
  </si>
  <si>
    <t>777,528</t>
  </si>
  <si>
    <t>767,333</t>
  </si>
  <si>
    <t>773,109</t>
  </si>
  <si>
    <t>7,6838</t>
  </si>
  <si>
    <t>774,432</t>
  </si>
  <si>
    <t>778,409</t>
  </si>
  <si>
    <t>782,212</t>
  </si>
  <si>
    <t>779,661</t>
  </si>
  <si>
    <t>7,82</t>
  </si>
  <si>
    <t>8,0177</t>
  </si>
  <si>
    <t>802,035</t>
  </si>
  <si>
    <t>7,98</t>
  </si>
  <si>
    <t>8,1957</t>
  </si>
  <si>
    <t>801,578</t>
  </si>
  <si>
    <t>818,362</t>
  </si>
  <si>
    <t>824,241</t>
  </si>
  <si>
    <t>827,933</t>
  </si>
  <si>
    <t>832,402</t>
  </si>
  <si>
    <t>837,778</t>
  </si>
  <si>
    <t>846,927</t>
  </si>
  <si>
    <t>8,4234</t>
  </si>
  <si>
    <t>830,084</t>
  </si>
  <si>
    <t>832,667</t>
  </si>
  <si>
    <t>846,667</t>
  </si>
  <si>
    <t>845,251</t>
  </si>
  <si>
    <t>814,286</t>
  </si>
  <si>
    <t>8,2907</t>
  </si>
  <si>
    <t>838,081</t>
  </si>
  <si>
    <t>841,521</t>
  </si>
  <si>
    <t>8392</t>
  </si>
  <si>
    <t>830,337</t>
  </si>
  <si>
    <t>847,285</t>
  </si>
  <si>
    <t>837,722</t>
  </si>
  <si>
    <t>838,889</t>
  </si>
  <si>
    <t>842,222</t>
  </si>
  <si>
    <t>8,5762</t>
  </si>
  <si>
    <t>861,625</t>
  </si>
  <si>
    <t>878,992</t>
  </si>
  <si>
    <t>898,295</t>
  </si>
  <si>
    <t>9,0226</t>
  </si>
  <si>
    <t>902,985</t>
  </si>
  <si>
    <t>898,563</t>
  </si>
  <si>
    <t>894,857</t>
  </si>
  <si>
    <t>890,909</t>
  </si>
  <si>
    <t>883,807</t>
  </si>
  <si>
    <t>895,455</t>
  </si>
  <si>
    <t>912,821</t>
  </si>
  <si>
    <t>916,467</t>
  </si>
  <si>
    <t>918,244</t>
  </si>
  <si>
    <t>924,183</t>
  </si>
  <si>
    <t>938,244</t>
  </si>
  <si>
    <t>946,449</t>
  </si>
  <si>
    <t>946,286</t>
  </si>
  <si>
    <t>951,429</t>
  </si>
  <si>
    <t>922,063</t>
  </si>
  <si>
    <t>9</t>
  </si>
  <si>
    <t>873,757</t>
  </si>
  <si>
    <t>855,172</t>
  </si>
  <si>
    <t>898,978</t>
  </si>
  <si>
    <t>8,8914</t>
  </si>
  <si>
    <t>882,386</t>
  </si>
  <si>
    <t>861,678</t>
  </si>
  <si>
    <t>847,025</t>
  </si>
  <si>
    <t>857,835</t>
  </si>
  <si>
    <t>8,4375</t>
  </si>
  <si>
    <t>849,143</t>
  </si>
  <si>
    <t>833,144</t>
  </si>
  <si>
    <t>837,714</t>
  </si>
  <si>
    <t>844,602</t>
  </si>
  <si>
    <t>846,211</t>
  </si>
  <si>
    <t>845,776</t>
  </si>
  <si>
    <t>830,393</t>
  </si>
  <si>
    <t>835,127</t>
  </si>
  <si>
    <t>834,467</t>
  </si>
  <si>
    <t>834,561</t>
  </si>
  <si>
    <t>824,378</t>
  </si>
  <si>
    <t>824,801</t>
  </si>
  <si>
    <t>815,385</t>
  </si>
  <si>
    <t>804,558</t>
  </si>
  <si>
    <t>795,568</t>
  </si>
  <si>
    <t>792,023</t>
  </si>
  <si>
    <t>779,429</t>
  </si>
  <si>
    <t>788,571</t>
  </si>
  <si>
    <t>8,25</t>
  </si>
  <si>
    <t>786,364</t>
  </si>
  <si>
    <t>781,503</t>
  </si>
  <si>
    <t>762,722</t>
  </si>
  <si>
    <t>776,571</t>
  </si>
  <si>
    <t>765,909</t>
  </si>
  <si>
    <t>756,109</t>
  </si>
  <si>
    <t>793,103</t>
  </si>
  <si>
    <t>788,604</t>
  </si>
  <si>
    <t>796,581</t>
  </si>
  <si>
    <t>803,993</t>
  </si>
  <si>
    <t>810,119</t>
  </si>
  <si>
    <t>8,2385</t>
  </si>
  <si>
    <t>852,286</t>
  </si>
  <si>
    <t>8,33</t>
  </si>
  <si>
    <t>8,48</t>
  </si>
  <si>
    <t>8,54</t>
  </si>
  <si>
    <t>8,55</t>
  </si>
  <si>
    <t>8,27</t>
  </si>
  <si>
    <t>8,32</t>
  </si>
  <si>
    <t>8,31</t>
  </si>
  <si>
    <t>8,35</t>
  </si>
  <si>
    <t>8,3</t>
  </si>
  <si>
    <t>8,53</t>
  </si>
  <si>
    <t>8,23</t>
  </si>
  <si>
    <t>8,56</t>
  </si>
  <si>
    <t>8,5</t>
  </si>
  <si>
    <t>8,57</t>
  </si>
  <si>
    <t>8,51</t>
  </si>
  <si>
    <t>8,74</t>
  </si>
  <si>
    <t>8,75</t>
  </si>
  <si>
    <t>8,7</t>
  </si>
  <si>
    <t>8,82</t>
  </si>
  <si>
    <t>8,89</t>
  </si>
  <si>
    <t>8,88</t>
  </si>
  <si>
    <t>8,87</t>
  </si>
  <si>
    <t>09,05</t>
  </si>
  <si>
    <t>9,3</t>
  </si>
  <si>
    <t>9,27</t>
  </si>
  <si>
    <t>9,22</t>
  </si>
  <si>
    <t>9,25</t>
  </si>
  <si>
    <t>9,1</t>
  </si>
  <si>
    <t>8,98</t>
  </si>
  <si>
    <t>9,2</t>
  </si>
  <si>
    <t>9,35</t>
  </si>
  <si>
    <t>9,4</t>
  </si>
  <si>
    <t>9,11</t>
  </si>
  <si>
    <t>9,16</t>
  </si>
  <si>
    <t>9,17</t>
  </si>
  <si>
    <t>9,18</t>
  </si>
  <si>
    <t>9,32</t>
  </si>
  <si>
    <t>9,23</t>
  </si>
  <si>
    <t>9,15</t>
  </si>
  <si>
    <t>8,95</t>
  </si>
  <si>
    <t>8,93</t>
  </si>
  <si>
    <t>8,97</t>
  </si>
  <si>
    <t>8,72</t>
  </si>
  <si>
    <t>8,52</t>
  </si>
  <si>
    <t>8,4</t>
  </si>
  <si>
    <t>8,58</t>
  </si>
  <si>
    <t>8,44</t>
  </si>
  <si>
    <t>8,46</t>
  </si>
  <si>
    <t>850,246</t>
  </si>
  <si>
    <t>852,683</t>
  </si>
  <si>
    <t>854,612</t>
  </si>
  <si>
    <t>871,443</t>
  </si>
  <si>
    <t>885,149</t>
  </si>
  <si>
    <t>891,228</t>
  </si>
  <si>
    <t>913,317</t>
  </si>
  <si>
    <t>914,573</t>
  </si>
  <si>
    <t>922,306</t>
  </si>
  <si>
    <t>939,394</t>
  </si>
  <si>
    <t>949,495</t>
  </si>
  <si>
    <t>955,303</t>
  </si>
  <si>
    <t>9,7923</t>
  </si>
  <si>
    <t>10,1317</t>
  </si>
  <si>
    <t>10,1619</t>
  </si>
  <si>
    <t>990,722</t>
  </si>
  <si>
    <t>10,0364</t>
  </si>
  <si>
    <t>10,4752</t>
  </si>
  <si>
    <t>11,1171</t>
  </si>
  <si>
    <t>10989</t>
  </si>
  <si>
    <t>10,8681</t>
  </si>
  <si>
    <t>10,9914</t>
  </si>
  <si>
    <t>11,3187</t>
  </si>
  <si>
    <t>11,4725</t>
  </si>
  <si>
    <t>12,2989</t>
  </si>
  <si>
    <t>12</t>
  </si>
  <si>
    <t>12,65</t>
  </si>
  <si>
    <t>12,43</t>
  </si>
  <si>
    <t>11,62</t>
  </si>
  <si>
    <t>10,8</t>
  </si>
  <si>
    <t>10,74</t>
  </si>
  <si>
    <t>10,87</t>
  </si>
  <si>
    <t>10,95</t>
  </si>
  <si>
    <t>10,77</t>
  </si>
  <si>
    <t>10,5</t>
  </si>
  <si>
    <t>10,55</t>
  </si>
  <si>
    <t>10,58</t>
  </si>
  <si>
    <t>10,4</t>
  </si>
  <si>
    <t>10,51</t>
  </si>
  <si>
    <t>10,34</t>
  </si>
  <si>
    <t>10,35</t>
  </si>
  <si>
    <t>10,32</t>
  </si>
  <si>
    <t>10,2</t>
  </si>
  <si>
    <t>10,07</t>
  </si>
  <si>
    <t>10,19</t>
  </si>
  <si>
    <t>10,28</t>
  </si>
  <si>
    <t>10,39</t>
  </si>
  <si>
    <t>10,14</t>
  </si>
  <si>
    <t>10,29</t>
  </si>
  <si>
    <t>10,27</t>
  </si>
  <si>
    <t>10,3</t>
  </si>
  <si>
    <t>10,21</t>
  </si>
  <si>
    <t>10,02</t>
  </si>
  <si>
    <t>10</t>
  </si>
  <si>
    <t>10,17</t>
  </si>
  <si>
    <t>10,01</t>
  </si>
  <si>
    <t>9,93</t>
  </si>
  <si>
    <t>9,65</t>
  </si>
  <si>
    <t>9,67</t>
  </si>
  <si>
    <t>9,6</t>
  </si>
  <si>
    <t>9,52</t>
  </si>
  <si>
    <t>9,61</t>
  </si>
  <si>
    <t>9,66</t>
  </si>
  <si>
    <t>9,59</t>
  </si>
  <si>
    <t>9,62</t>
  </si>
  <si>
    <t>9,75</t>
  </si>
  <si>
    <t>9,64</t>
  </si>
  <si>
    <t>9,73</t>
  </si>
  <si>
    <t>10,12</t>
  </si>
  <si>
    <t>9,96</t>
  </si>
  <si>
    <t>9,84</t>
  </si>
  <si>
    <t>9,85</t>
  </si>
  <si>
    <t>9,77</t>
  </si>
  <si>
    <t>9,68</t>
  </si>
  <si>
    <t>9,86</t>
  </si>
  <si>
    <t>10,13</t>
  </si>
  <si>
    <t>10,76</t>
  </si>
  <si>
    <t>10,92</t>
  </si>
  <si>
    <t>10,81</t>
  </si>
  <si>
    <t>11,2</t>
  </si>
  <si>
    <t>11,27</t>
  </si>
  <si>
    <t>11,13</t>
  </si>
  <si>
    <t>10,88</t>
  </si>
  <si>
    <t>10,65</t>
  </si>
  <si>
    <t>10,56</t>
  </si>
  <si>
    <t>10,59</t>
  </si>
  <si>
    <t>10,68</t>
  </si>
  <si>
    <t>10,6</t>
  </si>
  <si>
    <t>10,63</t>
  </si>
  <si>
    <t>10,44</t>
  </si>
  <si>
    <t>10,38</t>
  </si>
  <si>
    <t>10,71</t>
  </si>
  <si>
    <t>10,25</t>
  </si>
  <si>
    <t>10,05</t>
  </si>
  <si>
    <t>10,11</t>
  </si>
  <si>
    <t>10,09</t>
  </si>
  <si>
    <t>10,1</t>
  </si>
  <si>
    <t>10,08</t>
  </si>
  <si>
    <t>9,88</t>
  </si>
  <si>
    <t>9,98</t>
  </si>
  <si>
    <t>9,91</t>
  </si>
  <si>
    <t>9,81</t>
  </si>
  <si>
    <t>9,8</t>
  </si>
  <si>
    <t>10,26</t>
  </si>
  <si>
    <t>10,42</t>
  </si>
  <si>
    <t>11,31</t>
  </si>
  <si>
    <t>11,47</t>
  </si>
  <si>
    <t>11,6</t>
  </si>
  <si>
    <t>11,75</t>
  </si>
  <si>
    <t>11,78</t>
  </si>
  <si>
    <t>12,19</t>
  </si>
  <si>
    <t>12,38</t>
  </si>
  <si>
    <t>12,16</t>
  </si>
  <si>
    <t>12,4</t>
  </si>
  <si>
    <t>12,71</t>
  </si>
  <si>
    <t>12,97</t>
  </si>
  <si>
    <t>12,95</t>
  </si>
  <si>
    <t>12,84</t>
  </si>
  <si>
    <t>12,9</t>
  </si>
  <si>
    <t>12,75</t>
  </si>
  <si>
    <t>12,54</t>
  </si>
  <si>
    <t>12,96</t>
  </si>
  <si>
    <t>13,3</t>
  </si>
  <si>
    <t>13,32</t>
  </si>
  <si>
    <t>13,25</t>
  </si>
  <si>
    <t>13,27</t>
  </si>
  <si>
    <t>13,22</t>
  </si>
  <si>
    <t>13,33</t>
  </si>
  <si>
    <t>13,42</t>
  </si>
  <si>
    <t>13,49</t>
  </si>
  <si>
    <t>13,61</t>
  </si>
  <si>
    <t>13,91</t>
  </si>
  <si>
    <t>14,53</t>
  </si>
  <si>
    <t>14,49</t>
  </si>
  <si>
    <t>14,73</t>
  </si>
  <si>
    <t>14,69</t>
  </si>
  <si>
    <t>14,91</t>
  </si>
  <si>
    <t>15,2</t>
  </si>
  <si>
    <t>14,36</t>
  </si>
  <si>
    <t>13,9</t>
  </si>
  <si>
    <t>15</t>
  </si>
  <si>
    <t>14,17</t>
  </si>
  <si>
    <t>14,27</t>
  </si>
  <si>
    <t>13,77</t>
  </si>
  <si>
    <t>13,46</t>
  </si>
  <si>
    <t>13,29</t>
  </si>
  <si>
    <t>13,24</t>
  </si>
  <si>
    <t>13,79</t>
  </si>
  <si>
    <t>13,7</t>
  </si>
  <si>
    <t>14,07</t>
  </si>
  <si>
    <t>13,82</t>
  </si>
  <si>
    <t>13,47</t>
  </si>
  <si>
    <t>13,07</t>
  </si>
  <si>
    <t>13,19</t>
  </si>
  <si>
    <t>13,17</t>
  </si>
  <si>
    <t>12,93</t>
  </si>
  <si>
    <t>13,04</t>
  </si>
  <si>
    <t>13,05</t>
  </si>
  <si>
    <t>13,38</t>
  </si>
  <si>
    <t>12,98</t>
  </si>
  <si>
    <t>12,73</t>
  </si>
  <si>
    <t>12,78</t>
  </si>
  <si>
    <t>12,55</t>
  </si>
  <si>
    <t>12,45</t>
  </si>
  <si>
    <t>12,13</t>
  </si>
  <si>
    <t>12,12</t>
  </si>
  <si>
    <t>12,08</t>
  </si>
  <si>
    <t>11,92</t>
  </si>
  <si>
    <t>11,98</t>
  </si>
  <si>
    <t>11,97</t>
  </si>
  <si>
    <t>12,27</t>
  </si>
  <si>
    <t>11,9</t>
  </si>
  <si>
    <t>11,91</t>
  </si>
  <si>
    <t>11,99</t>
  </si>
  <si>
    <t>12,01</t>
  </si>
  <si>
    <t>11,88</t>
  </si>
  <si>
    <t>11,66</t>
  </si>
  <si>
    <t>11,3</t>
  </si>
  <si>
    <t>11,53</t>
  </si>
  <si>
    <t>11,65</t>
  </si>
  <si>
    <t>11,39</t>
  </si>
  <si>
    <t>11,33</t>
  </si>
  <si>
    <t>11,24</t>
  </si>
  <si>
    <t>11,29</t>
  </si>
  <si>
    <t>11,26</t>
  </si>
  <si>
    <t>11,93</t>
  </si>
  <si>
    <t>12,24</t>
  </si>
  <si>
    <t>12,09</t>
  </si>
  <si>
    <t>12,17</t>
  </si>
  <si>
    <t>12,02</t>
  </si>
  <si>
    <t>12,07</t>
  </si>
  <si>
    <t>12,22</t>
  </si>
  <si>
    <t>12,41</t>
  </si>
  <si>
    <t>12,46</t>
  </si>
  <si>
    <t>12,1</t>
  </si>
  <si>
    <t>12,18</t>
  </si>
  <si>
    <t>12,2</t>
  </si>
  <si>
    <t>12,31</t>
  </si>
  <si>
    <t>12,33</t>
  </si>
  <si>
    <t>12,11</t>
  </si>
  <si>
    <t>12,3</t>
  </si>
  <si>
    <t>12,25</t>
  </si>
  <si>
    <t>12,21</t>
  </si>
  <si>
    <t>12,29</t>
  </si>
  <si>
    <t>12,23</t>
  </si>
  <si>
    <t>11,96</t>
  </si>
  <si>
    <t>11,89</t>
  </si>
  <si>
    <t>11,74</t>
  </si>
  <si>
    <t>11,77</t>
  </si>
  <si>
    <t>11,68</t>
  </si>
  <si>
    <t>11,82</t>
  </si>
  <si>
    <t>11,84</t>
  </si>
  <si>
    <t>11,87</t>
  </si>
  <si>
    <t>11,86</t>
  </si>
  <si>
    <t>11,81</t>
  </si>
  <si>
    <t>12,04</t>
  </si>
  <si>
    <t>11,85</t>
  </si>
  <si>
    <t>11,95</t>
  </si>
  <si>
    <t>12,15</t>
  </si>
  <si>
    <t>12,14</t>
  </si>
  <si>
    <t>11,69</t>
  </si>
  <si>
    <t>11,8</t>
  </si>
  <si>
    <t>11,94</t>
  </si>
  <si>
    <t>12,05</t>
  </si>
  <si>
    <t>11,83</t>
  </si>
  <si>
    <t>11,7</t>
  </si>
  <si>
    <t>11,71</t>
  </si>
  <si>
    <t>11,72</t>
  </si>
  <si>
    <t>11,67</t>
  </si>
  <si>
    <t>11,61</t>
  </si>
  <si>
    <t>11,64</t>
  </si>
  <si>
    <t>12,37</t>
  </si>
  <si>
    <t>12,47</t>
  </si>
  <si>
    <t>12,36</t>
  </si>
  <si>
    <t>12,48</t>
  </si>
  <si>
    <t>12,68</t>
  </si>
  <si>
    <t>12,86</t>
  </si>
  <si>
    <t>12,87</t>
  </si>
  <si>
    <t>13,14</t>
  </si>
  <si>
    <t>13,26</t>
  </si>
  <si>
    <t>13,28</t>
  </si>
  <si>
    <t>13,35</t>
  </si>
  <si>
    <t>13,34</t>
  </si>
  <si>
    <t>13,72</t>
  </si>
  <si>
    <t>13,58</t>
  </si>
  <si>
    <t>13,31</t>
  </si>
  <si>
    <t>13,45</t>
  </si>
  <si>
    <t>13,4</t>
  </si>
  <si>
    <t>13,37</t>
  </si>
  <si>
    <t>13,41</t>
  </si>
  <si>
    <t>13,43</t>
  </si>
  <si>
    <t>13,44</t>
  </si>
  <si>
    <t>13,52</t>
  </si>
  <si>
    <t>13,51</t>
  </si>
  <si>
    <t>13,8</t>
  </si>
  <si>
    <t>13,74</t>
  </si>
  <si>
    <t>13,98</t>
  </si>
  <si>
    <t>13,89</t>
  </si>
  <si>
    <t>13,97</t>
  </si>
  <si>
    <t>14,08</t>
  </si>
  <si>
    <t>13,95</t>
  </si>
  <si>
    <t>14,04</t>
  </si>
  <si>
    <t>14,09</t>
  </si>
  <si>
    <t>14,1</t>
  </si>
  <si>
    <t>14,13</t>
  </si>
  <si>
    <t>14,12</t>
  </si>
  <si>
    <t>14,15</t>
  </si>
  <si>
    <t>13,2</t>
  </si>
  <si>
    <t>13,83</t>
  </si>
  <si>
    <t>13,87</t>
  </si>
  <si>
    <t>13,94</t>
  </si>
  <si>
    <t>13,93</t>
  </si>
  <si>
    <t>14,02</t>
  </si>
  <si>
    <t>13,99</t>
  </si>
  <si>
    <t>13,85</t>
  </si>
  <si>
    <t>13,67</t>
  </si>
  <si>
    <t>14,05</t>
  </si>
  <si>
    <t>14,11</t>
  </si>
  <si>
    <t>13,57</t>
  </si>
  <si>
    <t>13,66</t>
  </si>
  <si>
    <t>13,69</t>
  </si>
  <si>
    <t>13,86</t>
  </si>
  <si>
    <t>14,29</t>
  </si>
  <si>
    <t>14,37</t>
  </si>
  <si>
    <t>14,25</t>
  </si>
  <si>
    <t>14,46</t>
  </si>
  <si>
    <t>14,77</t>
  </si>
  <si>
    <t>14,92</t>
  </si>
  <si>
    <t>14,86</t>
  </si>
  <si>
    <t>14,89</t>
  </si>
  <si>
    <t>14,6</t>
  </si>
  <si>
    <t>14,4</t>
  </si>
  <si>
    <t>14,51</t>
  </si>
  <si>
    <t>14,47</t>
  </si>
  <si>
    <t>14,68</t>
  </si>
  <si>
    <t>14,79</t>
  </si>
  <si>
    <t>15,13</t>
  </si>
  <si>
    <t>15,17</t>
  </si>
  <si>
    <t>15,35</t>
  </si>
  <si>
    <t>14,88</t>
  </si>
  <si>
    <t>14,26</t>
  </si>
  <si>
    <t>14,33</t>
  </si>
  <si>
    <t>14,34</t>
  </si>
  <si>
    <t>14,14</t>
  </si>
  <si>
    <t>14,2</t>
  </si>
  <si>
    <t>14,16</t>
  </si>
  <si>
    <t>14,54</t>
  </si>
  <si>
    <t>14,19</t>
  </si>
  <si>
    <t>13,71</t>
  </si>
  <si>
    <t>13,78</t>
  </si>
  <si>
    <t>14</t>
  </si>
  <si>
    <t>14,24</t>
  </si>
  <si>
    <t>14,41</t>
  </si>
  <si>
    <t>14,63</t>
  </si>
  <si>
    <t>14,85</t>
  </si>
  <si>
    <t>14,95</t>
  </si>
  <si>
    <t>15,18</t>
  </si>
  <si>
    <t>15,36</t>
  </si>
  <si>
    <t>15,28</t>
  </si>
  <si>
    <t>15,32</t>
  </si>
  <si>
    <t>15,52</t>
  </si>
  <si>
    <t>15,54</t>
  </si>
  <si>
    <t>15,45</t>
  </si>
  <si>
    <t>15,57</t>
  </si>
  <si>
    <t>15,9</t>
  </si>
  <si>
    <t>16,03</t>
  </si>
  <si>
    <t>15,76</t>
  </si>
  <si>
    <t>15,49</t>
  </si>
  <si>
    <t>15,46</t>
  </si>
  <si>
    <t>15,48</t>
  </si>
  <si>
    <t>15,41</t>
  </si>
  <si>
    <t>15,34</t>
  </si>
  <si>
    <t>14,81</t>
  </si>
  <si>
    <t>14,64</t>
  </si>
  <si>
    <t>14,72</t>
  </si>
  <si>
    <t>14,76</t>
  </si>
  <si>
    <t>14,56</t>
  </si>
  <si>
    <t>14,5</t>
  </si>
  <si>
    <t>14,74</t>
  </si>
  <si>
    <t>14,75</t>
  </si>
  <si>
    <t>14,82</t>
  </si>
  <si>
    <t>14,61</t>
  </si>
  <si>
    <t>14,52</t>
  </si>
  <si>
    <t>14,39</t>
  </si>
  <si>
    <t>14,42</t>
  </si>
  <si>
    <t>13,96</t>
  </si>
  <si>
    <t>14,23</t>
  </si>
  <si>
    <t>14,03</t>
  </si>
  <si>
    <t>14,01</t>
  </si>
  <si>
    <t>13,88</t>
  </si>
  <si>
    <t>13,92</t>
  </si>
  <si>
    <t>14,28</t>
  </si>
  <si>
    <t>14,97</t>
  </si>
  <si>
    <t>15,4</t>
  </si>
  <si>
    <t>15,14</t>
  </si>
  <si>
    <t>15,22</t>
  </si>
  <si>
    <t>14,98</t>
  </si>
  <si>
    <t>14,83</t>
  </si>
  <si>
    <t>15,03</t>
  </si>
  <si>
    <t>15,27</t>
  </si>
  <si>
    <t>15,16</t>
  </si>
  <si>
    <t>15,06</t>
  </si>
  <si>
    <t>15,07</t>
  </si>
  <si>
    <t>15,1</t>
  </si>
  <si>
    <t>15,11</t>
  </si>
  <si>
    <t>15,08</t>
  </si>
  <si>
    <t>14,93</t>
  </si>
  <si>
    <t>14,96</t>
  </si>
  <si>
    <t>15,04</t>
  </si>
  <si>
    <t>14,87</t>
  </si>
  <si>
    <t>14,99</t>
  </si>
  <si>
    <t>15,05</t>
  </si>
  <si>
    <t>15,01</t>
  </si>
  <si>
    <t>15,26</t>
  </si>
  <si>
    <t>15,24</t>
  </si>
  <si>
    <t>15,23</t>
  </si>
  <si>
    <t>15,39</t>
  </si>
  <si>
    <t>15,21</t>
  </si>
  <si>
    <t>15,25</t>
  </si>
  <si>
    <t>15,29</t>
  </si>
  <si>
    <t>15,19</t>
  </si>
  <si>
    <t>15,02</t>
  </si>
  <si>
    <t>15,47</t>
  </si>
  <si>
    <t>15,77</t>
  </si>
  <si>
    <t>15,61</t>
  </si>
  <si>
    <t>15,65</t>
  </si>
  <si>
    <t>15,62</t>
  </si>
  <si>
    <t>15,6</t>
  </si>
  <si>
    <t>15,53</t>
  </si>
  <si>
    <t>15,58</t>
  </si>
  <si>
    <t>15,79</t>
  </si>
  <si>
    <t>15,96</t>
  </si>
  <si>
    <t>15,86</t>
  </si>
  <si>
    <t>16,02</t>
  </si>
  <si>
    <t>16,07</t>
  </si>
  <si>
    <t>15,98</t>
  </si>
  <si>
    <t>16,12</t>
  </si>
  <si>
    <t>16,09</t>
  </si>
  <si>
    <t>16,06</t>
  </si>
  <si>
    <t>16,05</t>
  </si>
  <si>
    <t>16,01</t>
  </si>
  <si>
    <t>15,87</t>
  </si>
  <si>
    <t>15,71</t>
  </si>
  <si>
    <t>15,73</t>
  </si>
  <si>
    <t>15,91</t>
  </si>
  <si>
    <t>16</t>
  </si>
  <si>
    <t>15,89</t>
  </si>
  <si>
    <t>15,82</t>
  </si>
  <si>
    <t>15,84</t>
  </si>
  <si>
    <t>15,92</t>
  </si>
  <si>
    <t>15,97</t>
  </si>
  <si>
    <t>15,93</t>
  </si>
  <si>
    <t>15,85</t>
  </si>
  <si>
    <t>15,74</t>
  </si>
  <si>
    <t>15,63</t>
  </si>
  <si>
    <t>15,56</t>
  </si>
  <si>
    <t>15,68</t>
  </si>
  <si>
    <t>15,59</t>
  </si>
  <si>
    <t>15,64</t>
  </si>
  <si>
    <t>15,69</t>
  </si>
  <si>
    <t>15,67</t>
  </si>
  <si>
    <t>15,5</t>
  </si>
  <si>
    <t>15,51</t>
  </si>
  <si>
    <t>15,43</t>
  </si>
  <si>
    <t>16,21</t>
  </si>
  <si>
    <t>16,2</t>
  </si>
  <si>
    <t>16,22</t>
  </si>
  <si>
    <t>16,1</t>
  </si>
  <si>
    <t>16,11</t>
  </si>
  <si>
    <t>16,15</t>
  </si>
  <si>
    <t>15,94</t>
  </si>
  <si>
    <t>16,13</t>
  </si>
  <si>
    <t>16,16</t>
  </si>
  <si>
    <t>16,25</t>
  </si>
  <si>
    <t>16,37</t>
  </si>
  <si>
    <t>16,32</t>
  </si>
  <si>
    <t>16,41</t>
  </si>
  <si>
    <t>16,45</t>
  </si>
  <si>
    <t>16,64</t>
  </si>
  <si>
    <t>16,84</t>
  </si>
  <si>
    <t>17,09</t>
  </si>
  <si>
    <t>16,96</t>
  </si>
  <si>
    <t>16,94</t>
  </si>
  <si>
    <t>17,02</t>
  </si>
  <si>
    <t>17,14</t>
  </si>
  <si>
    <t>17,11</t>
  </si>
  <si>
    <t>17</t>
  </si>
  <si>
    <t>17,21</t>
  </si>
  <si>
    <t>17,22</t>
  </si>
  <si>
    <t>17,32</t>
  </si>
  <si>
    <t>17,55</t>
  </si>
  <si>
    <t>17,56</t>
  </si>
  <si>
    <t>17,59</t>
  </si>
  <si>
    <t>17,54</t>
  </si>
  <si>
    <t>17,81</t>
  </si>
  <si>
    <t>17,87</t>
  </si>
  <si>
    <t>17,72</t>
  </si>
  <si>
    <t>17,64</t>
  </si>
  <si>
    <t>17,71</t>
  </si>
  <si>
    <t>17,8</t>
  </si>
  <si>
    <t>17,83</t>
  </si>
  <si>
    <t>17,78</t>
  </si>
  <si>
    <t>17,91</t>
  </si>
  <si>
    <t>17,12</t>
  </si>
  <si>
    <t>17,26</t>
  </si>
  <si>
    <t>17,35</t>
  </si>
  <si>
    <t>17,3</t>
  </si>
  <si>
    <t>17,25</t>
  </si>
  <si>
    <t>17,37</t>
  </si>
  <si>
    <t>17,24</t>
  </si>
  <si>
    <t>17,39</t>
  </si>
  <si>
    <t>17,5</t>
  </si>
  <si>
    <t>17,4</t>
  </si>
  <si>
    <t>17,34</t>
  </si>
  <si>
    <t>17,27</t>
  </si>
  <si>
    <t>17,2</t>
  </si>
  <si>
    <t>17,1</t>
  </si>
  <si>
    <t>17,04</t>
  </si>
  <si>
    <t>17,19</t>
  </si>
  <si>
    <t>17,33</t>
  </si>
  <si>
    <t>17,58</t>
  </si>
  <si>
    <t>17,57</t>
  </si>
  <si>
    <t>17,6</t>
  </si>
  <si>
    <t>17,41</t>
  </si>
  <si>
    <t>17,45</t>
  </si>
  <si>
    <t>17,53</t>
  </si>
  <si>
    <t>17,44</t>
  </si>
  <si>
    <t>17,51</t>
  </si>
  <si>
    <t>17,49</t>
  </si>
  <si>
    <t>17,38</t>
  </si>
  <si>
    <t>17,48</t>
  </si>
  <si>
    <t>17,73</t>
  </si>
  <si>
    <t>17,63</t>
  </si>
  <si>
    <t>17,7</t>
  </si>
  <si>
    <t>17,52</t>
  </si>
  <si>
    <t>17,67</t>
  </si>
  <si>
    <t>17,68</t>
  </si>
  <si>
    <t>17,47</t>
  </si>
  <si>
    <t>17,43</t>
  </si>
  <si>
    <t>17,42</t>
  </si>
  <si>
    <t>17,29</t>
  </si>
  <si>
    <t>17,31</t>
  </si>
  <si>
    <t>17,76</t>
  </si>
  <si>
    <t>17,84</t>
  </si>
  <si>
    <t>17,97</t>
  </si>
  <si>
    <t>18,06</t>
  </si>
  <si>
    <t>18,31</t>
  </si>
  <si>
    <t>18,38</t>
  </si>
  <si>
    <t>18,93</t>
  </si>
  <si>
    <t>18,72</t>
  </si>
  <si>
    <t>18,53</t>
  </si>
  <si>
    <t>18,82</t>
  </si>
  <si>
    <t>18,89</t>
  </si>
  <si>
    <t>19,12</t>
  </si>
  <si>
    <t>18,98</t>
  </si>
  <si>
    <t>18,64</t>
  </si>
  <si>
    <t>18,83</t>
  </si>
  <si>
    <t>18,78</t>
  </si>
  <si>
    <t>19,05</t>
  </si>
  <si>
    <t>18,94</t>
  </si>
  <si>
    <t>18,95</t>
  </si>
  <si>
    <t>19,02</t>
  </si>
  <si>
    <t>19,17</t>
  </si>
  <si>
    <t>19,38</t>
  </si>
  <si>
    <t>19,64</t>
  </si>
  <si>
    <t>19,62</t>
  </si>
  <si>
    <t>19,68</t>
  </si>
  <si>
    <t>19,7</t>
  </si>
  <si>
    <t>19,49</t>
  </si>
  <si>
    <t>19,51</t>
  </si>
  <si>
    <t>19,48</t>
  </si>
  <si>
    <t>19,58</t>
  </si>
  <si>
    <t>20</t>
  </si>
  <si>
    <t>20,03</t>
  </si>
  <si>
    <t>20,15</t>
  </si>
  <si>
    <t>20,11</t>
  </si>
  <si>
    <t>19,98</t>
  </si>
  <si>
    <t>20,01</t>
  </si>
  <si>
    <t>20,06</t>
  </si>
  <si>
    <t>20,32</t>
  </si>
  <si>
    <t>20,31</t>
  </si>
  <si>
    <t>20,16</t>
  </si>
  <si>
    <t>20,38</t>
  </si>
  <si>
    <t>20,43</t>
  </si>
  <si>
    <t>20,33</t>
  </si>
  <si>
    <t>20,41</t>
  </si>
  <si>
    <t>20,42</t>
  </si>
  <si>
    <t>20,45</t>
  </si>
  <si>
    <t>20,29</t>
  </si>
  <si>
    <t>20,25</t>
  </si>
  <si>
    <t>20,22</t>
  </si>
  <si>
    <t>20,23</t>
  </si>
  <si>
    <t>20,13</t>
  </si>
  <si>
    <t>20,27</t>
  </si>
  <si>
    <t>20,3</t>
  </si>
  <si>
    <t>20,19</t>
  </si>
  <si>
    <t>20,2</t>
  </si>
  <si>
    <t>20,18</t>
  </si>
  <si>
    <t>20,21</t>
  </si>
  <si>
    <t>20,14</t>
  </si>
  <si>
    <t>20,24</t>
  </si>
  <si>
    <t>20,26</t>
  </si>
  <si>
    <t>20,83</t>
  </si>
  <si>
    <t>20,66</t>
  </si>
  <si>
    <t>21,29</t>
  </si>
  <si>
    <t>22,75</t>
  </si>
  <si>
    <t>22,03</t>
  </si>
  <si>
    <t>22,38</t>
  </si>
  <si>
    <t>22,68</t>
  </si>
  <si>
    <t>22,6</t>
  </si>
  <si>
    <t>24,13</t>
  </si>
  <si>
    <t>25,73</t>
  </si>
  <si>
    <t>24,8</t>
  </si>
  <si>
    <t>24,91</t>
  </si>
  <si>
    <t>24,49</t>
  </si>
  <si>
    <t>24,32</t>
  </si>
  <si>
    <t>24,42</t>
  </si>
  <si>
    <t>24,74</t>
  </si>
  <si>
    <t>24,93</t>
  </si>
  <si>
    <t>24,96</t>
  </si>
  <si>
    <t>25,02</t>
  </si>
  <si>
    <t>25,17</t>
  </si>
  <si>
    <t>24,99</t>
  </si>
  <si>
    <t>25,12</t>
  </si>
  <si>
    <t>25,05</t>
  </si>
  <si>
    <t>25,03</t>
  </si>
  <si>
    <t>25,49</t>
  </si>
  <si>
    <t>26,05</t>
  </si>
  <si>
    <t>26,7</t>
  </si>
  <si>
    <t>26,27</t>
  </si>
  <si>
    <t>28,18</t>
  </si>
  <si>
    <t>28,51</t>
  </si>
  <si>
    <t>27,6</t>
  </si>
  <si>
    <t>28,23</t>
  </si>
  <si>
    <t>28,07</t>
  </si>
  <si>
    <t>27,36</t>
  </si>
  <si>
    <t>27,19</t>
  </si>
  <si>
    <t>27,29</t>
  </si>
  <si>
    <t>28,64</t>
  </si>
  <si>
    <t>28,67</t>
  </si>
  <si>
    <t>27,98</t>
  </si>
  <si>
    <t>28,27</t>
  </si>
  <si>
    <t>28,05</t>
  </si>
  <si>
    <t>27,43</t>
  </si>
  <si>
    <t>27,28</t>
  </si>
  <si>
    <t>27,31</t>
  </si>
  <si>
    <t>27,62</t>
  </si>
  <si>
    <t>27,72</t>
  </si>
  <si>
    <t>27,74</t>
  </si>
  <si>
    <t>27,69</t>
  </si>
  <si>
    <t>27,73</t>
  </si>
  <si>
    <t>27,48</t>
  </si>
  <si>
    <t>27,4</t>
  </si>
  <si>
    <t>27,47</t>
  </si>
  <si>
    <t>27,37</t>
  </si>
  <si>
    <t>27,33</t>
  </si>
  <si>
    <t>27,45</t>
  </si>
  <si>
    <t>27,64</t>
  </si>
  <si>
    <t>27,3</t>
  </si>
  <si>
    <t>27,65</t>
  </si>
  <si>
    <t>28,1</t>
  </si>
  <si>
    <t>29,55</t>
  </si>
  <si>
    <t>30,21</t>
  </si>
  <si>
    <t>29,9</t>
  </si>
  <si>
    <t>30,33</t>
  </si>
  <si>
    <t>30,03</t>
  </si>
  <si>
    <t>30,05</t>
  </si>
  <si>
    <t>30,06</t>
  </si>
  <si>
    <t>30,32</t>
  </si>
  <si>
    <t>30,56</t>
  </si>
  <si>
    <t>30,94</t>
  </si>
  <si>
    <t>31,17</t>
  </si>
  <si>
    <t>31,81</t>
  </si>
  <si>
    <t>33,76</t>
  </si>
  <si>
    <t>39,5</t>
  </si>
  <si>
    <t>37,87</t>
  </si>
  <si>
    <t>39,19</t>
  </si>
  <si>
    <t>37,72</t>
  </si>
  <si>
    <t>37,19</t>
  </si>
  <si>
    <t>37,6</t>
  </si>
  <si>
    <t>38,19</t>
  </si>
  <si>
    <t>38,64</t>
  </si>
  <si>
    <t>39,91</t>
  </si>
  <si>
    <t>40,07</t>
  </si>
  <si>
    <t>39,8</t>
  </si>
  <si>
    <t>40,14</t>
  </si>
  <si>
    <t>38,17</t>
  </si>
  <si>
    <t>37,31</t>
  </si>
  <si>
    <t>37,48</t>
  </si>
  <si>
    <t>38,38</t>
  </si>
  <si>
    <t>38,48</t>
  </si>
  <si>
    <t>39,77</t>
  </si>
  <si>
    <t>41,41</t>
  </si>
  <si>
    <t>39,53</t>
  </si>
  <si>
    <t>38,15</t>
  </si>
  <si>
    <t>37,73</t>
  </si>
  <si>
    <t>37,82</t>
  </si>
  <si>
    <t>37,42</t>
  </si>
  <si>
    <t>37,08</t>
  </si>
  <si>
    <t>37,51</t>
  </si>
  <si>
    <t>36,87</t>
  </si>
  <si>
    <t>37,14</t>
  </si>
  <si>
    <t>36,2</t>
  </si>
  <si>
    <t>36,31</t>
  </si>
  <si>
    <t>36,83</t>
  </si>
  <si>
    <t>36,62</t>
  </si>
  <si>
    <t>36,68</t>
  </si>
  <si>
    <t>36,9</t>
  </si>
  <si>
    <t>37,35</t>
  </si>
  <si>
    <t>36,91</t>
  </si>
  <si>
    <t>36,81</t>
  </si>
  <si>
    <t>35,85</t>
  </si>
  <si>
    <t>35,94</t>
  </si>
  <si>
    <t>35,64</t>
  </si>
  <si>
    <t>35,57</t>
  </si>
  <si>
    <t>35,72</t>
  </si>
  <si>
    <t>35,75</t>
  </si>
  <si>
    <t>35,71</t>
  </si>
  <si>
    <t>35,67</t>
  </si>
  <si>
    <t>35,6</t>
  </si>
  <si>
    <t>35,44</t>
  </si>
  <si>
    <t>36,08</t>
  </si>
  <si>
    <t>36,16</t>
  </si>
  <si>
    <t>36,01</t>
  </si>
  <si>
    <t>36,23</t>
  </si>
  <si>
    <t>36,56</t>
  </si>
  <si>
    <t>37,81</t>
  </si>
  <si>
    <t>38,72</t>
  </si>
  <si>
    <t>38,59</t>
  </si>
  <si>
    <t>38,58</t>
  </si>
  <si>
    <t>37,68</t>
  </si>
  <si>
    <t>37,69</t>
  </si>
  <si>
    <t>36,61</t>
  </si>
  <si>
    <t>37,63</t>
  </si>
  <si>
    <t>37,4</t>
  </si>
  <si>
    <t>38,03</t>
  </si>
  <si>
    <t>37,59</t>
  </si>
  <si>
    <t>37,64</t>
  </si>
  <si>
    <t>37,65</t>
  </si>
  <si>
    <t>37,84</t>
  </si>
  <si>
    <t>38,54</t>
  </si>
  <si>
    <t>38,57</t>
  </si>
  <si>
    <t>38,49</t>
  </si>
  <si>
    <t>38,61</t>
  </si>
  <si>
    <t>38,06</t>
  </si>
  <si>
    <t>38,1</t>
  </si>
  <si>
    <t>38,46</t>
  </si>
  <si>
    <t>38,04</t>
  </si>
  <si>
    <t>37,61</t>
  </si>
  <si>
    <t>37,55</t>
  </si>
  <si>
    <t>37,47</t>
  </si>
  <si>
    <t>37,5</t>
  </si>
  <si>
    <t>37,46</t>
  </si>
  <si>
    <t>37,24</t>
  </si>
  <si>
    <t>37,01</t>
  </si>
  <si>
    <t>37,09</t>
  </si>
  <si>
    <t>36,89</t>
  </si>
  <si>
    <t>37,62</t>
  </si>
  <si>
    <t>37,9</t>
  </si>
  <si>
    <t>37,86</t>
  </si>
  <si>
    <t>37,76</t>
  </si>
  <si>
    <t>37,78</t>
  </si>
  <si>
    <t>37,41</t>
  </si>
  <si>
    <t>37,45</t>
  </si>
  <si>
    <t>37,54</t>
  </si>
  <si>
    <t>37,13</t>
  </si>
  <si>
    <t>37,15</t>
  </si>
  <si>
    <t>37,89</t>
  </si>
  <si>
    <t>37,85</t>
  </si>
  <si>
    <t>38,05</t>
  </si>
  <si>
    <t>38,02</t>
  </si>
  <si>
    <t>38,23</t>
  </si>
  <si>
    <t>38,35</t>
  </si>
  <si>
    <t>38,75</t>
  </si>
  <si>
    <t>38,81</t>
  </si>
  <si>
    <t>39,32</t>
  </si>
  <si>
    <t>39,96</t>
  </si>
  <si>
    <t>39,76</t>
  </si>
  <si>
    <t>39,45</t>
  </si>
  <si>
    <t>39,34</t>
  </si>
  <si>
    <t>39,09</t>
  </si>
  <si>
    <t>39,04</t>
  </si>
  <si>
    <t>39,35</t>
  </si>
  <si>
    <t>40,01</t>
  </si>
  <si>
    <t>40,31</t>
  </si>
  <si>
    <t>40,76</t>
  </si>
  <si>
    <t>42,8</t>
  </si>
  <si>
    <t>41,43</t>
  </si>
  <si>
    <t>41,32</t>
  </si>
  <si>
    <t>41,39</t>
  </si>
  <si>
    <t>41,27</t>
  </si>
  <si>
    <t>40,8</t>
  </si>
  <si>
    <t>40,13</t>
  </si>
  <si>
    <t>40,02</t>
  </si>
  <si>
    <t>40,74</t>
  </si>
  <si>
    <t>40,96</t>
  </si>
  <si>
    <t>42,14</t>
  </si>
  <si>
    <t>42,07</t>
  </si>
  <si>
    <t>42,04</t>
  </si>
  <si>
    <t>42,58</t>
  </si>
  <si>
    <t>43,92</t>
  </si>
  <si>
    <t>43,67</t>
  </si>
  <si>
    <t>43,53</t>
  </si>
  <si>
    <t>42,79</t>
  </si>
  <si>
    <t>43,27</t>
  </si>
  <si>
    <t>42,71</t>
  </si>
  <si>
    <t>43,4</t>
  </si>
  <si>
    <t>43,85</t>
  </si>
  <si>
    <t>43,49</t>
  </si>
  <si>
    <t>43,41</t>
  </si>
  <si>
    <t>43,05</t>
  </si>
  <si>
    <t>42,97</t>
  </si>
  <si>
    <t>42,45</t>
  </si>
  <si>
    <t>42,26</t>
  </si>
  <si>
    <t>41,77</t>
  </si>
  <si>
    <t>43,06</t>
  </si>
  <si>
    <t>42,38</t>
  </si>
  <si>
    <t>42,36</t>
  </si>
  <si>
    <t>42,68</t>
  </si>
  <si>
    <t>42,43</t>
  </si>
  <si>
    <t>44,54</t>
  </si>
  <si>
    <t>45,1</t>
  </si>
  <si>
    <t>46,3</t>
  </si>
  <si>
    <t>46,46</t>
  </si>
  <si>
    <t>44,32</t>
  </si>
  <si>
    <t>44,38</t>
  </si>
  <si>
    <t>44,99</t>
  </si>
  <si>
    <t>44,45</t>
  </si>
  <si>
    <t>44,66</t>
  </si>
  <si>
    <t>44,93</t>
  </si>
  <si>
    <t>45,43</t>
  </si>
  <si>
    <t>45,42</t>
  </si>
  <si>
    <t>45,24</t>
  </si>
  <si>
    <t>44,8</t>
  </si>
  <si>
    <t>45,07</t>
  </si>
  <si>
    <t>45,36</t>
  </si>
  <si>
    <t>45,85</t>
  </si>
  <si>
    <t>44,97</t>
  </si>
  <si>
    <t>45,12</t>
  </si>
  <si>
    <t>45,27</t>
  </si>
  <si>
    <t>45,31</t>
  </si>
  <si>
    <t>45,4</t>
  </si>
  <si>
    <t>44,92</t>
  </si>
  <si>
    <t>44,7</t>
  </si>
  <si>
    <t>44,89</t>
  </si>
  <si>
    <t>45,16</t>
  </si>
  <si>
    <t>44,88</t>
  </si>
  <si>
    <t>44,78</t>
  </si>
  <si>
    <t>44,86</t>
  </si>
  <si>
    <t>44,84</t>
  </si>
  <si>
    <t>44,87</t>
  </si>
  <si>
    <t>44,49</t>
  </si>
  <si>
    <t>44,74</t>
  </si>
  <si>
    <t>44,95</t>
  </si>
  <si>
    <t>44,85</t>
  </si>
  <si>
    <t>44,96</t>
  </si>
  <si>
    <t>44,1</t>
  </si>
  <si>
    <t>42,93</t>
  </si>
  <si>
    <t>43,56</t>
  </si>
  <si>
    <t>44,18</t>
  </si>
  <si>
    <t>44,26</t>
  </si>
  <si>
    <t>43,72</t>
  </si>
  <si>
    <t>43,29</t>
  </si>
  <si>
    <t>43,5</t>
  </si>
  <si>
    <t>42,99</t>
  </si>
  <si>
    <t>43,02</t>
  </si>
  <si>
    <t>42,6</t>
  </si>
  <si>
    <t>42,74</t>
  </si>
  <si>
    <t>43,07</t>
  </si>
  <si>
    <t>42,56</t>
  </si>
  <si>
    <t>42,46</t>
  </si>
  <si>
    <t>42,25</t>
  </si>
  <si>
    <t>41,88</t>
  </si>
  <si>
    <t>42,29</t>
  </si>
  <si>
    <t>41,85</t>
  </si>
  <si>
    <t>42,21</t>
  </si>
  <si>
    <t>41,95</t>
  </si>
  <si>
    <t>41,92</t>
  </si>
  <si>
    <t>41,61</t>
  </si>
  <si>
    <t>41,94</t>
  </si>
  <si>
    <t>42,44</t>
  </si>
  <si>
    <t>42,82</t>
  </si>
  <si>
    <t>42,64</t>
  </si>
  <si>
    <t>42,62</t>
  </si>
  <si>
    <t>42,47</t>
  </si>
  <si>
    <t>42,98</t>
  </si>
  <si>
    <t>43,79</t>
  </si>
  <si>
    <t>43,64</t>
  </si>
  <si>
    <t>43,51</t>
  </si>
  <si>
    <t>43,88</t>
  </si>
  <si>
    <t>44,04</t>
  </si>
  <si>
    <t>44,63</t>
  </si>
  <si>
    <t>45,04</t>
  </si>
  <si>
    <t>45,75</t>
  </si>
  <si>
    <t>45,78</t>
  </si>
  <si>
    <t>45,66</t>
  </si>
  <si>
    <t>45,51</t>
  </si>
  <si>
    <t>45,28</t>
  </si>
  <si>
    <t>46,19</t>
  </si>
  <si>
    <t>55,39</t>
  </si>
  <si>
    <t>57,5</t>
  </si>
  <si>
    <t>60,95</t>
  </si>
  <si>
    <t>58,15</t>
  </si>
  <si>
    <t>55,87</t>
  </si>
  <si>
    <t>56,87</t>
  </si>
  <si>
    <t>56,23</t>
  </si>
  <si>
    <t>55,56</t>
  </si>
  <si>
    <t>55,32</t>
  </si>
  <si>
    <t>54,7</t>
  </si>
  <si>
    <t>55,94</t>
  </si>
  <si>
    <t>57,15</t>
  </si>
  <si>
    <t>60,87</t>
  </si>
  <si>
    <t>59,68</t>
  </si>
  <si>
    <t>63,3</t>
  </si>
  <si>
    <t>65,22</t>
  </si>
  <si>
    <t>61,87</t>
  </si>
  <si>
    <t>62,06</t>
  </si>
  <si>
    <t>61,8</t>
  </si>
  <si>
    <t>61,96</t>
  </si>
  <si>
    <t>61,5</t>
  </si>
  <si>
    <t>64,74</t>
  </si>
  <si>
    <t>64,06</t>
  </si>
  <si>
    <t>66,24</t>
  </si>
  <si>
    <t>67,62</t>
  </si>
  <si>
    <t>68,78</t>
  </si>
  <si>
    <t>73,21</t>
  </si>
  <si>
    <t>71,23</t>
  </si>
  <si>
    <t>69,03</t>
  </si>
  <si>
    <t>68,65</t>
  </si>
  <si>
    <t>69,4</t>
  </si>
  <si>
    <t>68,87</t>
  </si>
  <si>
    <t>67,95</t>
  </si>
  <si>
    <t>68,29</t>
  </si>
  <si>
    <t>67,45</t>
  </si>
  <si>
    <t>65,93</t>
  </si>
  <si>
    <t>63,76</t>
  </si>
  <si>
    <t>64,09</t>
  </si>
  <si>
    <t>61,44</t>
  </si>
  <si>
    <t>62,58</t>
  </si>
  <si>
    <t>63,31</t>
  </si>
  <si>
    <t>66,08</t>
  </si>
  <si>
    <t>67,91</t>
  </si>
  <si>
    <t>65,71</t>
  </si>
  <si>
    <t>67,19</t>
  </si>
  <si>
    <t>66,97</t>
  </si>
  <si>
    <t>64,68</t>
  </si>
  <si>
    <t>67,34</t>
  </si>
  <si>
    <t>68,16</t>
  </si>
  <si>
    <t>68,23</t>
  </si>
  <si>
    <t>68,45</t>
  </si>
  <si>
    <t>69,31</t>
  </si>
  <si>
    <t>73,83</t>
  </si>
  <si>
    <t>73,51</t>
  </si>
  <si>
    <t>75,17</t>
  </si>
  <si>
    <t>79,59</t>
  </si>
  <si>
    <t>77,38</t>
  </si>
  <si>
    <t>79,62</t>
  </si>
  <si>
    <t>81,08</t>
  </si>
  <si>
    <t>81,53</t>
  </si>
  <si>
    <t>75,7</t>
  </si>
  <si>
    <t>78,54</t>
  </si>
  <si>
    <t>79,97</t>
  </si>
  <si>
    <t>80</t>
  </si>
  <si>
    <t>79,03</t>
  </si>
  <si>
    <t>78,79</t>
  </si>
  <si>
    <t>78,49</t>
  </si>
  <si>
    <t>78,22</t>
  </si>
  <si>
    <t>78,21</t>
  </si>
  <si>
    <t>78,2</t>
  </si>
  <si>
    <t>77,12</t>
  </si>
  <si>
    <t>78,11</t>
  </si>
  <si>
    <t>75,97</t>
  </si>
  <si>
    <t>76,77</t>
  </si>
  <si>
    <t>75,44</t>
  </si>
  <si>
    <t>75,67</t>
  </si>
  <si>
    <t>75,84</t>
  </si>
  <si>
    <t>75,34</t>
  </si>
  <si>
    <t>75,02</t>
  </si>
  <si>
    <t>74,85</t>
  </si>
  <si>
    <t>74,82</t>
  </si>
  <si>
    <t>72,27</t>
  </si>
  <si>
    <t>72,84</t>
  </si>
  <si>
    <t>73,49</t>
  </si>
  <si>
    <t>74,81</t>
  </si>
  <si>
    <t>74,33</t>
  </si>
  <si>
    <t>75,01</t>
  </si>
  <si>
    <t>74,64</t>
  </si>
  <si>
    <t>76,39</t>
  </si>
  <si>
    <t>79,13</t>
  </si>
  <si>
    <t>79,01</t>
  </si>
  <si>
    <t>78,88</t>
  </si>
  <si>
    <t>76,6</t>
  </si>
  <si>
    <t>74,19</t>
  </si>
  <si>
    <t>75,96</t>
  </si>
  <si>
    <t>73,18</t>
  </si>
  <si>
    <t>74,07</t>
  </si>
  <si>
    <t>76,03</t>
  </si>
  <si>
    <t>74,18</t>
  </si>
  <si>
    <t>72,87</t>
  </si>
  <si>
    <t>72,63</t>
  </si>
  <si>
    <t>72,82</t>
  </si>
  <si>
    <t>73,44</t>
  </si>
  <si>
    <t>73,43</t>
  </si>
  <si>
    <t>72,94</t>
  </si>
  <si>
    <t>73,55</t>
  </si>
  <si>
    <t>74,41</t>
  </si>
  <si>
    <t>75,06</t>
  </si>
  <si>
    <t>78</t>
  </si>
  <si>
    <t>77,87</t>
  </si>
  <si>
    <t>77,54</t>
  </si>
  <si>
    <t>78,27</t>
  </si>
  <si>
    <t>77,86</t>
  </si>
  <si>
    <t>79,61</t>
  </si>
  <si>
    <t>80,9</t>
  </si>
  <si>
    <t>81,09</t>
  </si>
  <si>
    <t>80,84</t>
  </si>
  <si>
    <t>81,81</t>
  </si>
  <si>
    <t>80,44</t>
  </si>
  <si>
    <t>81,05</t>
  </si>
  <si>
    <t>81,66</t>
  </si>
  <si>
    <t>81,64</t>
  </si>
  <si>
    <t>84</t>
  </si>
  <si>
    <t>83,29</t>
  </si>
  <si>
    <t>83,54</t>
  </si>
  <si>
    <t>84,63</t>
  </si>
  <si>
    <t>84,11</t>
  </si>
  <si>
    <t>84,88</t>
  </si>
  <si>
    <t>85,41</t>
  </si>
  <si>
    <t>84,45</t>
  </si>
  <si>
    <t>84,82</t>
  </si>
  <si>
    <t>84,83</t>
  </si>
  <si>
    <t>84,24</t>
  </si>
  <si>
    <t>84,62</t>
  </si>
  <si>
    <t>84,03</t>
  </si>
  <si>
    <t>83,74</t>
  </si>
  <si>
    <t>82,47</t>
  </si>
  <si>
    <t>83,45</t>
  </si>
  <si>
    <t>83,23</t>
  </si>
  <si>
    <t>82,92</t>
  </si>
  <si>
    <t>81,5</t>
  </si>
  <si>
    <t>81,74</t>
  </si>
  <si>
    <t>81,36</t>
  </si>
  <si>
    <t>80,57</t>
  </si>
  <si>
    <t>80,68</t>
  </si>
  <si>
    <t>80,56</t>
  </si>
  <si>
    <t>82,03</t>
  </si>
  <si>
    <t>82,48</t>
  </si>
  <si>
    <t>82,01</t>
  </si>
  <si>
    <t>81,55</t>
  </si>
  <si>
    <t>81,95</t>
  </si>
  <si>
    <t>83,22</t>
  </si>
  <si>
    <t>86,49</t>
  </si>
  <si>
    <t>84,85</t>
  </si>
  <si>
    <t>87,1</t>
  </si>
  <si>
    <t>89,04</t>
  </si>
  <si>
    <t>89,15</t>
  </si>
  <si>
    <t>89,31</t>
  </si>
  <si>
    <t>88,19</t>
  </si>
  <si>
    <t>89,53</t>
  </si>
  <si>
    <t>89,93</t>
  </si>
  <si>
    <t>91,6</t>
  </si>
  <si>
    <t>87,99</t>
  </si>
  <si>
    <t>84,36</t>
  </si>
  <si>
    <t>86,92</t>
  </si>
  <si>
    <t>87,92</t>
  </si>
  <si>
    <t>88,81</t>
  </si>
  <si>
    <t>89,09</t>
  </si>
  <si>
    <t>90,78</t>
  </si>
  <si>
    <t>90,44</t>
  </si>
  <si>
    <t>94,69</t>
  </si>
  <si>
    <t>102,21</t>
  </si>
  <si>
    <t>107,42</t>
  </si>
  <si>
    <t>108,79</t>
  </si>
  <si>
    <t>102,1</t>
  </si>
  <si>
    <t>102,64</t>
  </si>
  <si>
    <t>105,27</t>
  </si>
  <si>
    <t>109,56</t>
  </si>
  <si>
    <t>111,11</t>
  </si>
  <si>
    <t>111,57</t>
  </si>
  <si>
    <t>112,02</t>
  </si>
  <si>
    <t>115,09</t>
  </si>
  <si>
    <t>119,64</t>
  </si>
  <si>
    <t>109,76</t>
  </si>
  <si>
    <t>114,65</t>
  </si>
  <si>
    <t>112,56</t>
  </si>
  <si>
    <t>119,91</t>
  </si>
  <si>
    <t>118,43</t>
  </si>
  <si>
    <t>117,81</t>
  </si>
  <si>
    <t>115,35</t>
  </si>
  <si>
    <t>118,53</t>
  </si>
  <si>
    <t>121,96</t>
  </si>
  <si>
    <t>125,76</t>
  </si>
  <si>
    <t>122,83</t>
  </si>
  <si>
    <t>121,32</t>
  </si>
  <si>
    <t>118,78</t>
  </si>
  <si>
    <t>118,38</t>
  </si>
  <si>
    <t>119,51</t>
  </si>
  <si>
    <t>117,42</t>
  </si>
  <si>
    <t>113,92</t>
  </si>
  <si>
    <t>110,64</t>
  </si>
  <si>
    <t>109,84</t>
  </si>
  <si>
    <t>112,69</t>
  </si>
  <si>
    <t>113,42</t>
  </si>
  <si>
    <t>114,08</t>
  </si>
  <si>
    <t>114,05</t>
  </si>
  <si>
    <t>114,71</t>
  </si>
  <si>
    <t>114,41</t>
  </si>
  <si>
    <t>115,34</t>
  </si>
  <si>
    <t>116,37</t>
  </si>
  <si>
    <t>116,08</t>
  </si>
  <si>
    <t>114,4</t>
  </si>
  <si>
    <t>112,27</t>
  </si>
  <si>
    <t>109,27</t>
  </si>
  <si>
    <t>109,12</t>
  </si>
  <si>
    <t>107,68</t>
  </si>
  <si>
    <t>109,81</t>
  </si>
  <si>
    <t>110</t>
  </si>
  <si>
    <t>105,49</t>
  </si>
  <si>
    <t>108,58</t>
  </si>
  <si>
    <t>108,03</t>
  </si>
  <si>
    <t>106,1</t>
  </si>
  <si>
    <t>105,7</t>
  </si>
  <si>
    <t>104,07</t>
  </si>
  <si>
    <t>104,14</t>
  </si>
  <si>
    <t>108,1</t>
  </si>
  <si>
    <t>109,73</t>
  </si>
  <si>
    <t>108,55</t>
  </si>
  <si>
    <t>108,11</t>
  </si>
  <si>
    <t>109,48</t>
  </si>
  <si>
    <t>111,73</t>
  </si>
  <si>
    <t>113,06</t>
  </si>
  <si>
    <t>113,37</t>
  </si>
  <si>
    <t>113,62</t>
  </si>
  <si>
    <t>117,86</t>
  </si>
  <si>
    <t>119,2</t>
  </si>
  <si>
    <t>118,89</t>
  </si>
  <si>
    <t>116,91</t>
  </si>
  <si>
    <t>114,39</t>
  </si>
  <si>
    <t>117,48</t>
  </si>
  <si>
    <t>117,98</t>
  </si>
  <si>
    <t>118,48</t>
  </si>
  <si>
    <t>118,26</t>
  </si>
  <si>
    <t>121,41</t>
  </si>
  <si>
    <t>124,1</t>
  </si>
  <si>
    <t>122</t>
  </si>
  <si>
    <t>119,18</t>
  </si>
  <si>
    <t>119,46</t>
  </si>
  <si>
    <t>123,53</t>
  </si>
  <si>
    <t>126,56</t>
  </si>
  <si>
    <t>128,35</t>
  </si>
  <si>
    <t>127,77</t>
  </si>
  <si>
    <t>130,05</t>
  </si>
  <si>
    <t>130,22</t>
  </si>
  <si>
    <t>126,8</t>
  </si>
  <si>
    <t>129,06</t>
  </si>
  <si>
    <t>131,4</t>
  </si>
  <si>
    <t>132,94</t>
  </si>
  <si>
    <t>135</t>
  </si>
  <si>
    <t>132,95</t>
  </si>
  <si>
    <t>130,54</t>
  </si>
  <si>
    <t>128,42</t>
  </si>
  <si>
    <t>125,57</t>
  </si>
  <si>
    <t>125,84</t>
  </si>
  <si>
    <t>125,79</t>
  </si>
  <si>
    <t>130,78</t>
  </si>
  <si>
    <t>129,51</t>
  </si>
  <si>
    <t>123,81</t>
  </si>
  <si>
    <t>128,49</t>
  </si>
  <si>
    <t>125,88</t>
  </si>
  <si>
    <t>119,32</t>
  </si>
  <si>
    <t>120,22</t>
  </si>
  <si>
    <t>120,91</t>
  </si>
  <si>
    <t>126,36</t>
  </si>
  <si>
    <t>130,3</t>
  </si>
  <si>
    <t>128,29</t>
  </si>
  <si>
    <t>131,9</t>
  </si>
  <si>
    <t>132,4</t>
  </si>
  <si>
    <t>137,76</t>
  </si>
  <si>
    <t>139,44</t>
  </si>
  <si>
    <t>145,69</t>
  </si>
  <si>
    <t>151,42</t>
  </si>
  <si>
    <t>145,79</t>
  </si>
  <si>
    <t>145,73</t>
  </si>
  <si>
    <t>145,85</t>
  </si>
  <si>
    <t>148,3</t>
  </si>
  <si>
    <t>146,65</t>
  </si>
  <si>
    <t>147,42</t>
  </si>
  <si>
    <t>151,13</t>
  </si>
  <si>
    <t>153,81</t>
  </si>
  <si>
    <t>153,25</t>
  </si>
  <si>
    <t>152,64</t>
  </si>
  <si>
    <t>153,98</t>
  </si>
  <si>
    <t>158,14</t>
  </si>
  <si>
    <t>160,34</t>
  </si>
  <si>
    <t>167,1</t>
  </si>
  <si>
    <t>171,03</t>
  </si>
  <si>
    <t>169,6</t>
  </si>
  <si>
    <t>165,16</t>
  </si>
  <si>
    <t>172,64</t>
  </si>
  <si>
    <t>182,39</t>
  </si>
  <si>
    <t>184,49</t>
  </si>
  <si>
    <t>183,59</t>
  </si>
  <si>
    <t>169,18</t>
  </si>
  <si>
    <t>165,83</t>
  </si>
  <si>
    <t>158,15</t>
  </si>
  <si>
    <t>159,83</t>
  </si>
  <si>
    <t>153,14</t>
  </si>
  <si>
    <t>152,82</t>
  </si>
  <si>
    <t>153,9</t>
  </si>
  <si>
    <t>153,55</t>
  </si>
  <si>
    <t>154,63</t>
  </si>
  <si>
    <t>150,35</t>
  </si>
  <si>
    <t>149,8</t>
  </si>
  <si>
    <t>151,74</t>
  </si>
  <si>
    <t>149,97</t>
  </si>
  <si>
    <t>148,74</t>
  </si>
  <si>
    <t>148,56</t>
  </si>
  <si>
    <t>149,96</t>
  </si>
  <si>
    <t>152,06</t>
  </si>
  <si>
    <t>152,17</t>
  </si>
  <si>
    <t>154,26</t>
  </si>
  <si>
    <t>151,07</t>
  </si>
  <si>
    <t>151,62</t>
  </si>
  <si>
    <t>153,13</t>
  </si>
  <si>
    <t>150,86</t>
  </si>
  <si>
    <t>149,4</t>
  </si>
  <si>
    <t>146,8</t>
  </si>
  <si>
    <t>146,74</t>
  </si>
  <si>
    <t>144,1</t>
  </si>
  <si>
    <t>142,6</t>
  </si>
  <si>
    <t>141,38</t>
  </si>
  <si>
    <t>143,51</t>
  </si>
  <si>
    <t>143,39</t>
  </si>
  <si>
    <t>143,19</t>
  </si>
  <si>
    <t>143,04</t>
  </si>
  <si>
    <t>140,98</t>
  </si>
  <si>
    <t>138,8</t>
  </si>
  <si>
    <t>141,63</t>
  </si>
  <si>
    <t>143,46</t>
  </si>
  <si>
    <t>142,96</t>
  </si>
  <si>
    <t>143,77</t>
  </si>
  <si>
    <t>144,43</t>
  </si>
  <si>
    <t>146,68</t>
  </si>
  <si>
    <t>148,71</t>
  </si>
  <si>
    <t>148,46</t>
  </si>
  <si>
    <t>148,44</t>
  </si>
  <si>
    <t>149,81</t>
  </si>
  <si>
    <t>150,65</t>
  </si>
  <si>
    <t>151,44</t>
  </si>
  <si>
    <t>151,39</t>
  </si>
  <si>
    <t>151,69</t>
  </si>
  <si>
    <t>150,67</t>
  </si>
  <si>
    <t>152,55</t>
  </si>
  <si>
    <t>152,94</t>
  </si>
  <si>
    <t>152,56</t>
  </si>
  <si>
    <t>153,45</t>
  </si>
  <si>
    <t>153,87</t>
  </si>
  <si>
    <t>155,34</t>
  </si>
  <si>
    <t>154,41</t>
  </si>
  <si>
    <t>154,69</t>
  </si>
  <si>
    <t>155,82</t>
  </si>
  <si>
    <t>156,25</t>
  </si>
  <si>
    <t>156,43</t>
  </si>
  <si>
    <t>155,94</t>
  </si>
  <si>
    <t>155,11</t>
  </si>
  <si>
    <t>155,58</t>
  </si>
  <si>
    <t>155,9</t>
  </si>
  <si>
    <t>152,39</t>
  </si>
  <si>
    <t>150,64</t>
  </si>
  <si>
    <t>148,35</t>
  </si>
  <si>
    <t>145,18</t>
  </si>
  <si>
    <t>143,41</t>
  </si>
  <si>
    <t>142,64</t>
  </si>
  <si>
    <t>143,66</t>
  </si>
  <si>
    <t>145,86</t>
  </si>
  <si>
    <t>147,26</t>
  </si>
  <si>
    <t>150,77</t>
  </si>
  <si>
    <t>152,2</t>
  </si>
  <si>
    <t>153,06</t>
  </si>
  <si>
    <t>151,56</t>
  </si>
  <si>
    <t>151,6</t>
  </si>
  <si>
    <t>153,56</t>
  </si>
  <si>
    <t>154,44</t>
  </si>
  <si>
    <t>150,56</t>
  </si>
  <si>
    <t>150,62</t>
  </si>
  <si>
    <t>151,48</t>
  </si>
  <si>
    <t>151,06</t>
  </si>
  <si>
    <t>151,91</t>
  </si>
  <si>
    <t>151,28</t>
  </si>
  <si>
    <t>149,01</t>
  </si>
  <si>
    <t>148,95</t>
  </si>
  <si>
    <t>149,23</t>
  </si>
  <si>
    <t>147,25</t>
  </si>
  <si>
    <t>145,22</t>
  </si>
  <si>
    <t>146,17</t>
  </si>
  <si>
    <t>147,33</t>
  </si>
  <si>
    <t>148,47</t>
  </si>
  <si>
    <t>150,45</t>
  </si>
  <si>
    <t>150,85</t>
  </si>
  <si>
    <t>151,33</t>
  </si>
  <si>
    <t>150,83</t>
  </si>
  <si>
    <t>151,63</t>
  </si>
  <si>
    <t>151,88</t>
  </si>
  <si>
    <t>152,07</t>
  </si>
  <si>
    <t>151,99</t>
  </si>
  <si>
    <t>151,81</t>
  </si>
  <si>
    <t>152,05</t>
  </si>
  <si>
    <t>155,14</t>
  </si>
  <si>
    <t>157,31</t>
  </si>
  <si>
    <t>158,37</t>
  </si>
  <si>
    <t>157,47</t>
  </si>
  <si>
    <t>159,65</t>
  </si>
  <si>
    <t>159,68</t>
  </si>
  <si>
    <t>159,58</t>
  </si>
  <si>
    <t>158,55</t>
  </si>
  <si>
    <t>159,15</t>
  </si>
  <si>
    <t>158,06</t>
  </si>
  <si>
    <t>156,89</t>
  </si>
  <si>
    <t>157,72</t>
  </si>
  <si>
    <t>160,28</t>
  </si>
  <si>
    <t>159,01</t>
  </si>
  <si>
    <t>160,87</t>
  </si>
  <si>
    <t>162,45</t>
  </si>
  <si>
    <t>162,91</t>
  </si>
  <si>
    <t>164,64</t>
  </si>
  <si>
    <t>165,32</t>
  </si>
  <si>
    <t>165,08</t>
  </si>
  <si>
    <t>164,35</t>
  </si>
  <si>
    <t>165,49</t>
  </si>
  <si>
    <t>169,24</t>
  </si>
  <si>
    <t>166,83</t>
  </si>
  <si>
    <t>168</t>
  </si>
  <si>
    <t>167,06</t>
  </si>
  <si>
    <t>167,21</t>
  </si>
  <si>
    <t>167,07</t>
  </si>
  <si>
    <t>167,33</t>
  </si>
  <si>
    <t>166,49</t>
  </si>
  <si>
    <t>164,92</t>
  </si>
  <si>
    <t>164,66</t>
  </si>
  <si>
    <t>163,91</t>
  </si>
  <si>
    <t>165,63</t>
  </si>
  <si>
    <t>165,89</t>
  </si>
  <si>
    <t>167,59</t>
  </si>
  <si>
    <t>167,24</t>
  </si>
  <si>
    <t>169,08</t>
  </si>
  <si>
    <t>169,13</t>
  </si>
  <si>
    <t>168,87</t>
  </si>
  <si>
    <t>170,82</t>
  </si>
  <si>
    <t>170,34</t>
  </si>
  <si>
    <t>169,98</t>
  </si>
  <si>
    <t>171,84</t>
  </si>
  <si>
    <t>172,1</t>
  </si>
  <si>
    <t>172,71</t>
  </si>
  <si>
    <t>176,17</t>
  </si>
  <si>
    <t>174,46</t>
  </si>
  <si>
    <t>174,66</t>
  </si>
  <si>
    <t>174,26</t>
  </si>
  <si>
    <t>171,73</t>
  </si>
  <si>
    <t>171,92</t>
  </si>
  <si>
    <t>173</t>
  </si>
  <si>
    <t>174,03</t>
  </si>
  <si>
    <t>175,44</t>
  </si>
  <si>
    <t>178,2</t>
  </si>
  <si>
    <t>178,98</t>
  </si>
  <si>
    <t>179,13</t>
  </si>
  <si>
    <t>180,01</t>
  </si>
  <si>
    <t>179,88</t>
  </si>
  <si>
    <t>180,64</t>
  </si>
  <si>
    <t>180,71</t>
  </si>
  <si>
    <t>181,31</t>
  </si>
  <si>
    <t>181,3</t>
  </si>
  <si>
    <t>181,92</t>
  </si>
  <si>
    <t>181,74</t>
  </si>
  <si>
    <t>180,56</t>
  </si>
  <si>
    <t>179,23</t>
  </si>
  <si>
    <t>179,69</t>
  </si>
  <si>
    <t>178,39</t>
  </si>
  <si>
    <t>177,46</t>
  </si>
  <si>
    <t>176,33</t>
  </si>
  <si>
    <t>177,52</t>
  </si>
  <si>
    <t>175,71</t>
  </si>
  <si>
    <t>178,97</t>
  </si>
  <si>
    <t>177,07</t>
  </si>
  <si>
    <t>177,04</t>
  </si>
  <si>
    <t>179,66</t>
  </si>
  <si>
    <t>179,6</t>
  </si>
  <si>
    <t>177,45</t>
  </si>
  <si>
    <t>176,49</t>
  </si>
  <si>
    <t>176,61</t>
  </si>
  <si>
    <t>177,35</t>
  </si>
  <si>
    <t>177,72</t>
  </si>
  <si>
    <t>175,73</t>
  </si>
  <si>
    <t>177,01</t>
  </si>
  <si>
    <t>177,68</t>
  </si>
  <si>
    <t>177,69</t>
  </si>
  <si>
    <t>177,98</t>
  </si>
  <si>
    <t>181,17</t>
  </si>
  <si>
    <t>178,15</t>
  </si>
  <si>
    <t>178,48</t>
  </si>
  <si>
    <t>181,7</t>
  </si>
  <si>
    <t>183,42</t>
  </si>
  <si>
    <t>178,04</t>
  </si>
  <si>
    <t>179,48</t>
  </si>
  <si>
    <t>180,61</t>
  </si>
  <si>
    <t>180,62</t>
  </si>
  <si>
    <t>182,28</t>
  </si>
  <si>
    <t>185,38</t>
  </si>
  <si>
    <t>186,86</t>
  </si>
  <si>
    <t>188,39</t>
  </si>
  <si>
    <t>190,6</t>
  </si>
  <si>
    <t>192,24</t>
  </si>
  <si>
    <t>193,99</t>
  </si>
  <si>
    <t>194,67</t>
  </si>
  <si>
    <t>194,34</t>
  </si>
  <si>
    <t>192,15</t>
  </si>
  <si>
    <t>192,62</t>
  </si>
  <si>
    <t>192,82</t>
  </si>
  <si>
    <t>190,37</t>
  </si>
  <si>
    <t>190,89</t>
  </si>
  <si>
    <t>192,05</t>
  </si>
  <si>
    <t>191,59</t>
  </si>
  <si>
    <t>191,6</t>
  </si>
  <si>
    <t>192,94</t>
  </si>
  <si>
    <t>193,47</t>
  </si>
  <si>
    <t>194,43</t>
  </si>
  <si>
    <t>195,89</t>
  </si>
  <si>
    <t>195,88</t>
  </si>
  <si>
    <t>198,07</t>
  </si>
  <si>
    <t>200,51</t>
  </si>
  <si>
    <t>200,21</t>
  </si>
  <si>
    <t>201,49</t>
  </si>
  <si>
    <t>202</t>
  </si>
  <si>
    <t>205,03</t>
  </si>
  <si>
    <t>210,13</t>
  </si>
  <si>
    <t>214,84</t>
  </si>
  <si>
    <t>216,98</t>
  </si>
  <si>
    <t>215,85</t>
  </si>
  <si>
    <t>216,65</t>
  </si>
  <si>
    <t>218,07</t>
  </si>
  <si>
    <t>216,4</t>
  </si>
  <si>
    <t>212,43</t>
  </si>
  <si>
    <t>213,81</t>
  </si>
  <si>
    <t>214,71</t>
  </si>
  <si>
    <t>216,88</t>
  </si>
  <si>
    <t>208,67</t>
  </si>
  <si>
    <t>211,85</t>
  </si>
  <si>
    <t>212,66</t>
  </si>
  <si>
    <t>213,32</t>
  </si>
  <si>
    <t>215,99</t>
  </si>
  <si>
    <t>216,71</t>
  </si>
  <si>
    <t>216,04</t>
  </si>
  <si>
    <t>213,78</t>
  </si>
  <si>
    <t>211,66</t>
  </si>
  <si>
    <t>210,79</t>
  </si>
  <si>
    <t>216,49</t>
  </si>
  <si>
    <t>220,41</t>
  </si>
  <si>
    <t>219,71</t>
  </si>
  <si>
    <t>218,34</t>
  </si>
  <si>
    <t>219,77</t>
  </si>
  <si>
    <t>216,63</t>
  </si>
  <si>
    <t>211,27</t>
  </si>
  <si>
    <t>208,29</t>
  </si>
  <si>
    <t>204,03</t>
  </si>
  <si>
    <t>204,54</t>
  </si>
  <si>
    <t>199,79</t>
  </si>
  <si>
    <t>201,28</t>
  </si>
  <si>
    <t>206,41</t>
  </si>
  <si>
    <t>206,18</t>
  </si>
  <si>
    <t>208,37</t>
  </si>
  <si>
    <t>207,5</t>
  </si>
  <si>
    <t>203,44</t>
  </si>
  <si>
    <t>198,93</t>
  </si>
  <si>
    <t>200,64</t>
  </si>
  <si>
    <t>202,78</t>
  </si>
  <si>
    <t>204,09</t>
  </si>
  <si>
    <t>205,63</t>
  </si>
  <si>
    <t>208,01</t>
  </si>
  <si>
    <t>211,68</t>
  </si>
  <si>
    <t>212,08</t>
  </si>
  <si>
    <t>213,3</t>
  </si>
  <si>
    <t>209,84</t>
  </si>
  <si>
    <t>208,5</t>
  </si>
  <si>
    <t>208,66</t>
  </si>
  <si>
    <t>207,81</t>
  </si>
  <si>
    <t>210,25</t>
  </si>
  <si>
    <t>211,08</t>
  </si>
  <si>
    <t>214,34</t>
  </si>
  <si>
    <t>222,3</t>
  </si>
  <si>
    <t>225,1</t>
  </si>
  <si>
    <t>222,73</t>
  </si>
  <si>
    <t>228,77</t>
  </si>
  <si>
    <t>230,96</t>
  </si>
  <si>
    <t>234,24</t>
  </si>
  <si>
    <t>223,25</t>
  </si>
  <si>
    <t>222,96</t>
  </si>
  <si>
    <t>222,09</t>
  </si>
  <si>
    <t>218,45</t>
  </si>
  <si>
    <t>220,09</t>
  </si>
  <si>
    <t>220,47</t>
  </si>
  <si>
    <t>218,91</t>
  </si>
  <si>
    <t>215,04</t>
  </si>
  <si>
    <t>213,55</t>
  </si>
  <si>
    <t>215,38</t>
  </si>
  <si>
    <t>215,83</t>
  </si>
  <si>
    <t>213,62</t>
  </si>
  <si>
    <t>210,71</t>
  </si>
  <si>
    <t>210,56</t>
  </si>
  <si>
    <t>207,47</t>
  </si>
  <si>
    <t>205,71</t>
  </si>
  <si>
    <t>200,95</t>
  </si>
  <si>
    <t>203,24</t>
  </si>
  <si>
    <t>200,3</t>
  </si>
  <si>
    <t>199,6</t>
  </si>
  <si>
    <t>202,83</t>
  </si>
  <si>
    <t>201,58</t>
  </si>
  <si>
    <t>201,17</t>
  </si>
  <si>
    <t>198,92</t>
  </si>
  <si>
    <t>191,08</t>
  </si>
  <si>
    <t>187,69</t>
  </si>
  <si>
    <t>189,91</t>
  </si>
  <si>
    <t>194,96</t>
  </si>
  <si>
    <t>195,87</t>
  </si>
  <si>
    <t>196,59</t>
  </si>
  <si>
    <t>197,59</t>
  </si>
  <si>
    <t>200,74</t>
  </si>
  <si>
    <t>201,37</t>
  </si>
  <si>
    <t>199,5</t>
  </si>
  <si>
    <t>195,98</t>
  </si>
  <si>
    <t>191,52</t>
  </si>
  <si>
    <t>191,89</t>
  </si>
  <si>
    <t>191,33</t>
  </si>
  <si>
    <t>190</t>
  </si>
  <si>
    <t>189,56</t>
  </si>
  <si>
    <t>189,69</t>
  </si>
  <si>
    <t>189,62</t>
  </si>
  <si>
    <t>190,39</t>
  </si>
  <si>
    <t>191,15</t>
  </si>
  <si>
    <t>190,75</t>
  </si>
  <si>
    <t>188,74</t>
  </si>
  <si>
    <t>191,26</t>
  </si>
  <si>
    <t>195,95</t>
  </si>
  <si>
    <t>204,05</t>
  </si>
  <si>
    <t>209,96</t>
  </si>
  <si>
    <t>209,66</t>
  </si>
  <si>
    <t>214,03</t>
  </si>
  <si>
    <t>210,07</t>
  </si>
  <si>
    <t>205,85</t>
  </si>
  <si>
    <t>207,36</t>
  </si>
  <si>
    <t>210,36</t>
  </si>
  <si>
    <t>207</t>
  </si>
  <si>
    <t>204,67</t>
  </si>
  <si>
    <t>205,82</t>
  </si>
  <si>
    <t>208,84</t>
  </si>
  <si>
    <t>207,63</t>
  </si>
  <si>
    <t>209,19</t>
  </si>
  <si>
    <t>207,94</t>
  </si>
  <si>
    <t>209,81</t>
  </si>
  <si>
    <t>213,44</t>
  </si>
  <si>
    <t>213,54</t>
  </si>
  <si>
    <t>210,74</t>
  </si>
  <si>
    <t>211,22</t>
  </si>
  <si>
    <t>210,75</t>
  </si>
  <si>
    <t>212,75</t>
  </si>
  <si>
    <t>214,35</t>
  </si>
  <si>
    <t>213,47</t>
  </si>
  <si>
    <t>210,92</t>
  </si>
  <si>
    <t>209,28</t>
  </si>
  <si>
    <t>209,39</t>
  </si>
  <si>
    <t>210,47</t>
  </si>
  <si>
    <t>209,57</t>
  </si>
  <si>
    <t>210,61</t>
  </si>
  <si>
    <t>220,83</t>
  </si>
  <si>
    <t>228,91</t>
  </si>
  <si>
    <t>240,83</t>
  </si>
  <si>
    <t>241,2</t>
  </si>
  <si>
    <t>238,81</t>
  </si>
  <si>
    <t>241,35</t>
  </si>
  <si>
    <t>237,86</t>
  </si>
  <si>
    <t>237,11</t>
  </si>
  <si>
    <t>237,07</t>
  </si>
  <si>
    <t>244,83</t>
  </si>
  <si>
    <t>249,92</t>
  </si>
  <si>
    <t>249,72</t>
  </si>
  <si>
    <t>253,14</t>
  </si>
  <si>
    <t>251,86</t>
  </si>
  <si>
    <t>280,95</t>
  </si>
  <si>
    <t>276,83</t>
  </si>
  <si>
    <t>280,2</t>
  </si>
  <si>
    <t>297,17</t>
  </si>
  <si>
    <t>303,14</t>
  </si>
  <si>
    <t>298,94</t>
  </si>
  <si>
    <t>291,97</t>
  </si>
  <si>
    <t>292,08</t>
  </si>
  <si>
    <t>296,6</t>
  </si>
  <si>
    <t>300,64</t>
  </si>
  <si>
    <t>304,66</t>
  </si>
  <si>
    <t>307,97</t>
  </si>
  <si>
    <t>311,75</t>
  </si>
  <si>
    <t>333,65</t>
  </si>
  <si>
    <t>325,42</t>
  </si>
  <si>
    <t>329,39</t>
  </si>
  <si>
    <t>333,06</t>
  </si>
  <si>
    <t>332,65</t>
  </si>
  <si>
    <t>314,59</t>
  </si>
  <si>
    <t>289,11</t>
  </si>
  <si>
    <t>281,77</t>
  </si>
  <si>
    <t>288,07</t>
  </si>
  <si>
    <t>288,92</t>
  </si>
  <si>
    <t>293,31</t>
  </si>
  <si>
    <t>285,54</t>
  </si>
  <si>
    <t>284,74</t>
  </si>
  <si>
    <t>287,31</t>
  </si>
  <si>
    <t>287,86</t>
  </si>
  <si>
    <t>285,04</t>
  </si>
  <si>
    <t>286,11</t>
  </si>
  <si>
    <t>282,06</t>
  </si>
  <si>
    <t>286,91</t>
  </si>
  <si>
    <t>294,5</t>
  </si>
  <si>
    <t>301,67</t>
  </si>
  <si>
    <t>298,4</t>
  </si>
  <si>
    <t>299,67</t>
  </si>
  <si>
    <t>299,1</t>
  </si>
  <si>
    <t>295,93</t>
  </si>
  <si>
    <t>289,2</t>
  </si>
  <si>
    <t>295,49</t>
  </si>
  <si>
    <t>295,9</t>
  </si>
  <si>
    <t>289,76</t>
  </si>
  <si>
    <t>293,79</t>
  </si>
  <si>
    <t>283,65</t>
  </si>
  <si>
    <t>285,06</t>
  </si>
  <si>
    <t>282,46</t>
  </si>
  <si>
    <t>283,64</t>
  </si>
  <si>
    <t>281,61</t>
  </si>
  <si>
    <t>280,6</t>
  </si>
  <si>
    <t>280,59</t>
  </si>
  <si>
    <t>283,72</t>
  </si>
  <si>
    <t>295,78</t>
  </si>
  <si>
    <t>300,89</t>
  </si>
  <si>
    <t>303,93</t>
  </si>
  <si>
    <t>302,17</t>
  </si>
  <si>
    <t>307,45</t>
  </si>
  <si>
    <t>314,8</t>
  </si>
  <si>
    <t>311,56</t>
  </si>
  <si>
    <t>311,34</t>
  </si>
  <si>
    <t>307,91</t>
  </si>
  <si>
    <t>307,13</t>
  </si>
  <si>
    <t>306,08</t>
  </si>
  <si>
    <t>310,92</t>
  </si>
  <si>
    <t>309,4</t>
  </si>
  <si>
    <t>309,53</t>
  </si>
  <si>
    <t>310,77</t>
  </si>
  <si>
    <t>307,38</t>
  </si>
  <si>
    <t>305,66</t>
  </si>
  <si>
    <t>307,4</t>
  </si>
  <si>
    <t>313,94</t>
  </si>
  <si>
    <t>313,11</t>
  </si>
  <si>
    <t>308,09</t>
  </si>
  <si>
    <t>304,13</t>
  </si>
  <si>
    <t>303,03</t>
  </si>
  <si>
    <t>304,01</t>
  </si>
  <si>
    <t>303,7</t>
  </si>
  <si>
    <t>303,96</t>
  </si>
  <si>
    <t>305,82</t>
  </si>
  <si>
    <t>305,93</t>
  </si>
  <si>
    <t>307,48</t>
  </si>
  <si>
    <t>305,8</t>
  </si>
  <si>
    <t>307,3</t>
  </si>
  <si>
    <t>303,67</t>
  </si>
  <si>
    <t>303,38</t>
  </si>
  <si>
    <t>304,93</t>
  </si>
  <si>
    <t>304,55</t>
  </si>
  <si>
    <t>303,11</t>
  </si>
  <si>
    <t>304,99</t>
  </si>
  <si>
    <t>306,28</t>
  </si>
  <si>
    <t>309,08</t>
  </si>
  <si>
    <t>310,08</t>
  </si>
  <si>
    <t>310,89</t>
  </si>
  <si>
    <t>319,12</t>
  </si>
  <si>
    <t>324,62</t>
  </si>
  <si>
    <t>334,79</t>
  </si>
  <si>
    <t>332,24</t>
  </si>
  <si>
    <t>330,95</t>
  </si>
  <si>
    <t>325,72</t>
  </si>
  <si>
    <t>322,61</t>
  </si>
  <si>
    <t>323,02</t>
  </si>
  <si>
    <t>322,49</t>
  </si>
  <si>
    <t>322,74</t>
  </si>
  <si>
    <t>322,75</t>
  </si>
  <si>
    <t>323,72</t>
  </si>
  <si>
    <t>327</t>
  </si>
  <si>
    <t>330,47</t>
  </si>
  <si>
    <t>340,4</t>
  </si>
  <si>
    <t>338,09</t>
  </si>
  <si>
    <t>332,38</t>
  </si>
  <si>
    <t>333,68</t>
  </si>
  <si>
    <t>330,13</t>
  </si>
  <si>
    <t>332,67</t>
  </si>
  <si>
    <t>332,31</t>
  </si>
  <si>
    <t>332,43</t>
  </si>
  <si>
    <t>331,58</t>
  </si>
  <si>
    <t>332,95</t>
  </si>
  <si>
    <t>333,48</t>
  </si>
  <si>
    <t>333,16</t>
  </si>
  <si>
    <t>334,85</t>
  </si>
  <si>
    <t>337,49</t>
  </si>
  <si>
    <t>346,15</t>
  </si>
  <si>
    <t>340,5</t>
  </si>
  <si>
    <t>344,13</t>
  </si>
  <si>
    <t>344,88</t>
  </si>
  <si>
    <t>344,44</t>
  </si>
  <si>
    <t>339,48</t>
  </si>
  <si>
    <t>342,16</t>
  </si>
  <si>
    <t>338,92</t>
  </si>
  <si>
    <t>333,97</t>
  </si>
  <si>
    <t>331,97</t>
  </si>
  <si>
    <t>336,96</t>
  </si>
  <si>
    <t>343,57</t>
  </si>
  <si>
    <t>349,26</t>
  </si>
  <si>
    <t>356,38</t>
  </si>
  <si>
    <t>362,19</t>
  </si>
  <si>
    <t>351,82</t>
  </si>
  <si>
    <t>355,41</t>
  </si>
  <si>
    <t>360,98</t>
  </si>
  <si>
    <t>363,19</t>
  </si>
  <si>
    <t>360,03</t>
  </si>
  <si>
    <t>365,99</t>
  </si>
  <si>
    <t>369,39</t>
  </si>
  <si>
    <t>370,39</t>
  </si>
  <si>
    <t>369,52</t>
  </si>
  <si>
    <t>367,42</t>
  </si>
  <si>
    <t>367,07</t>
  </si>
  <si>
    <t>366,83</t>
  </si>
  <si>
    <t>362,95</t>
  </si>
  <si>
    <t>365,71</t>
  </si>
  <si>
    <t>366,16</t>
  </si>
  <si>
    <t>366,13</t>
  </si>
  <si>
    <t>371,6</t>
  </si>
  <si>
    <t>371,23</t>
  </si>
  <si>
    <t>370,87</t>
  </si>
  <si>
    <t>369,82</t>
  </si>
  <si>
    <t>368,52</t>
  </si>
  <si>
    <t>370,02</t>
  </si>
  <si>
    <t>369,8</t>
  </si>
  <si>
    <t>368,46</t>
  </si>
  <si>
    <t>367,03</t>
  </si>
  <si>
    <t>367,02</t>
  </si>
  <si>
    <t>364,93</t>
  </si>
  <si>
    <t>366,41</t>
  </si>
  <si>
    <t>368,88</t>
  </si>
  <si>
    <t>372,57</t>
  </si>
  <si>
    <t>372,31</t>
  </si>
  <si>
    <t>372,68</t>
  </si>
  <si>
    <t>375,69</t>
  </si>
  <si>
    <t>378,96</t>
  </si>
  <si>
    <t>387,78</t>
  </si>
  <si>
    <t>393,68</t>
  </si>
  <si>
    <t>395,5</t>
  </si>
  <si>
    <t>391,47</t>
  </si>
  <si>
    <t>397,07</t>
  </si>
  <si>
    <t>400,62</t>
  </si>
  <si>
    <t>403,57</t>
  </si>
  <si>
    <t>401,36</t>
  </si>
  <si>
    <t>399,62</t>
  </si>
  <si>
    <t>397,17</t>
  </si>
  <si>
    <t>390,19</t>
  </si>
  <si>
    <t>392,58</t>
  </si>
  <si>
    <t>390,63</t>
  </si>
  <si>
    <t>395,89</t>
  </si>
  <si>
    <t>402,79</t>
  </si>
  <si>
    <t>406,54</t>
  </si>
  <si>
    <t>406,77</t>
  </si>
  <si>
    <t>409,82</t>
  </si>
  <si>
    <t>408,24</t>
  </si>
  <si>
    <t>403,17</t>
  </si>
  <si>
    <t>398,97</t>
  </si>
  <si>
    <t>398,31</t>
  </si>
  <si>
    <t>402,14</t>
  </si>
  <si>
    <t>404,88</t>
  </si>
  <si>
    <t>409,04</t>
  </si>
  <si>
    <t>425,9</t>
  </si>
  <si>
    <t>429,65</t>
  </si>
  <si>
    <t>435,74</t>
  </si>
  <si>
    <t>455,11</t>
  </si>
  <si>
    <t>462,35</t>
  </si>
  <si>
    <t>465,97</t>
  </si>
  <si>
    <t>469,32</t>
  </si>
  <si>
    <t>457,29</t>
  </si>
  <si>
    <t>453,16</t>
  </si>
  <si>
    <t>459,89</t>
  </si>
  <si>
    <t>448,51</t>
  </si>
  <si>
    <t>448,21</t>
  </si>
  <si>
    <t>456,03</t>
  </si>
  <si>
    <t>457,76</t>
  </si>
  <si>
    <t>453,3</t>
  </si>
  <si>
    <t>451,06</t>
  </si>
  <si>
    <t>453,96</t>
  </si>
  <si>
    <t>469,15</t>
  </si>
  <si>
    <t>472,71</t>
  </si>
  <si>
    <t>481,69</t>
  </si>
  <si>
    <t>483,73</t>
  </si>
  <si>
    <t>495,86</t>
  </si>
  <si>
    <t>493,16</t>
  </si>
  <si>
    <t>493,5</t>
  </si>
  <si>
    <t>495,11</t>
  </si>
  <si>
    <t>492,32</t>
  </si>
  <si>
    <t>497,59</t>
  </si>
  <si>
    <t>486,83</t>
  </si>
  <si>
    <t>492,42</t>
  </si>
  <si>
    <t>496,58</t>
  </si>
  <si>
    <t>497,22</t>
  </si>
  <si>
    <t>495,88</t>
  </si>
  <si>
    <t>494,69</t>
  </si>
  <si>
    <t>493,57</t>
  </si>
  <si>
    <t>499,01</t>
  </si>
  <si>
    <t>500,33</t>
  </si>
  <si>
    <t>501,29</t>
  </si>
  <si>
    <t>500,91</t>
  </si>
  <si>
    <t>501,6</t>
  </si>
  <si>
    <t>506,61</t>
  </si>
  <si>
    <t>506,69</t>
  </si>
  <si>
    <t>507,04</t>
  </si>
  <si>
    <t>511,2</t>
  </si>
  <si>
    <t>520,02</t>
  </si>
  <si>
    <t>510,41</t>
  </si>
  <si>
    <t>509,74</t>
  </si>
  <si>
    <t>503,55</t>
  </si>
  <si>
    <t>505,66</t>
  </si>
  <si>
    <t>512,04</t>
  </si>
  <si>
    <t>508,87</t>
  </si>
  <si>
    <t>512,46</t>
  </si>
  <si>
    <t>510,08</t>
  </si>
  <si>
    <t>515,11</t>
  </si>
  <si>
    <t>516,65</t>
  </si>
  <si>
    <t>513,57</t>
  </si>
  <si>
    <t>513,99</t>
  </si>
  <si>
    <t>515,75</t>
  </si>
  <si>
    <t>525,97</t>
  </si>
  <si>
    <t>540,39</t>
  </si>
  <si>
    <t>533,71</t>
  </si>
  <si>
    <t>527,37</t>
  </si>
  <si>
    <t>528,27</t>
  </si>
  <si>
    <t>530,37</t>
  </si>
  <si>
    <t>533,87</t>
  </si>
  <si>
    <t>535,66</t>
  </si>
  <si>
    <t>540,84</t>
  </si>
  <si>
    <t>541,99</t>
  </si>
  <si>
    <t>544,92</t>
  </si>
  <si>
    <t>546,98</t>
  </si>
  <si>
    <t>551,27</t>
  </si>
  <si>
    <t>560,22</t>
  </si>
  <si>
    <t>568,59</t>
  </si>
  <si>
    <t>576,7</t>
  </si>
  <si>
    <t>585,41</t>
  </si>
  <si>
    <t>597,73</t>
  </si>
  <si>
    <t>597,3</t>
  </si>
  <si>
    <t>591,79</t>
  </si>
  <si>
    <t>598,74</t>
  </si>
  <si>
    <t>601,44</t>
  </si>
  <si>
    <t>655,06</t>
  </si>
  <si>
    <t>702,17</t>
  </si>
  <si>
    <t>722,92</t>
  </si>
  <si>
    <t>743,44</t>
  </si>
  <si>
    <t>746,14</t>
  </si>
  <si>
    <t>745,63</t>
  </si>
  <si>
    <t>746,72</t>
  </si>
  <si>
    <t>761,48</t>
  </si>
  <si>
    <t>770,24</t>
  </si>
  <si>
    <t>787,36</t>
  </si>
  <si>
    <t>802,48</t>
  </si>
  <si>
    <t>798,58</t>
  </si>
  <si>
    <t>780,54</t>
  </si>
  <si>
    <t>767,75</t>
  </si>
  <si>
    <t>769,98</t>
  </si>
  <si>
    <t>761,35</t>
  </si>
  <si>
    <t>762,84</t>
  </si>
  <si>
    <t>738,69</t>
  </si>
  <si>
    <t>741,21</t>
  </si>
  <si>
    <t>736,16</t>
  </si>
  <si>
    <t>739,15</t>
  </si>
  <si>
    <t>741,06</t>
  </si>
  <si>
    <t>742,47</t>
  </si>
  <si>
    <t>740,08</t>
  </si>
  <si>
    <t>734,31</t>
  </si>
  <si>
    <t>737,84</t>
  </si>
  <si>
    <t>742,81</t>
  </si>
  <si>
    <t>748,87</t>
  </si>
  <si>
    <t>752,82</t>
  </si>
  <si>
    <t>761,71</t>
  </si>
  <si>
    <t>775,52</t>
  </si>
  <si>
    <t>789,68</t>
  </si>
  <si>
    <t>818,85</t>
  </si>
  <si>
    <t>822,53</t>
  </si>
  <si>
    <t>829,67</t>
  </si>
  <si>
    <t>837,87</t>
  </si>
  <si>
    <t>904,66</t>
  </si>
  <si>
    <t>893,71</t>
  </si>
  <si>
    <t>892,12</t>
  </si>
  <si>
    <t>881,52</t>
  </si>
  <si>
    <t>953,91</t>
  </si>
  <si>
    <t>944,94</t>
  </si>
  <si>
    <t>966,96</t>
  </si>
  <si>
    <t>962,69</t>
  </si>
  <si>
    <t>952,59</t>
  </si>
  <si>
    <t>956,72</t>
  </si>
  <si>
    <t>1110,59</t>
  </si>
  <si>
    <t>935,19</t>
  </si>
  <si>
    <t>887,72</t>
  </si>
  <si>
    <t>888,99</t>
  </si>
  <si>
    <t>872,62</t>
  </si>
  <si>
    <t>856,85</t>
  </si>
  <si>
    <t>853,07</t>
  </si>
  <si>
    <t>864,84</t>
  </si>
  <si>
    <t>882,97</t>
  </si>
  <si>
    <t>883,21</t>
  </si>
  <si>
    <t>868,08</t>
  </si>
  <si>
    <t>857,82</t>
  </si>
  <si>
    <t>823,26</t>
  </si>
  <si>
    <t>871,56</t>
  </si>
  <si>
    <t>876,63</t>
  </si>
  <si>
    <t>877,44</t>
  </si>
  <si>
    <t>875,59</t>
  </si>
  <si>
    <t>872,97</t>
  </si>
  <si>
    <t>869,42</t>
  </si>
  <si>
    <t>876,27</t>
  </si>
  <si>
    <t>880,33</t>
  </si>
  <si>
    <t>947,16</t>
  </si>
  <si>
    <t>962</t>
  </si>
  <si>
    <t>924,24</t>
  </si>
  <si>
    <t>858,58</t>
  </si>
  <si>
    <t>849,27</t>
  </si>
  <si>
    <t>819,64</t>
  </si>
  <si>
    <t>834,4</t>
  </si>
  <si>
    <t>904,67</t>
  </si>
  <si>
    <t>MEP</t>
  </si>
  <si>
    <t>36,97</t>
  </si>
  <si>
    <t>36,63</t>
  </si>
  <si>
    <t>35,93</t>
  </si>
  <si>
    <t>35,89</t>
  </si>
  <si>
    <t>35,66</t>
  </si>
  <si>
    <t>35,79</t>
  </si>
  <si>
    <t>35,65</t>
  </si>
  <si>
    <t>35,76</t>
  </si>
  <si>
    <t>35,78</t>
  </si>
  <si>
    <t>35,55</t>
  </si>
  <si>
    <t>35,99</t>
  </si>
  <si>
    <t>36,06</t>
  </si>
  <si>
    <t>36,3</t>
  </si>
  <si>
    <t>36,15</t>
  </si>
  <si>
    <t>36,25</t>
  </si>
  <si>
    <t>36,43</t>
  </si>
  <si>
    <t>36,49</t>
  </si>
  <si>
    <t>39,17</t>
  </si>
  <si>
    <t>38,67</t>
  </si>
  <si>
    <t>38,62</t>
  </si>
  <si>
    <t>36,67</t>
  </si>
  <si>
    <t>37,57</t>
  </si>
  <si>
    <t>37,88</t>
  </si>
  <si>
    <t>37,83</t>
  </si>
  <si>
    <t>37,71</t>
  </si>
  <si>
    <t>37,75</t>
  </si>
  <si>
    <t>38,47</t>
  </si>
  <si>
    <t>38,53</t>
  </si>
  <si>
    <t>38,52</t>
  </si>
  <si>
    <t>38,41</t>
  </si>
  <si>
    <t>38,14</t>
  </si>
  <si>
    <t>38,55</t>
  </si>
  <si>
    <t>38,68</t>
  </si>
  <si>
    <t>38,11</t>
  </si>
  <si>
    <t>37,56</t>
  </si>
  <si>
    <t>37,37</t>
  </si>
  <si>
    <t>37,34</t>
  </si>
  <si>
    <t>36,99</t>
  </si>
  <si>
    <t>37,28</t>
  </si>
  <si>
    <t>37,2</t>
  </si>
  <si>
    <t>37,27</t>
  </si>
  <si>
    <t>37,44</t>
  </si>
  <si>
    <t>37,26</t>
  </si>
  <si>
    <t>37,95</t>
  </si>
  <si>
    <t>37,92</t>
  </si>
  <si>
    <t>38,09</t>
  </si>
  <si>
    <t>38,07</t>
  </si>
  <si>
    <t>38,21</t>
  </si>
  <si>
    <t>38,4</t>
  </si>
  <si>
    <t>38,84</t>
  </si>
  <si>
    <t>38,88</t>
  </si>
  <si>
    <t>39,29</t>
  </si>
  <si>
    <t>39,87</t>
  </si>
  <si>
    <t>39,49</t>
  </si>
  <si>
    <t>39,15</t>
  </si>
  <si>
    <t>38,9</t>
  </si>
  <si>
    <t>39,33</t>
  </si>
  <si>
    <t>40,16</t>
  </si>
  <si>
    <t>40,83</t>
  </si>
  <si>
    <t>42,81</t>
  </si>
  <si>
    <t>41,35</t>
  </si>
  <si>
    <t>41,38</t>
  </si>
  <si>
    <t>41,59</t>
  </si>
  <si>
    <t>41,23</t>
  </si>
  <si>
    <t>40,91</t>
  </si>
  <si>
    <t>40,03</t>
  </si>
  <si>
    <t>40,6</t>
  </si>
  <si>
    <t>40,78</t>
  </si>
  <si>
    <t>41,2</t>
  </si>
  <si>
    <t>42,13</t>
  </si>
  <si>
    <t>42,12</t>
  </si>
  <si>
    <t>42,66</t>
  </si>
  <si>
    <t>44,12</t>
  </si>
  <si>
    <t>43,82</t>
  </si>
  <si>
    <t>43,66</t>
  </si>
  <si>
    <t>42,96</t>
  </si>
  <si>
    <t>43,94</t>
  </si>
  <si>
    <t>43,62</t>
  </si>
  <si>
    <t>43,36</t>
  </si>
  <si>
    <t>43,09</t>
  </si>
  <si>
    <t>42,88</t>
  </si>
  <si>
    <t>41,8</t>
  </si>
  <si>
    <t>43,25</t>
  </si>
  <si>
    <t>42,49</t>
  </si>
  <si>
    <t>44,43</t>
  </si>
  <si>
    <t>46,24</t>
  </si>
  <si>
    <t>44,51</t>
  </si>
  <si>
    <t>44,27</t>
  </si>
  <si>
    <t>44,72</t>
  </si>
  <si>
    <t>44,35</t>
  </si>
  <si>
    <t>44,57</t>
  </si>
  <si>
    <t>45,53</t>
  </si>
  <si>
    <t>45,23</t>
  </si>
  <si>
    <t>45,08</t>
  </si>
  <si>
    <t>45,17</t>
  </si>
  <si>
    <t>45</t>
  </si>
  <si>
    <t>44,75</t>
  </si>
  <si>
    <t>45,14</t>
  </si>
  <si>
    <t>45,3</t>
  </si>
  <si>
    <t>44,82</t>
  </si>
  <si>
    <t>44,94</t>
  </si>
  <si>
    <t>44,39</t>
  </si>
  <si>
    <t>44,98</t>
  </si>
  <si>
    <t>44,6</t>
  </si>
  <si>
    <t>43,6</t>
  </si>
  <si>
    <t>43,28</t>
  </si>
  <si>
    <t>44,09</t>
  </si>
  <si>
    <t>43,45</t>
  </si>
  <si>
    <t>43,33</t>
  </si>
  <si>
    <t>42,59</t>
  </si>
  <si>
    <t>42,75</t>
  </si>
  <si>
    <t>42,48</t>
  </si>
  <si>
    <t>42,41</t>
  </si>
  <si>
    <t>41,91</t>
  </si>
  <si>
    <t>41,82</t>
  </si>
  <si>
    <t>42</t>
  </si>
  <si>
    <t>41,62</t>
  </si>
  <si>
    <t>41,69</t>
  </si>
  <si>
    <t>42,73</t>
  </si>
  <si>
    <t>42,5</t>
  </si>
  <si>
    <t>42,28</t>
  </si>
  <si>
    <t>42,94</t>
  </si>
  <si>
    <t>43,61</t>
  </si>
  <si>
    <t>43,65</t>
  </si>
  <si>
    <t>43,97</t>
  </si>
  <si>
    <t>44,07</t>
  </si>
  <si>
    <t>44,52</t>
  </si>
  <si>
    <t>45,59</t>
  </si>
  <si>
    <t>45,34</t>
  </si>
  <si>
    <t>45,57</t>
  </si>
  <si>
    <t>45,5</t>
  </si>
  <si>
    <t>54,52</t>
  </si>
  <si>
    <t>58,16</t>
  </si>
  <si>
    <t>60,73</t>
  </si>
  <si>
    <t>57,67</t>
  </si>
  <si>
    <t>55,88</t>
  </si>
  <si>
    <t>55,17</t>
  </si>
  <si>
    <t>55,02</t>
  </si>
  <si>
    <t>55,05</t>
  </si>
  <si>
    <t>54,76</t>
  </si>
  <si>
    <t>55,3</t>
  </si>
  <si>
    <t>56,64</t>
  </si>
  <si>
    <t>59,4</t>
  </si>
  <si>
    <t>57,69</t>
  </si>
  <si>
    <t>60,03</t>
  </si>
  <si>
    <t>59,77</t>
  </si>
  <si>
    <t>59,64</t>
  </si>
  <si>
    <t>60,64</t>
  </si>
  <si>
    <t>62,35</t>
  </si>
  <si>
    <t>61,09</t>
  </si>
  <si>
    <t>62,6</t>
  </si>
  <si>
    <t>63,49</t>
  </si>
  <si>
    <t>64,89</t>
  </si>
  <si>
    <t>69,21</t>
  </si>
  <si>
    <t>66,6</t>
  </si>
  <si>
    <t>65,38</t>
  </si>
  <si>
    <t>65,37</t>
  </si>
  <si>
    <t>63,78</t>
  </si>
  <si>
    <t>64,67</t>
  </si>
  <si>
    <t>64,23</t>
  </si>
  <si>
    <t>61,83</t>
  </si>
  <si>
    <t>62,05</t>
  </si>
  <si>
    <t>60,96</t>
  </si>
  <si>
    <t>60,78</t>
  </si>
  <si>
    <t>61,02</t>
  </si>
  <si>
    <t>62,9</t>
  </si>
  <si>
    <t>62,7</t>
  </si>
  <si>
    <t>61,99</t>
  </si>
  <si>
    <t>63,42</t>
  </si>
  <si>
    <t>62,98</t>
  </si>
  <si>
    <t>64,48</t>
  </si>
  <si>
    <t>64,83</t>
  </si>
  <si>
    <t>66,53</t>
  </si>
  <si>
    <t>66,5</t>
  </si>
  <si>
    <t>66,85</t>
  </si>
  <si>
    <t>70,11</t>
  </si>
  <si>
    <t>70,98</t>
  </si>
  <si>
    <t>71,68</t>
  </si>
  <si>
    <t>74,96</t>
  </si>
  <si>
    <t>71,73</t>
  </si>
  <si>
    <t>73,23</t>
  </si>
  <si>
    <t>77,14</t>
  </si>
  <si>
    <t>76,8</t>
  </si>
  <si>
    <t>73,01</t>
  </si>
  <si>
    <t>76,27</t>
  </si>
  <si>
    <t>76,28</t>
  </si>
  <si>
    <t>74,49</t>
  </si>
  <si>
    <t>73,73</t>
  </si>
  <si>
    <t>73,87</t>
  </si>
  <si>
    <t>72,92</t>
  </si>
  <si>
    <t>73,62</t>
  </si>
  <si>
    <t>72,15</t>
  </si>
  <si>
    <t>72,67</t>
  </si>
  <si>
    <t>71,51</t>
  </si>
  <si>
    <t>71,84</t>
  </si>
  <si>
    <t>71,56</t>
  </si>
  <si>
    <t>72,38</t>
  </si>
  <si>
    <t>71,97</t>
  </si>
  <si>
    <t>71,47</t>
  </si>
  <si>
    <t>71,61</t>
  </si>
  <si>
    <t>70,93</t>
  </si>
  <si>
    <t>70,66</t>
  </si>
  <si>
    <t>70,97</t>
  </si>
  <si>
    <t>72,7</t>
  </si>
  <si>
    <t>72,54</t>
  </si>
  <si>
    <t>72,2</t>
  </si>
  <si>
    <t>73,69</t>
  </si>
  <si>
    <t>75,81</t>
  </si>
  <si>
    <t>75,39</t>
  </si>
  <si>
    <t>73,4</t>
  </si>
  <si>
    <t>72,79</t>
  </si>
  <si>
    <t>73,16</t>
  </si>
  <si>
    <t>70,16</t>
  </si>
  <si>
    <t>70,38</t>
  </si>
  <si>
    <t>73,11</t>
  </si>
  <si>
    <t>73,12</t>
  </si>
  <si>
    <t>71,49</t>
  </si>
  <si>
    <t>71,09</t>
  </si>
  <si>
    <t>72,61</t>
  </si>
  <si>
    <t>71,54</t>
  </si>
  <si>
    <t>72,09</t>
  </si>
  <si>
    <t>72,43</t>
  </si>
  <si>
    <t>74,51</t>
  </si>
  <si>
    <t>75,88</t>
  </si>
  <si>
    <t>75,8</t>
  </si>
  <si>
    <t>76,22</t>
  </si>
  <si>
    <t>77,65</t>
  </si>
  <si>
    <t>79,9</t>
  </si>
  <si>
    <t>79,27</t>
  </si>
  <si>
    <t>79,4</t>
  </si>
  <si>
    <t>80,03</t>
  </si>
  <si>
    <t>79,89</t>
  </si>
  <si>
    <t>79,93</t>
  </si>
  <si>
    <t>80,32</t>
  </si>
  <si>
    <t>81,57</t>
  </si>
  <si>
    <t>81,86</t>
  </si>
  <si>
    <t>81,84</t>
  </si>
  <si>
    <t>82,71</t>
  </si>
  <si>
    <t>82,22</t>
  </si>
  <si>
    <t>82,97</t>
  </si>
  <si>
    <t>83,79</t>
  </si>
  <si>
    <t>82,56</t>
  </si>
  <si>
    <t>82,9</t>
  </si>
  <si>
    <t>82,83</t>
  </si>
  <si>
    <t>82,66</t>
  </si>
  <si>
    <t>82,43</t>
  </si>
  <si>
    <t>82,29</t>
  </si>
  <si>
    <t>82,32</t>
  </si>
  <si>
    <t>81,56</t>
  </si>
  <si>
    <t>82,19</t>
  </si>
  <si>
    <t>81,52</t>
  </si>
  <si>
    <t>80,74</t>
  </si>
  <si>
    <t>80,18</t>
  </si>
  <si>
    <t>79,75</t>
  </si>
  <si>
    <t>79,81</t>
  </si>
  <si>
    <t>79,56</t>
  </si>
  <si>
    <t>80,87</t>
  </si>
  <si>
    <t>81,25</t>
  </si>
  <si>
    <t>80,8</t>
  </si>
  <si>
    <t>80,35</t>
  </si>
  <si>
    <t>80,13</t>
  </si>
  <si>
    <t>81,61</t>
  </si>
  <si>
    <t>85,12</t>
  </si>
  <si>
    <t>83,4</t>
  </si>
  <si>
    <t>85,76</t>
  </si>
  <si>
    <t>87,48</t>
  </si>
  <si>
    <t>88,22</t>
  </si>
  <si>
    <t>88,17</t>
  </si>
  <si>
    <t>86,9</t>
  </si>
  <si>
    <t>88,35</t>
  </si>
  <si>
    <t>88,53</t>
  </si>
  <si>
    <t>91,4</t>
  </si>
  <si>
    <t>86,79</t>
  </si>
  <si>
    <t>83,2</t>
  </si>
  <si>
    <t>85,42</t>
  </si>
  <si>
    <t>85,96</t>
  </si>
  <si>
    <t>87,88</t>
  </si>
  <si>
    <t>87,78</t>
  </si>
  <si>
    <t>88,42</t>
  </si>
  <si>
    <t>89,57</t>
  </si>
  <si>
    <t>94,27</t>
  </si>
  <si>
    <t>101,09</t>
  </si>
  <si>
    <t>106,26</t>
  </si>
  <si>
    <t>108,32</t>
  </si>
  <si>
    <t>103,37</t>
  </si>
  <si>
    <t>99,84</t>
  </si>
  <si>
    <t>104,23</t>
  </si>
  <si>
    <t>108,43</t>
  </si>
  <si>
    <t>109,18</t>
  </si>
  <si>
    <t>110,05</t>
  </si>
  <si>
    <t>108,35</t>
  </si>
  <si>
    <t>112,92</t>
  </si>
  <si>
    <t>116,95</t>
  </si>
  <si>
    <t>108,87</t>
  </si>
  <si>
    <t>112,31</t>
  </si>
  <si>
    <t>110,19</t>
  </si>
  <si>
    <t>117,08</t>
  </si>
  <si>
    <t>115,88</t>
  </si>
  <si>
    <t>115,77</t>
  </si>
  <si>
    <t>112,98</t>
  </si>
  <si>
    <t>115,98</t>
  </si>
  <si>
    <t>119,31</t>
  </si>
  <si>
    <t>122,77</t>
  </si>
  <si>
    <t>119,36</t>
  </si>
  <si>
    <t>117,95</t>
  </si>
  <si>
    <t>115,54</t>
  </si>
  <si>
    <t>114,22</t>
  </si>
  <si>
    <t>114,84</t>
  </si>
  <si>
    <t>114,37</t>
  </si>
  <si>
    <t>109,53</t>
  </si>
  <si>
    <t>106,32</t>
  </si>
  <si>
    <t>105,56</t>
  </si>
  <si>
    <t>109,41</t>
  </si>
  <si>
    <t>107,71</t>
  </si>
  <si>
    <t>108,77</t>
  </si>
  <si>
    <t>106,39</t>
  </si>
  <si>
    <t>107,91</t>
  </si>
  <si>
    <t>108,27</t>
  </si>
  <si>
    <t>109,86</t>
  </si>
  <si>
    <t>108,73</t>
  </si>
  <si>
    <t>108,07</t>
  </si>
  <si>
    <t>107,49</t>
  </si>
  <si>
    <t>106,59</t>
  </si>
  <si>
    <t>105,31</t>
  </si>
  <si>
    <t>104,96</t>
  </si>
  <si>
    <t>107,1</t>
  </si>
  <si>
    <t>108,12</t>
  </si>
  <si>
    <t>107,67</t>
  </si>
  <si>
    <t>107,3</t>
  </si>
  <si>
    <t>104,21</t>
  </si>
  <si>
    <t>102,47</t>
  </si>
  <si>
    <t>100,39</t>
  </si>
  <si>
    <t>100,53</t>
  </si>
  <si>
    <t>105,5</t>
  </si>
  <si>
    <t>107,24</t>
  </si>
  <si>
    <t>105,79</t>
  </si>
  <si>
    <t>106,7</t>
  </si>
  <si>
    <t>108,98</t>
  </si>
  <si>
    <t>110,97</t>
  </si>
  <si>
    <t>112</t>
  </si>
  <si>
    <t>115,39</t>
  </si>
  <si>
    <t>117,57</t>
  </si>
  <si>
    <t>116,07</t>
  </si>
  <si>
    <t>114,45</t>
  </si>
  <si>
    <t>111,78</t>
  </si>
  <si>
    <t>114,57</t>
  </si>
  <si>
    <t>115,67</t>
  </si>
  <si>
    <t>115,89</t>
  </si>
  <si>
    <t>116,72</t>
  </si>
  <si>
    <t>119,54</t>
  </si>
  <si>
    <t>122,21</t>
  </si>
  <si>
    <t>116,28</t>
  </si>
  <si>
    <t>117,17</t>
  </si>
  <si>
    <t>121,68</t>
  </si>
  <si>
    <t>124,65</t>
  </si>
  <si>
    <t>124,53</t>
  </si>
  <si>
    <t>125,73</t>
  </si>
  <si>
    <t>125,3</t>
  </si>
  <si>
    <t>124,22</t>
  </si>
  <si>
    <t>125,69</t>
  </si>
  <si>
    <t>127,61</t>
  </si>
  <si>
    <t>129,42</t>
  </si>
  <si>
    <t>129,52</t>
  </si>
  <si>
    <t>130,33</t>
  </si>
  <si>
    <t>127,69</t>
  </si>
  <si>
    <t>125,16</t>
  </si>
  <si>
    <t>122,29</t>
  </si>
  <si>
    <t>121,73</t>
  </si>
  <si>
    <t>121,57</t>
  </si>
  <si>
    <t>117,64</t>
  </si>
  <si>
    <t>119,72</t>
  </si>
  <si>
    <t>120</t>
  </si>
  <si>
    <t>117,84</t>
  </si>
  <si>
    <t>116,41</t>
  </si>
  <si>
    <t>119,67</t>
  </si>
  <si>
    <t>123,41</t>
  </si>
  <si>
    <t>125,17</t>
  </si>
  <si>
    <t>123,21</t>
  </si>
  <si>
    <t>122,06</t>
  </si>
  <si>
    <t>126,33</t>
  </si>
  <si>
    <t>131,14</t>
  </si>
  <si>
    <t>132,79</t>
  </si>
  <si>
    <t>134,57</t>
  </si>
  <si>
    <t>134,88</t>
  </si>
  <si>
    <t>131,63</t>
  </si>
  <si>
    <t>134,69</t>
  </si>
  <si>
    <t>137,24</t>
  </si>
  <si>
    <t>139,4</t>
  </si>
  <si>
    <t>139,1</t>
  </si>
  <si>
    <t>139,88</t>
  </si>
  <si>
    <t>139,8</t>
  </si>
  <si>
    <t>140,2</t>
  </si>
  <si>
    <t>139,66</t>
  </si>
  <si>
    <t>140,65</t>
  </si>
  <si>
    <t>143,94</t>
  </si>
  <si>
    <t>146,4</t>
  </si>
  <si>
    <t>148,13</t>
  </si>
  <si>
    <t>155,57</t>
  </si>
  <si>
    <t>155,42</t>
  </si>
  <si>
    <t>160,48</t>
  </si>
  <si>
    <t>167,45</t>
  </si>
  <si>
    <t>164,46</t>
  </si>
  <si>
    <t>157,88</t>
  </si>
  <si>
    <t>159,38</t>
  </si>
  <si>
    <t>154,52</t>
  </si>
  <si>
    <t>149,38</t>
  </si>
  <si>
    <t>144,11</t>
  </si>
  <si>
    <t>145,29</t>
  </si>
  <si>
    <t>140,99</t>
  </si>
  <si>
    <t>141,31</t>
  </si>
  <si>
    <t>144,06</t>
  </si>
  <si>
    <t>144,9</t>
  </si>
  <si>
    <t>144,44</t>
  </si>
  <si>
    <t>143,61</t>
  </si>
  <si>
    <t>144,07</t>
  </si>
  <si>
    <t>141,3</t>
  </si>
  <si>
    <t>142,35</t>
  </si>
  <si>
    <t>144,14</t>
  </si>
  <si>
    <t>145,6</t>
  </si>
  <si>
    <t>147,19</t>
  </si>
  <si>
    <t>147,29</t>
  </si>
  <si>
    <t>147,39</t>
  </si>
  <si>
    <t>147,94</t>
  </si>
  <si>
    <t>146,45</t>
  </si>
  <si>
    <t>147,35</t>
  </si>
  <si>
    <t>147,14</t>
  </si>
  <si>
    <t>146,19</t>
  </si>
  <si>
    <t>144,79</t>
  </si>
  <si>
    <t>143,81</t>
  </si>
  <si>
    <t>140,62</t>
  </si>
  <si>
    <t>142,71</t>
  </si>
  <si>
    <t>140,25</t>
  </si>
  <si>
    <t>138,3</t>
  </si>
  <si>
    <t>140,48</t>
  </si>
  <si>
    <t>141,2</t>
  </si>
  <si>
    <t>142,4</t>
  </si>
  <si>
    <t>141,42</t>
  </si>
  <si>
    <t>140,7</t>
  </si>
  <si>
    <t>141,67</t>
  </si>
  <si>
    <t>139,85</t>
  </si>
  <si>
    <t>139,39</t>
  </si>
  <si>
    <t>141,77</t>
  </si>
  <si>
    <t>141,44</t>
  </si>
  <si>
    <t>142,02</t>
  </si>
  <si>
    <t>141,89</t>
  </si>
  <si>
    <t>144,67</t>
  </si>
  <si>
    <t>145,89</t>
  </si>
  <si>
    <t>146,03</t>
  </si>
  <si>
    <t>147,91</t>
  </si>
  <si>
    <t>147,68</t>
  </si>
  <si>
    <t>146,29</t>
  </si>
  <si>
    <t>146,34</t>
  </si>
  <si>
    <t>146,16</t>
  </si>
  <si>
    <t>146,77</t>
  </si>
  <si>
    <t>147,97</t>
  </si>
  <si>
    <t>146,67</t>
  </si>
  <si>
    <t>146,91</t>
  </si>
  <si>
    <t>146,81</t>
  </si>
  <si>
    <t>147,49</t>
  </si>
  <si>
    <t>147,82</t>
  </si>
  <si>
    <t>148,76</t>
  </si>
  <si>
    <t>148,5</t>
  </si>
  <si>
    <t>149,1</t>
  </si>
  <si>
    <t>148,6</t>
  </si>
  <si>
    <t>149,75</t>
  </si>
  <si>
    <t>150,34</t>
  </si>
  <si>
    <t>150,93</t>
  </si>
  <si>
    <t>150,95</t>
  </si>
  <si>
    <t>150,06</t>
  </si>
  <si>
    <t>150,4</t>
  </si>
  <si>
    <t>148,31</t>
  </si>
  <si>
    <t>146,48</t>
  </si>
  <si>
    <t>144,02</t>
  </si>
  <si>
    <t>141,64</t>
  </si>
  <si>
    <t>138,08</t>
  </si>
  <si>
    <t>141,7</t>
  </si>
  <si>
    <t>142,86</t>
  </si>
  <si>
    <t>143,24</t>
  </si>
  <si>
    <t>144,35</t>
  </si>
  <si>
    <t>146,62</t>
  </si>
  <si>
    <t>146,59</t>
  </si>
  <si>
    <t>145,7</t>
  </si>
  <si>
    <t>146,63</t>
  </si>
  <si>
    <t>143,36</t>
  </si>
  <si>
    <t>144,62</t>
  </si>
  <si>
    <t>145</t>
  </si>
  <si>
    <t>145,2</t>
  </si>
  <si>
    <t>144,93</t>
  </si>
  <si>
    <t>145,44</t>
  </si>
  <si>
    <t>145,23</t>
  </si>
  <si>
    <t>144,38</t>
  </si>
  <si>
    <t>143,14</t>
  </si>
  <si>
    <t>142,88</t>
  </si>
  <si>
    <t>141,32</t>
  </si>
  <si>
    <t>138,77</t>
  </si>
  <si>
    <t>138,85</t>
  </si>
  <si>
    <t>140,21</t>
  </si>
  <si>
    <t>143,84</t>
  </si>
  <si>
    <t>143,87</t>
  </si>
  <si>
    <t>144,86</t>
  </si>
  <si>
    <t>144,85</t>
  </si>
  <si>
    <t>144,27</t>
  </si>
  <si>
    <t>142,77</t>
  </si>
  <si>
    <t>143,75</t>
  </si>
  <si>
    <t>143,72</t>
  </si>
  <si>
    <t>144,42</t>
  </si>
  <si>
    <t>146,6</t>
  </si>
  <si>
    <t>145,5</t>
  </si>
  <si>
    <t>148,39</t>
  </si>
  <si>
    <t>150,61</t>
  </si>
  <si>
    <t>151,4</t>
  </si>
  <si>
    <t>152,87</t>
  </si>
  <si>
    <t>152,98</t>
  </si>
  <si>
    <t>152,92</t>
  </si>
  <si>
    <t>154,09</t>
  </si>
  <si>
    <t>155,09</t>
  </si>
  <si>
    <t>155,08</t>
  </si>
  <si>
    <t>154,15</t>
  </si>
  <si>
    <t>154,54</t>
  </si>
  <si>
    <t>153,76</t>
  </si>
  <si>
    <t>153,2</t>
  </si>
  <si>
    <t>153,02</t>
  </si>
  <si>
    <t>153,91</t>
  </si>
  <si>
    <t>154,55</t>
  </si>
  <si>
    <t>154,95</t>
  </si>
  <si>
    <t>157,6</t>
  </si>
  <si>
    <t>158,33</t>
  </si>
  <si>
    <t>159,36</t>
  </si>
  <si>
    <t>158,4</t>
  </si>
  <si>
    <t>159,07</t>
  </si>
  <si>
    <t>159,9</t>
  </si>
  <si>
    <t>160,65</t>
  </si>
  <si>
    <t>161,08</t>
  </si>
  <si>
    <t>162,16</t>
  </si>
  <si>
    <t>161,99</t>
  </si>
  <si>
    <t>160,79</t>
  </si>
  <si>
    <t>161,4</t>
  </si>
  <si>
    <t>160,29</t>
  </si>
  <si>
    <t>159,75</t>
  </si>
  <si>
    <t>159,21</t>
  </si>
  <si>
    <t>158,18</t>
  </si>
  <si>
    <t>157,71</t>
  </si>
  <si>
    <t>158,81</t>
  </si>
  <si>
    <t>159,91</t>
  </si>
  <si>
    <t>160,92</t>
  </si>
  <si>
    <t>160,8</t>
  </si>
  <si>
    <t>161,51</t>
  </si>
  <si>
    <t>162,26</t>
  </si>
  <si>
    <t>162,94</t>
  </si>
  <si>
    <t>165,53</t>
  </si>
  <si>
    <t>164,14</t>
  </si>
  <si>
    <t>164,47</t>
  </si>
  <si>
    <t>164,82</t>
  </si>
  <si>
    <t>166,36</t>
  </si>
  <si>
    <t>167,79</t>
  </si>
  <si>
    <t>167,02</t>
  </si>
  <si>
    <t>168,53</t>
  </si>
  <si>
    <t>168,63</t>
  </si>
  <si>
    <t>167,57</t>
  </si>
  <si>
    <t>166,31</t>
  </si>
  <si>
    <t>165,73</t>
  </si>
  <si>
    <t>166,71</t>
  </si>
  <si>
    <t>167,76</t>
  </si>
  <si>
    <t>168,64</t>
  </si>
  <si>
    <t>168,9</t>
  </si>
  <si>
    <t>169,26</t>
  </si>
  <si>
    <t>169,06</t>
  </si>
  <si>
    <t>170,49</t>
  </si>
  <si>
    <t>170,15</t>
  </si>
  <si>
    <t>168,91</t>
  </si>
  <si>
    <t>169,8</t>
  </si>
  <si>
    <t>170,02</t>
  </si>
  <si>
    <t>169,87</t>
  </si>
  <si>
    <t>170,23</t>
  </si>
  <si>
    <t>170,12</t>
  </si>
  <si>
    <t>171,06</t>
  </si>
  <si>
    <t>170,61</t>
  </si>
  <si>
    <t>170,18</t>
  </si>
  <si>
    <t>169,17</t>
  </si>
  <si>
    <t>170,7</t>
  </si>
  <si>
    <t>169,55</t>
  </si>
  <si>
    <t>170,36</t>
  </si>
  <si>
    <t>172,09</t>
  </si>
  <si>
    <t>173,96</t>
  </si>
  <si>
    <t>173,99</t>
  </si>
  <si>
    <t>170,45</t>
  </si>
  <si>
    <t>170,93</t>
  </si>
  <si>
    <t>172,26</t>
  </si>
  <si>
    <t>172,27</t>
  </si>
  <si>
    <t>170,77</t>
  </si>
  <si>
    <t>171,35</t>
  </si>
  <si>
    <t>172</t>
  </si>
  <si>
    <t>172,89</t>
  </si>
  <si>
    <t>173,14</t>
  </si>
  <si>
    <t>172,34</t>
  </si>
  <si>
    <t>173,48</t>
  </si>
  <si>
    <t>174,81</t>
  </si>
  <si>
    <t>172,65</t>
  </si>
  <si>
    <t>173,24</t>
  </si>
  <si>
    <t>173,19</t>
  </si>
  <si>
    <t>173,8</t>
  </si>
  <si>
    <t>175,4</t>
  </si>
  <si>
    <t>176,45</t>
  </si>
  <si>
    <t>176,84</t>
  </si>
  <si>
    <t>177,41</t>
  </si>
  <si>
    <t>179,92</t>
  </si>
  <si>
    <t>179,94</t>
  </si>
  <si>
    <t>180,05</t>
  </si>
  <si>
    <t>179,45</t>
  </si>
  <si>
    <t>176,63</t>
  </si>
  <si>
    <t>178,34</t>
  </si>
  <si>
    <t>177,65</t>
  </si>
  <si>
    <t>177,16</t>
  </si>
  <si>
    <t>181,28</t>
  </si>
  <si>
    <t>182,66</t>
  </si>
  <si>
    <t>181,62</t>
  </si>
  <si>
    <t>184,12</t>
  </si>
  <si>
    <t>185,65</t>
  </si>
  <si>
    <t>187,28</t>
  </si>
  <si>
    <t>187,57</t>
  </si>
  <si>
    <t>189,48</t>
  </si>
  <si>
    <t>187,81</t>
  </si>
  <si>
    <t>188,58</t>
  </si>
  <si>
    <t>188,86</t>
  </si>
  <si>
    <t>190,21</t>
  </si>
  <si>
    <t>191,64</t>
  </si>
  <si>
    <t>193,73</t>
  </si>
  <si>
    <t>193,7</t>
  </si>
  <si>
    <t>198,47</t>
  </si>
  <si>
    <t>204,59</t>
  </si>
  <si>
    <t>204,51</t>
  </si>
  <si>
    <t>201,64</t>
  </si>
  <si>
    <t>205,23</t>
  </si>
  <si>
    <t>202,6</t>
  </si>
  <si>
    <t>200,27</t>
  </si>
  <si>
    <t>198,91</t>
  </si>
  <si>
    <t>198,5</t>
  </si>
  <si>
    <t>197,6</t>
  </si>
  <si>
    <t>199,57</t>
  </si>
  <si>
    <t>201,43</t>
  </si>
  <si>
    <t>203,79</t>
  </si>
  <si>
    <t>205,58</t>
  </si>
  <si>
    <t>205,72</t>
  </si>
  <si>
    <t>204,95</t>
  </si>
  <si>
    <t>202,07</t>
  </si>
  <si>
    <t>198,73</t>
  </si>
  <si>
    <t>201,92</t>
  </si>
  <si>
    <t>203,48</t>
  </si>
  <si>
    <t>204,21</t>
  </si>
  <si>
    <t>204,55</t>
  </si>
  <si>
    <t>203,46</t>
  </si>
  <si>
    <t>200,6</t>
  </si>
  <si>
    <t>196,79</t>
  </si>
  <si>
    <t>196,99</t>
  </si>
  <si>
    <t>195,41</t>
  </si>
  <si>
    <t>193,35</t>
  </si>
  <si>
    <t>191,66</t>
  </si>
  <si>
    <t>194,53</t>
  </si>
  <si>
    <t>197,79</t>
  </si>
  <si>
    <t>199,94</t>
  </si>
  <si>
    <t>201,01</t>
  </si>
  <si>
    <t>193,2</t>
  </si>
  <si>
    <t>193,26</t>
  </si>
  <si>
    <t>194,4</t>
  </si>
  <si>
    <t>197,19</t>
  </si>
  <si>
    <t>197,52</t>
  </si>
  <si>
    <t>196,39</t>
  </si>
  <si>
    <t>199,15</t>
  </si>
  <si>
    <t>203,05</t>
  </si>
  <si>
    <t>205,33</t>
  </si>
  <si>
    <t>202,09</t>
  </si>
  <si>
    <t>201,34</t>
  </si>
  <si>
    <t>201,13</t>
  </si>
  <si>
    <t>203,83</t>
  </si>
  <si>
    <t>203,35</t>
  </si>
  <si>
    <t>206,43</t>
  </si>
  <si>
    <t>212,09</t>
  </si>
  <si>
    <t>214,25</t>
  </si>
  <si>
    <t>216,75</t>
  </si>
  <si>
    <t>218,12</t>
  </si>
  <si>
    <t>219,33</t>
  </si>
  <si>
    <t>222,05</t>
  </si>
  <si>
    <t>217,17</t>
  </si>
  <si>
    <t>213,48</t>
  </si>
  <si>
    <t>214,63</t>
  </si>
  <si>
    <t>210,88</t>
  </si>
  <si>
    <t>211,71</t>
  </si>
  <si>
    <t>212,23</t>
  </si>
  <si>
    <t>210,22</t>
  </si>
  <si>
    <t>207,9</t>
  </si>
  <si>
    <t>204,97</t>
  </si>
  <si>
    <t>207,15</t>
  </si>
  <si>
    <t>207,59</t>
  </si>
  <si>
    <t>207,41</t>
  </si>
  <si>
    <t>205,49</t>
  </si>
  <si>
    <t>203,93</t>
  </si>
  <si>
    <t>203,03</t>
  </si>
  <si>
    <t>199,72</t>
  </si>
  <si>
    <t>201,12</t>
  </si>
  <si>
    <t>196,05</t>
  </si>
  <si>
    <t>196,81</t>
  </si>
  <si>
    <t>195,31</t>
  </si>
  <si>
    <t>196,84</t>
  </si>
  <si>
    <t>196,82</t>
  </si>
  <si>
    <t>197,28</t>
  </si>
  <si>
    <t>187,41</t>
  </si>
  <si>
    <t>185,6</t>
  </si>
  <si>
    <t>188,06</t>
  </si>
  <si>
    <t>193,93</t>
  </si>
  <si>
    <t>195,33</t>
  </si>
  <si>
    <t>195,17</t>
  </si>
  <si>
    <t>197,9</t>
  </si>
  <si>
    <t>199,82</t>
  </si>
  <si>
    <t>200,72</t>
  </si>
  <si>
    <t>200,31</t>
  </si>
  <si>
    <t>196,27</t>
  </si>
  <si>
    <t>191,99</t>
  </si>
  <si>
    <t>192,52</t>
  </si>
  <si>
    <t>190,56</t>
  </si>
  <si>
    <t>189,75</t>
  </si>
  <si>
    <t>190,88</t>
  </si>
  <si>
    <t>190,17</t>
  </si>
  <si>
    <t>189,92</t>
  </si>
  <si>
    <t>192,32</t>
  </si>
  <si>
    <t>191,31</t>
  </si>
  <si>
    <t>191,67</t>
  </si>
  <si>
    <t>189,3</t>
  </si>
  <si>
    <t>191,69</t>
  </si>
  <si>
    <t>195,24</t>
  </si>
  <si>
    <t>203,97</t>
  </si>
  <si>
    <t>208,27</t>
  </si>
  <si>
    <t>207,96</t>
  </si>
  <si>
    <t>212,07</t>
  </si>
  <si>
    <t>208,33</t>
  </si>
  <si>
    <t>203,99</t>
  </si>
  <si>
    <t>205,99</t>
  </si>
  <si>
    <t>209,38</t>
  </si>
  <si>
    <t>207,49</t>
  </si>
  <si>
    <t>203,57</t>
  </si>
  <si>
    <t>205,39</t>
  </si>
  <si>
    <t>208,49</t>
  </si>
  <si>
    <t>206,52</t>
  </si>
  <si>
    <t>207,79</t>
  </si>
  <si>
    <t>207,08</t>
  </si>
  <si>
    <t>207,1</t>
  </si>
  <si>
    <t>209,31</t>
  </si>
  <si>
    <t>207,88</t>
  </si>
  <si>
    <t>209,56</t>
  </si>
  <si>
    <t>211,75</t>
  </si>
  <si>
    <t>211,41</t>
  </si>
  <si>
    <t>210,35</t>
  </si>
  <si>
    <t>210,95</t>
  </si>
  <si>
    <t>207,35</t>
  </si>
  <si>
    <t>208,56</t>
  </si>
  <si>
    <t>206,87</t>
  </si>
  <si>
    <t>207,75</t>
  </si>
  <si>
    <t>208,68</t>
  </si>
  <si>
    <t>209,15</t>
  </si>
  <si>
    <t>217,32</t>
  </si>
  <si>
    <t>223,2</t>
  </si>
  <si>
    <t>227,37</t>
  </si>
  <si>
    <t>231,96</t>
  </si>
  <si>
    <t>229,83</t>
  </si>
  <si>
    <t>235,09</t>
  </si>
  <si>
    <t>233,42</t>
  </si>
  <si>
    <t>227,94</t>
  </si>
  <si>
    <t>232,23</t>
  </si>
  <si>
    <t>230,87</t>
  </si>
  <si>
    <t>241,71</t>
  </si>
  <si>
    <t>243,07</t>
  </si>
  <si>
    <t>245,67</t>
  </si>
  <si>
    <t>249,59</t>
  </si>
  <si>
    <t>247,9</t>
  </si>
  <si>
    <t>272,39</t>
  </si>
  <si>
    <t>265,28</t>
  </si>
  <si>
    <t>270,17</t>
  </si>
  <si>
    <t>284,32</t>
  </si>
  <si>
    <t>289,29</t>
  </si>
  <si>
    <t>285,69</t>
  </si>
  <si>
    <t>279,4</t>
  </si>
  <si>
    <t>280,06</t>
  </si>
  <si>
    <t>284,28</t>
  </si>
  <si>
    <t>292,5</t>
  </si>
  <si>
    <t>295,24</t>
  </si>
  <si>
    <t>297,84</t>
  </si>
  <si>
    <t>303,44</t>
  </si>
  <si>
    <t>326,09</t>
  </si>
  <si>
    <t>315,5</t>
  </si>
  <si>
    <t>319,72</t>
  </si>
  <si>
    <t>324,88</t>
  </si>
  <si>
    <t>323,77</t>
  </si>
  <si>
    <t>298,16</t>
  </si>
  <si>
    <t>276,71</t>
  </si>
  <si>
    <t>272,48</t>
  </si>
  <si>
    <t>276,66</t>
  </si>
  <si>
    <t>281,02</t>
  </si>
  <si>
    <t>284,47</t>
  </si>
  <si>
    <t>278,78</t>
  </si>
  <si>
    <t>278,94</t>
  </si>
  <si>
    <t>279,2</t>
  </si>
  <si>
    <t>284,59</t>
  </si>
  <si>
    <t>279,36</t>
  </si>
  <si>
    <t>279,12</t>
  </si>
  <si>
    <t>275,78</t>
  </si>
  <si>
    <t>281,37</t>
  </si>
  <si>
    <t>288,13</t>
  </si>
  <si>
    <t>292,03</t>
  </si>
  <si>
    <t>287,88</t>
  </si>
  <si>
    <t>288,15</t>
  </si>
  <si>
    <t>286,6</t>
  </si>
  <si>
    <t>282,57</t>
  </si>
  <si>
    <t>281,78</t>
  </si>
  <si>
    <t>283,83</t>
  </si>
  <si>
    <t>283,08</t>
  </si>
  <si>
    <t>278,73</t>
  </si>
  <si>
    <t>271,19</t>
  </si>
  <si>
    <t>270,34</t>
  </si>
  <si>
    <t>271,03</t>
  </si>
  <si>
    <t>273,02</t>
  </si>
  <si>
    <t>269,56</t>
  </si>
  <si>
    <t>269,39</t>
  </si>
  <si>
    <t>269,9</t>
  </si>
  <si>
    <t>275,45</t>
  </si>
  <si>
    <t>289,66</t>
  </si>
  <si>
    <t>294,19</t>
  </si>
  <si>
    <t>297,11</t>
  </si>
  <si>
    <t>295,1</t>
  </si>
  <si>
    <t>297,91</t>
  </si>
  <si>
    <t>302,19</t>
  </si>
  <si>
    <t>301,82</t>
  </si>
  <si>
    <t>298,25</t>
  </si>
  <si>
    <t>296,78</t>
  </si>
  <si>
    <t>297,99</t>
  </si>
  <si>
    <t>295,83</t>
  </si>
  <si>
    <t>302,48</t>
  </si>
  <si>
    <t>297,97</t>
  </si>
  <si>
    <t>299,77</t>
  </si>
  <si>
    <t>297,5</t>
  </si>
  <si>
    <t>293,25</t>
  </si>
  <si>
    <t>294,91</t>
  </si>
  <si>
    <t>299,42</t>
  </si>
  <si>
    <t>299,04</t>
  </si>
  <si>
    <t>296,22</t>
  </si>
  <si>
    <t>293,33</t>
  </si>
  <si>
    <t>292,41</t>
  </si>
  <si>
    <t>290,87</t>
  </si>
  <si>
    <t>290,63</t>
  </si>
  <si>
    <t>292,26</t>
  </si>
  <si>
    <t>293,63</t>
  </si>
  <si>
    <t>292,28</t>
  </si>
  <si>
    <t>294,65</t>
  </si>
  <si>
    <t>295,07</t>
  </si>
  <si>
    <t>293,56</t>
  </si>
  <si>
    <t>292,84</t>
  </si>
  <si>
    <t>291,17</t>
  </si>
  <si>
    <t>292,92</t>
  </si>
  <si>
    <t>290,97</t>
  </si>
  <si>
    <t>289,32</t>
  </si>
  <si>
    <t>291,47</t>
  </si>
  <si>
    <t>293,81</t>
  </si>
  <si>
    <t>296,95</t>
  </si>
  <si>
    <t>299,79</t>
  </si>
  <si>
    <t>302,06</t>
  </si>
  <si>
    <t>308,98</t>
  </si>
  <si>
    <t>313,87</t>
  </si>
  <si>
    <t>313,58</t>
  </si>
  <si>
    <t>312,8</t>
  </si>
  <si>
    <t>311,81</t>
  </si>
  <si>
    <t>319,3</t>
  </si>
  <si>
    <t>316,07</t>
  </si>
  <si>
    <t>314,02</t>
  </si>
  <si>
    <t>313,45</t>
  </si>
  <si>
    <t>312,51</t>
  </si>
  <si>
    <t>318,57</t>
  </si>
  <si>
    <t>318,67</t>
  </si>
  <si>
    <t>319,11</t>
  </si>
  <si>
    <t>328,88</t>
  </si>
  <si>
    <t>328,98</t>
  </si>
  <si>
    <t>322,35</t>
  </si>
  <si>
    <t>323,36</t>
  </si>
  <si>
    <t>322,7</t>
  </si>
  <si>
    <t>320,1</t>
  </si>
  <si>
    <t>320,89</t>
  </si>
  <si>
    <t>325,01</t>
  </si>
  <si>
    <t>322,87</t>
  </si>
  <si>
    <t>324,25</t>
  </si>
  <si>
    <t>325,71</t>
  </si>
  <si>
    <t>327,62</t>
  </si>
  <si>
    <t>335,39</t>
  </si>
  <si>
    <t>331,63</t>
  </si>
  <si>
    <t>334,36</t>
  </si>
  <si>
    <t>327,94</t>
  </si>
  <si>
    <t>329,21</t>
  </si>
  <si>
    <t>330,7</t>
  </si>
  <si>
    <t>334,93</t>
  </si>
  <si>
    <t>329,91</t>
  </si>
  <si>
    <t>327,17</t>
  </si>
  <si>
    <t>325,87</t>
  </si>
  <si>
    <t>327,7</t>
  </si>
  <si>
    <t>342,38</t>
  </si>
  <si>
    <t>340,23</t>
  </si>
  <si>
    <t>344,03</t>
  </si>
  <si>
    <t>341,89</t>
  </si>
  <si>
    <t>340,3</t>
  </si>
  <si>
    <t>332,83</t>
  </si>
  <si>
    <t>352,52</t>
  </si>
  <si>
    <t>352,21</t>
  </si>
  <si>
    <t>353,85</t>
  </si>
  <si>
    <t>351,98</t>
  </si>
  <si>
    <t>352,22</t>
  </si>
  <si>
    <t>352,78</t>
  </si>
  <si>
    <t>353,93</t>
  </si>
  <si>
    <t>354,81</t>
  </si>
  <si>
    <t>353,7</t>
  </si>
  <si>
    <t>354,75</t>
  </si>
  <si>
    <t>357,36</t>
  </si>
  <si>
    <t>353,94</t>
  </si>
  <si>
    <t>353,2</t>
  </si>
  <si>
    <t>354,95</t>
  </si>
  <si>
    <t>354,36</t>
  </si>
  <si>
    <t>354,15</t>
  </si>
  <si>
    <t>355,27</t>
  </si>
  <si>
    <t>355,28</t>
  </si>
  <si>
    <t>356,23</t>
  </si>
  <si>
    <t>357,61</t>
  </si>
  <si>
    <t>355,59</t>
  </si>
  <si>
    <t>356,45</t>
  </si>
  <si>
    <t>357,26</t>
  </si>
  <si>
    <t>356,78</t>
  </si>
  <si>
    <t>356,07</t>
  </si>
  <si>
    <t>357,47</t>
  </si>
  <si>
    <t>359,78</t>
  </si>
  <si>
    <t>364,81</t>
  </si>
  <si>
    <t>366,5</t>
  </si>
  <si>
    <t>362,42</t>
  </si>
  <si>
    <t>366,97</t>
  </si>
  <si>
    <t>372,86</t>
  </si>
  <si>
    <t>375,43</t>
  </si>
  <si>
    <t>380,64</t>
  </si>
  <si>
    <t>379,51</t>
  </si>
  <si>
    <t>377,76</t>
  </si>
  <si>
    <t>383,31</t>
  </si>
  <si>
    <t>388,76</t>
  </si>
  <si>
    <t>388,84</t>
  </si>
  <si>
    <t>387,63</t>
  </si>
  <si>
    <t>385,98</t>
  </si>
  <si>
    <t>387,1</t>
  </si>
  <si>
    <t>375,72</t>
  </si>
  <si>
    <t>376,4</t>
  </si>
  <si>
    <t>383,55</t>
  </si>
  <si>
    <t>386,81</t>
  </si>
  <si>
    <t>391,82</t>
  </si>
  <si>
    <t>397,37</t>
  </si>
  <si>
    <t>396,94</t>
  </si>
  <si>
    <t>402,41</t>
  </si>
  <si>
    <t>396,6</t>
  </si>
  <si>
    <t>390,71</t>
  </si>
  <si>
    <t>387</t>
  </si>
  <si>
    <t>386,34</t>
  </si>
  <si>
    <t>388,14</t>
  </si>
  <si>
    <t>398,62</t>
  </si>
  <si>
    <t>395,45</t>
  </si>
  <si>
    <t>408,86</t>
  </si>
  <si>
    <t>409,77</t>
  </si>
  <si>
    <t>421,9</t>
  </si>
  <si>
    <t>437,75</t>
  </si>
  <si>
    <t>449,02</t>
  </si>
  <si>
    <t>447,5</t>
  </si>
  <si>
    <t>446,43</t>
  </si>
  <si>
    <t>442,23</t>
  </si>
  <si>
    <t>436,05</t>
  </si>
  <si>
    <t>428,84</t>
  </si>
  <si>
    <t>429,46</t>
  </si>
  <si>
    <t>430,19</t>
  </si>
  <si>
    <t>432,35</t>
  </si>
  <si>
    <t>430,43</t>
  </si>
  <si>
    <t>430,51</t>
  </si>
  <si>
    <t>432,43</t>
  </si>
  <si>
    <t>435,43</t>
  </si>
  <si>
    <t>434,31</t>
  </si>
  <si>
    <t>437,66</t>
  </si>
  <si>
    <t>441,93</t>
  </si>
  <si>
    <t>444,08</t>
  </si>
  <si>
    <t>473,5</t>
  </si>
  <si>
    <t>465,42</t>
  </si>
  <si>
    <t>464,27</t>
  </si>
  <si>
    <t>466,09</t>
  </si>
  <si>
    <t>459,55</t>
  </si>
  <si>
    <t>459,51</t>
  </si>
  <si>
    <t>462,32</t>
  </si>
  <si>
    <t>466,98</t>
  </si>
  <si>
    <t>467,03</t>
  </si>
  <si>
    <t>469,09</t>
  </si>
  <si>
    <t>472,29</t>
  </si>
  <si>
    <t>471,8</t>
  </si>
  <si>
    <t>472,76</t>
  </si>
  <si>
    <t>473,92</t>
  </si>
  <si>
    <t>474,49</t>
  </si>
  <si>
    <t>473,19</t>
  </si>
  <si>
    <t>474,65</t>
  </si>
  <si>
    <t>474,59</t>
  </si>
  <si>
    <t>476,56</t>
  </si>
  <si>
    <t>478,53</t>
  </si>
  <si>
    <t>480,58</t>
  </si>
  <si>
    <t>481</t>
  </si>
  <si>
    <t>478,81</t>
  </si>
  <si>
    <t>479,77</t>
  </si>
  <si>
    <t>481,79</t>
  </si>
  <si>
    <t>482,65</t>
  </si>
  <si>
    <t>482,52</t>
  </si>
  <si>
    <t>483,48</t>
  </si>
  <si>
    <t>483,41</t>
  </si>
  <si>
    <t>483,4</t>
  </si>
  <si>
    <t>482,16</t>
  </si>
  <si>
    <t>484,47</t>
  </si>
  <si>
    <t>484,21</t>
  </si>
  <si>
    <t>484,06</t>
  </si>
  <si>
    <t>484,85</t>
  </si>
  <si>
    <t>487,74</t>
  </si>
  <si>
    <t>485,31</t>
  </si>
  <si>
    <t>487,68</t>
  </si>
  <si>
    <t>487,52</t>
  </si>
  <si>
    <t>490,24</t>
  </si>
  <si>
    <t>493,71</t>
  </si>
  <si>
    <t>495,75</t>
  </si>
  <si>
    <t>495,67</t>
  </si>
  <si>
    <t>502,97</t>
  </si>
  <si>
    <t>505,75</t>
  </si>
  <si>
    <t>509,94</t>
  </si>
  <si>
    <t>509,99</t>
  </si>
  <si>
    <t>509,45</t>
  </si>
  <si>
    <t>512,54</t>
  </si>
  <si>
    <t>514,71</t>
  </si>
  <si>
    <t>516,7</t>
  </si>
  <si>
    <t>521,92</t>
  </si>
  <si>
    <t>527,92</t>
  </si>
  <si>
    <t>529,82</t>
  </si>
  <si>
    <t>539,89</t>
  </si>
  <si>
    <t>621,14</t>
  </si>
  <si>
    <t>667,17</t>
  </si>
  <si>
    <t>651,42</t>
  </si>
  <si>
    <t>659,49</t>
  </si>
  <si>
    <t>657,48</t>
  </si>
  <si>
    <t>658,88</t>
  </si>
  <si>
    <t>661,32</t>
  </si>
  <si>
    <t>665,4</t>
  </si>
  <si>
    <t>664,97</t>
  </si>
  <si>
    <t>667,95</t>
  </si>
  <si>
    <t>671,02</t>
  </si>
  <si>
    <t>670,99</t>
  </si>
  <si>
    <t>670,83</t>
  </si>
  <si>
    <t>670,37</t>
  </si>
  <si>
    <t>672,62</t>
  </si>
  <si>
    <t>672,34</t>
  </si>
  <si>
    <t>673,47</t>
  </si>
  <si>
    <t>674,84</t>
  </si>
  <si>
    <t>673,36</t>
  </si>
  <si>
    <t>675,54</t>
  </si>
  <si>
    <t>676,46</t>
  </si>
  <si>
    <t>676,32</t>
  </si>
  <si>
    <t>677,79</t>
  </si>
  <si>
    <t>678,68</t>
  </si>
  <si>
    <t>679,36</t>
  </si>
  <si>
    <t>680,08</t>
  </si>
  <si>
    <t>679,95</t>
  </si>
  <si>
    <t>680,85</t>
  </si>
  <si>
    <t>682,08</t>
  </si>
  <si>
    <t>683,01</t>
  </si>
  <si>
    <t>685,58</t>
  </si>
  <si>
    <t>689,85</t>
  </si>
  <si>
    <t>694,89</t>
  </si>
  <si>
    <t>701,01</t>
  </si>
  <si>
    <t>709,83</t>
  </si>
  <si>
    <t>720,62</t>
  </si>
  <si>
    <t>747,68</t>
  </si>
  <si>
    <t>784,83</t>
  </si>
  <si>
    <t>812,75</t>
  </si>
  <si>
    <t>840,01</t>
  </si>
  <si>
    <t>844,81</t>
  </si>
  <si>
    <t>854,74</t>
  </si>
  <si>
    <t>870,46</t>
  </si>
  <si>
    <t>884,82</t>
  </si>
  <si>
    <t>884,74</t>
  </si>
  <si>
    <t>888,6</t>
  </si>
  <si>
    <t>898,91</t>
  </si>
  <si>
    <t>899,33</t>
  </si>
  <si>
    <t>843,82</t>
  </si>
  <si>
    <t>872,31</t>
  </si>
  <si>
    <t>855,48</t>
  </si>
  <si>
    <t>818,69</t>
  </si>
  <si>
    <t>859,75</t>
  </si>
  <si>
    <t>852,85</t>
  </si>
  <si>
    <t>840,28</t>
  </si>
  <si>
    <t>863,64</t>
  </si>
  <si>
    <t>844,01</t>
  </si>
  <si>
    <t>848,8</t>
  </si>
  <si>
    <t>840,97</t>
  </si>
  <si>
    <t>863,3</t>
  </si>
  <si>
    <t>881,71</t>
  </si>
  <si>
    <t>870,63</t>
  </si>
  <si>
    <t>868,42</t>
  </si>
  <si>
    <t>882,35</t>
  </si>
  <si>
    <t>857,14</t>
  </si>
  <si>
    <t>872,61</t>
  </si>
  <si>
    <t>930,44</t>
  </si>
  <si>
    <t>Binance</t>
  </si>
  <si>
    <t>BTC</t>
  </si>
  <si>
    <t>USDT</t>
  </si>
  <si>
    <t>Nexo</t>
  </si>
  <si>
    <t>ETH</t>
  </si>
  <si>
    <t>Bitso</t>
  </si>
  <si>
    <t>NEXO</t>
  </si>
  <si>
    <t>Lemon</t>
  </si>
  <si>
    <t>Brokers</t>
  </si>
  <si>
    <t>Dolar Prices</t>
  </si>
  <si>
    <t>Bank Accounts</t>
  </si>
  <si>
    <t>Expense States</t>
  </si>
  <si>
    <t>Investment Types</t>
  </si>
  <si>
    <t>Currencies</t>
  </si>
  <si>
    <t>CCL Ratios</t>
  </si>
  <si>
    <t>Comision</t>
  </si>
  <si>
    <t>Quotation</t>
  </si>
  <si>
    <t>CBU</t>
  </si>
  <si>
    <t>Alias</t>
  </si>
  <si>
    <t>Ratio</t>
  </si>
  <si>
    <t>Mercado Pago</t>
  </si>
  <si>
    <t>0000003100045927333811</t>
  </si>
  <si>
    <t>edgarelinrodrigue.mp</t>
  </si>
  <si>
    <t>Open</t>
  </si>
  <si>
    <t>Santander</t>
  </si>
  <si>
    <t>Close</t>
  </si>
  <si>
    <t>Banco Provincia</t>
  </si>
  <si>
    <t>QQQ</t>
  </si>
  <si>
    <t>AAL</t>
  </si>
  <si>
    <t>2</t>
  </si>
  <si>
    <t>ABBV</t>
  </si>
  <si>
    <t>ABEV</t>
  </si>
  <si>
    <t>1:3</t>
  </si>
  <si>
    <t>ABT</t>
  </si>
  <si>
    <t>4</t>
  </si>
  <si>
    <t>ACHHY</t>
  </si>
  <si>
    <t>1</t>
  </si>
  <si>
    <t>ADBE</t>
  </si>
  <si>
    <t>22</t>
  </si>
  <si>
    <t>ADGO</t>
  </si>
  <si>
    <t>1:2</t>
  </si>
  <si>
    <t>ADI</t>
  </si>
  <si>
    <t>ADP</t>
  </si>
  <si>
    <t>6</t>
  </si>
  <si>
    <t>ADS</t>
  </si>
  <si>
    <t>AEG</t>
  </si>
  <si>
    <t>AEM</t>
  </si>
  <si>
    <t>3</t>
  </si>
  <si>
    <t>AIG</t>
  </si>
  <si>
    <t>5</t>
  </si>
  <si>
    <t>AKO.B</t>
  </si>
  <si>
    <t>AMAT</t>
  </si>
  <si>
    <t>AMD</t>
  </si>
  <si>
    <t>AMGN</t>
  </si>
  <si>
    <t>AMX</t>
  </si>
  <si>
    <t>AMZN</t>
  </si>
  <si>
    <t>144</t>
  </si>
  <si>
    <t>ANF</t>
  </si>
  <si>
    <t>ARCO</t>
  </si>
  <si>
    <t>ASR</t>
  </si>
  <si>
    <t>ATAD</t>
  </si>
  <si>
    <t>AUY</t>
  </si>
  <si>
    <t>AVGO</t>
  </si>
  <si>
    <t>39</t>
  </si>
  <si>
    <t>AVY</t>
  </si>
  <si>
    <t>18</t>
  </si>
  <si>
    <t>AXP</t>
  </si>
  <si>
    <t>AZN</t>
  </si>
  <si>
    <t>BA</t>
  </si>
  <si>
    <t>BABA</t>
  </si>
  <si>
    <t>BAC</t>
  </si>
  <si>
    <t>BAS</t>
  </si>
  <si>
    <t>BAYN</t>
  </si>
  <si>
    <t>BB</t>
  </si>
  <si>
    <t>BBD</t>
  </si>
  <si>
    <t>BBVA</t>
  </si>
  <si>
    <t>BCS</t>
  </si>
  <si>
    <t>BHP</t>
  </si>
  <si>
    <t>BIDU</t>
  </si>
  <si>
    <t>11</t>
  </si>
  <si>
    <t>BIIB</t>
  </si>
  <si>
    <t>13</t>
  </si>
  <si>
    <t>BIOX</t>
  </si>
  <si>
    <t>BK</t>
  </si>
  <si>
    <t>BMY</t>
  </si>
  <si>
    <t>BNG</t>
  </si>
  <si>
    <t>BP</t>
  </si>
  <si>
    <t>BRFS</t>
  </si>
  <si>
    <t>BSBR</t>
  </si>
  <si>
    <t>BSN</t>
  </si>
  <si>
    <t>C</t>
  </si>
  <si>
    <t>CAAP</t>
  </si>
  <si>
    <t>1:4</t>
  </si>
  <si>
    <t>CAH</t>
  </si>
  <si>
    <t>CAJ</t>
  </si>
  <si>
    <t>CAR</t>
  </si>
  <si>
    <t>26</t>
  </si>
  <si>
    <t>CAT</t>
  </si>
  <si>
    <t>CBD</t>
  </si>
  <si>
    <t>CDE</t>
  </si>
  <si>
    <t>CL</t>
  </si>
  <si>
    <t>COIN</t>
  </si>
  <si>
    <t>27</t>
  </si>
  <si>
    <t>COST</t>
  </si>
  <si>
    <t>48</t>
  </si>
  <si>
    <t>CRM</t>
  </si>
  <si>
    <t>CS</t>
  </si>
  <si>
    <t>CSCO</t>
  </si>
  <si>
    <t>CVX</t>
  </si>
  <si>
    <t>8</t>
  </si>
  <si>
    <t>CX</t>
  </si>
  <si>
    <t>DD</t>
  </si>
  <si>
    <t>DE</t>
  </si>
  <si>
    <t>40</t>
  </si>
  <si>
    <t>DEO</t>
  </si>
  <si>
    <t>DESP</t>
  </si>
  <si>
    <t>DIS</t>
  </si>
  <si>
    <t>DOCU</t>
  </si>
  <si>
    <t>DOW</t>
  </si>
  <si>
    <t>DTEA</t>
  </si>
  <si>
    <t>E</t>
  </si>
  <si>
    <t>EA</t>
  </si>
  <si>
    <t>EBAY</t>
  </si>
  <si>
    <t>EBR</t>
  </si>
  <si>
    <t>EFX</t>
  </si>
  <si>
    <t>ELP</t>
  </si>
  <si>
    <t>EOAN</t>
  </si>
  <si>
    <t>ERIC</t>
  </si>
  <si>
    <t>ERJ</t>
  </si>
  <si>
    <t>ETSY</t>
  </si>
  <si>
    <t>FCX</t>
  </si>
  <si>
    <t>FDX</t>
  </si>
  <si>
    <t>FMCC</t>
  </si>
  <si>
    <t>FMX</t>
  </si>
  <si>
    <t>FNMA</t>
  </si>
  <si>
    <t>FSLR</t>
  </si>
  <si>
    <t>GE</t>
  </si>
  <si>
    <t>GFI</t>
  </si>
  <si>
    <t>GGB</t>
  </si>
  <si>
    <t>GILD</t>
  </si>
  <si>
    <t>GLOB</t>
  </si>
  <si>
    <t>GLW</t>
  </si>
  <si>
    <t>GM</t>
  </si>
  <si>
    <t>GOLD</t>
  </si>
  <si>
    <t>GOOGL</t>
  </si>
  <si>
    <t>58</t>
  </si>
  <si>
    <t>GPRK</t>
  </si>
  <si>
    <t>GRMN</t>
  </si>
  <si>
    <t>GS</t>
  </si>
  <si>
    <t>GSK</t>
  </si>
  <si>
    <t>HAL</t>
  </si>
  <si>
    <t>HD</t>
  </si>
  <si>
    <t>32</t>
  </si>
  <si>
    <t>HDB</t>
  </si>
  <si>
    <t>HHPD LI</t>
  </si>
  <si>
    <t>HL</t>
  </si>
  <si>
    <t>HMC</t>
  </si>
  <si>
    <t>HNPIY</t>
  </si>
  <si>
    <t>HOG</t>
  </si>
  <si>
    <t>HON</t>
  </si>
  <si>
    <t>HPQ</t>
  </si>
  <si>
    <t>HSBC</t>
  </si>
  <si>
    <t>HSY</t>
  </si>
  <si>
    <t>21</t>
  </si>
  <si>
    <t>HWM</t>
  </si>
  <si>
    <t>IBM</t>
  </si>
  <si>
    <t>IBN</t>
  </si>
  <si>
    <t>IFF</t>
  </si>
  <si>
    <t>INFY</t>
  </si>
  <si>
    <t>ING</t>
  </si>
  <si>
    <t>IP</t>
  </si>
  <si>
    <t>ITUB</t>
  </si>
  <si>
    <t>JCI</t>
  </si>
  <si>
    <t>JD</t>
  </si>
  <si>
    <t>JPM</t>
  </si>
  <si>
    <t>KB</t>
  </si>
  <si>
    <t>KEP</t>
  </si>
  <si>
    <t>KGC</t>
  </si>
  <si>
    <t>KMB</t>
  </si>
  <si>
    <t>KOFM</t>
  </si>
  <si>
    <t>LFCHY</t>
  </si>
  <si>
    <t>LKOD</t>
  </si>
  <si>
    <t>LLY</t>
  </si>
  <si>
    <t>LMT</t>
  </si>
  <si>
    <t>LRCX</t>
  </si>
  <si>
    <t>56</t>
  </si>
  <si>
    <t>LVS</t>
  </si>
  <si>
    <t>LYG</t>
  </si>
  <si>
    <t>MA</t>
  </si>
  <si>
    <t>33</t>
  </si>
  <si>
    <t>MBG</t>
  </si>
  <si>
    <t>MBT</t>
  </si>
  <si>
    <t>MCD</t>
  </si>
  <si>
    <t>24</t>
  </si>
  <si>
    <t>MDT</t>
  </si>
  <si>
    <t>60</t>
  </si>
  <si>
    <t>META</t>
  </si>
  <si>
    <t>MFG</t>
  </si>
  <si>
    <t>MMC</t>
  </si>
  <si>
    <t>MMM</t>
  </si>
  <si>
    <t>MO</t>
  </si>
  <si>
    <t>MRK</t>
  </si>
  <si>
    <t>30</t>
  </si>
  <si>
    <t>MSI</t>
  </si>
  <si>
    <t>MUFG</t>
  </si>
  <si>
    <t>NEC1</t>
  </si>
  <si>
    <t>NEM</t>
  </si>
  <si>
    <t>NFLX</t>
  </si>
  <si>
    <t>NG</t>
  </si>
  <si>
    <t>NGG</t>
  </si>
  <si>
    <t>NIO</t>
  </si>
  <si>
    <t>NKE</t>
  </si>
  <si>
    <t>NLM</t>
  </si>
  <si>
    <t>NMR</t>
  </si>
  <si>
    <t>NOKA</t>
  </si>
  <si>
    <t>NSAN</t>
  </si>
  <si>
    <t>NTCO</t>
  </si>
  <si>
    <t>NTES</t>
  </si>
  <si>
    <t>NUE</t>
  </si>
  <si>
    <t>NVDA</t>
  </si>
  <si>
    <t>NVS</t>
  </si>
  <si>
    <t>OGZD</t>
  </si>
  <si>
    <t>ORAN</t>
  </si>
  <si>
    <t>ORCL</t>
  </si>
  <si>
    <t>PAAS</t>
  </si>
  <si>
    <t>PAC</t>
  </si>
  <si>
    <t>PBI</t>
  </si>
  <si>
    <t>PBR</t>
  </si>
  <si>
    <t>PCAR</t>
  </si>
  <si>
    <t>PCRF</t>
  </si>
  <si>
    <t>PEP</t>
  </si>
  <si>
    <t>PFE</t>
  </si>
  <si>
    <t>PG</t>
  </si>
  <si>
    <t>PHG</t>
  </si>
  <si>
    <t>PKS</t>
  </si>
  <si>
    <t>PSO</t>
  </si>
  <si>
    <t>PSX</t>
  </si>
  <si>
    <t>PTRCY</t>
  </si>
  <si>
    <t>PYPL</t>
  </si>
  <si>
    <t>QCOM</t>
  </si>
  <si>
    <t>RIO</t>
  </si>
  <si>
    <t>ROST</t>
  </si>
  <si>
    <t>RTX</t>
  </si>
  <si>
    <t>SAN</t>
  </si>
  <si>
    <t>SAP</t>
  </si>
  <si>
    <t>SBS</t>
  </si>
  <si>
    <t>SBUX</t>
  </si>
  <si>
    <t>SCCO</t>
  </si>
  <si>
    <t>SE</t>
  </si>
  <si>
    <t>SHEL</t>
  </si>
  <si>
    <t>SHOP</t>
  </si>
  <si>
    <t>107</t>
  </si>
  <si>
    <t>SID</t>
  </si>
  <si>
    <t>1:8</t>
  </si>
  <si>
    <t>SIEGY</t>
  </si>
  <si>
    <t>SLB</t>
  </si>
  <si>
    <t>SMSN</t>
  </si>
  <si>
    <t>SNA</t>
  </si>
  <si>
    <t>SNAP</t>
  </si>
  <si>
    <t>SNOW</t>
  </si>
  <si>
    <t>SNPTY</t>
  </si>
  <si>
    <t>SONY</t>
  </si>
  <si>
    <t>SPGI</t>
  </si>
  <si>
    <t>28</t>
  </si>
  <si>
    <t>SQ</t>
  </si>
  <si>
    <t>SUZ</t>
  </si>
  <si>
    <t>SYY</t>
  </si>
  <si>
    <t>T</t>
  </si>
  <si>
    <t>TCOM</t>
  </si>
  <si>
    <t>TEFO</t>
  </si>
  <si>
    <t>TEN</t>
  </si>
  <si>
    <t>TGT</t>
  </si>
  <si>
    <t>TIIAY</t>
  </si>
  <si>
    <t>TM</t>
  </si>
  <si>
    <t>TMO</t>
  </si>
  <si>
    <t>TRIP</t>
  </si>
  <si>
    <t>TRV</t>
  </si>
  <si>
    <t>TSLA</t>
  </si>
  <si>
    <t>TSM</t>
  </si>
  <si>
    <t>TSU</t>
  </si>
  <si>
    <t>TTE</t>
  </si>
  <si>
    <t>TTM</t>
  </si>
  <si>
    <t>TV</t>
  </si>
  <si>
    <t>TWLO</t>
  </si>
  <si>
    <t>36</t>
  </si>
  <si>
    <t>TXN</t>
  </si>
  <si>
    <t>TXR</t>
  </si>
  <si>
    <t>UGP</t>
  </si>
  <si>
    <t>UL</t>
  </si>
  <si>
    <t>UNH</t>
  </si>
  <si>
    <t>UNP</t>
  </si>
  <si>
    <t>URBN</t>
  </si>
  <si>
    <t>USB</t>
  </si>
  <si>
    <t>V</t>
  </si>
  <si>
    <t>VALE</t>
  </si>
  <si>
    <t>VIST</t>
  </si>
  <si>
    <t>VIV</t>
  </si>
  <si>
    <t>VOD</t>
  </si>
  <si>
    <t>VRSN</t>
  </si>
  <si>
    <t>VZ</t>
  </si>
  <si>
    <t>WBA</t>
  </si>
  <si>
    <t>WBO</t>
  </si>
  <si>
    <t>WFC</t>
  </si>
  <si>
    <t>X</t>
  </si>
  <si>
    <t>XOM</t>
  </si>
  <si>
    <t>XP</t>
  </si>
  <si>
    <t>XRX</t>
  </si>
  <si>
    <t>YELP</t>
  </si>
  <si>
    <t>YY</t>
  </si>
  <si>
    <t>YZCA</t>
  </si>
  <si>
    <t>ZM</t>
  </si>
  <si>
    <t>47</t>
  </si>
  <si>
    <t>Data Imports</t>
  </si>
  <si>
    <t>Selectors</t>
  </si>
  <si>
    <t>Value Format</t>
  </si>
  <si>
    <t>Description</t>
  </si>
  <si>
    <t>historic-ccl</t>
  </si>
  <si>
    <t>https://dolarhistorico.com/dolar-ccl/cotizacion/</t>
  </si>
  <si>
    <t>DD-MMMM-YYYY</t>
  </si>
  <si>
    <t>//div[@class='h5 mb-0 font-weight-bold text-gray-800']</t>
  </si>
  <si>
    <t>Gets historical ccl quotation</t>
  </si>
  <si>
    <t>current-on-value</t>
  </si>
  <si>
    <t>https://www.allaria.com.ar/Bono/Especie/</t>
  </si>
  <si>
    <t>//*[@class='accion-precios accion-precios-2 clearfix']/h2</t>
  </si>
  <si>
    <t>Gets current ON price based on tiker</t>
  </si>
  <si>
    <t>bonds</t>
  </si>
  <si>
    <t>https://iol.invertironline.com/mercado/cotizaciones/argentina/bonos</t>
  </si>
  <si>
    <t>table</t>
  </si>
  <si>
    <t>https://iol.invertironline.com/mercado/cotizaciones/argentina/obligaciones-negociables/todos</t>
  </si>
  <si>
    <t>https://iol.invertironline.com/mercado/cotizaciones/argentina/fondos/todos</t>
  </si>
  <si>
    <t>Cryptos</t>
  </si>
  <si>
    <t>https://nexo.com/es-la/markets</t>
  </si>
  <si>
    <t>tbody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</si>
</sst>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&quot;/&quot;mm&quot;/&quot;yy"/>
    <numFmt numFmtId="165" formatCode="&quot;$&quot;#,##0.00"/>
    <numFmt numFmtId="166" formatCode="d/m/yyyy"/>
    <numFmt numFmtId="167" formatCode="[$ $]#,##0.00"/>
    <numFmt numFmtId="168" formatCode="0.00000000"/>
    <numFmt numFmtId="169" formatCode="0.0000"/>
    <numFmt numFmtId="170" formatCode="0.000%"/>
  </numFmts>
  <fonts count="17">
    <font>
      <sz val="10.0"/>
      <color rgb="FF000000"/>
      <name val="Arial"/>
      <scheme val="minor"/>
    </font>
    <font>
      <sz val="11.0"/>
      <color rgb="FFEFEFEF"/>
      <name val="Calibri"/>
    </font>
    <font/>
    <font>
      <color theme="1"/>
      <name val="Calibri"/>
    </font>
    <font>
      <color theme="1"/>
      <name val="Arial"/>
      <scheme val="minor"/>
    </font>
    <font>
      <sz val="9.0"/>
      <color rgb="FF000000"/>
      <name val="&quot;Google Sans Mono&quot;"/>
    </font>
    <font>
      <sz val="12.0"/>
      <color rgb="FFEFEFEF"/>
      <name val="Calibri"/>
    </font>
    <font>
      <b/>
      <sz val="12.0"/>
      <color rgb="FF6AA84F"/>
      <name val="Calibri"/>
    </font>
    <font>
      <color rgb="FFEFEFEF"/>
      <name val="Arial"/>
      <scheme val="minor"/>
    </font>
    <font>
      <color theme="1"/>
      <name val="Arial"/>
    </font>
    <font>
      <color rgb="FFFFFFFF"/>
      <name val="Arial"/>
      <scheme val="minor"/>
    </font>
    <font>
      <sz val="8.0"/>
      <color theme="1"/>
      <name val="&quot;Liberation Sans&quot;"/>
    </font>
    <font>
      <sz val="11.0"/>
      <color theme="1"/>
      <name val="Calibri"/>
    </font>
    <font>
      <color rgb="FFD9D9D9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</fills>
  <borders count="14">
    <border/>
    <border>
      <right style="thin">
        <color rgb="FFFFFFFF"/>
      </right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4285F4"/>
      </left>
      <top style="thin">
        <color rgb="FF4285F4"/>
      </top>
      <bottom style="thin">
        <color rgb="FF4285F4"/>
      </bottom>
    </border>
    <border>
      <left style="thin">
        <color rgb="FF6FA8DC"/>
      </left>
      <right style="thin">
        <color rgb="FF6FA8DC"/>
      </right>
      <top style="thin">
        <color rgb="FF6FA8DC"/>
      </top>
    </border>
    <border>
      <left style="thin">
        <color rgb="FF6FA8DC"/>
      </left>
      <right style="thin">
        <color rgb="FF6FA8DC"/>
      </right>
      <top style="thin">
        <color rgb="FF6FA8DC"/>
      </top>
      <bottom style="thin">
        <color rgb="FF6FA8DC"/>
      </bottom>
    </border>
    <border>
      <left style="thin">
        <color rgb="FF6FA8DC"/>
      </left>
      <right style="thin">
        <color rgb="FF6FA8DC"/>
      </right>
      <bottom style="thin">
        <color rgb="FF6FA8DC"/>
      </bottom>
    </border>
    <border>
      <right style="hair">
        <color rgb="FF000000"/>
      </right>
    </border>
    <border>
      <right style="thin">
        <color rgb="FF000000"/>
      </right>
    </border>
    <border>
      <bottom style="thin">
        <color rgb="FF3D85C6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Border="1" applyFont="1"/>
    <xf borderId="0" fillId="3" fontId="1" numFmtId="0" xfId="0" applyAlignment="1" applyFill="1" applyFon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2" fillId="4" fontId="3" numFmtId="0" xfId="0" applyAlignment="1" applyBorder="1" applyFill="1" applyFont="1">
      <alignment horizontal="center" readingOrder="0" vertical="center"/>
    </xf>
    <xf borderId="2" fillId="5" fontId="3" numFmtId="0" xfId="0" applyAlignment="1" applyBorder="1" applyFill="1" applyFont="1">
      <alignment horizontal="center" readingOrder="0" vertical="center"/>
    </xf>
    <xf borderId="0" fillId="6" fontId="3" numFmtId="10" xfId="0" applyAlignment="1" applyFill="1" applyFont="1" applyNumberFormat="1">
      <alignment horizontal="center" vertical="center"/>
    </xf>
    <xf borderId="3" fillId="4" fontId="3" numFmtId="164" xfId="0" applyAlignment="1" applyBorder="1" applyFont="1" applyNumberFormat="1">
      <alignment horizontal="center" readingOrder="0" vertical="center"/>
    </xf>
    <xf borderId="2" fillId="6" fontId="3" numFmtId="2" xfId="0" applyAlignment="1" applyBorder="1" applyFont="1" applyNumberFormat="1">
      <alignment horizontal="center" vertical="center"/>
    </xf>
    <xf borderId="2" fillId="6" fontId="3" numFmtId="10" xfId="0" applyAlignment="1" applyBorder="1" applyFont="1" applyNumberFormat="1">
      <alignment horizontal="center" vertical="center"/>
    </xf>
    <xf borderId="2" fillId="4" fontId="3" numFmtId="164" xfId="0" applyAlignment="1" applyBorder="1" applyFont="1" applyNumberFormat="1">
      <alignment horizontal="center" readingOrder="0" vertical="center"/>
    </xf>
    <xf borderId="3" fillId="4" fontId="3" numFmtId="0" xfId="0" applyAlignment="1" applyBorder="1" applyFont="1">
      <alignment horizontal="center" readingOrder="0" vertical="center"/>
    </xf>
    <xf borderId="0" fillId="3" fontId="1" numFmtId="165" xfId="0" applyAlignment="1" applyFont="1" applyNumberFormat="1">
      <alignment horizontal="center" readingOrder="0" vertical="center"/>
    </xf>
    <xf borderId="4" fillId="6" fontId="3" numFmtId="165" xfId="0" applyAlignment="1" applyBorder="1" applyFont="1" applyNumberFormat="1">
      <alignment horizontal="center" vertical="center"/>
    </xf>
    <xf borderId="2" fillId="6" fontId="3" numFmtId="165" xfId="0" applyAlignment="1" applyBorder="1" applyFont="1" applyNumberFormat="1">
      <alignment horizontal="center" vertical="center"/>
    </xf>
    <xf borderId="0" fillId="3" fontId="1" numFmtId="164" xfId="0" applyAlignment="1" applyFont="1" applyNumberFormat="1">
      <alignment horizontal="center" readingOrder="0" vertical="center"/>
    </xf>
    <xf borderId="0" fillId="3" fontId="1" numFmtId="10" xfId="0" applyAlignment="1" applyFont="1" applyNumberFormat="1">
      <alignment horizontal="right" readingOrder="0" vertical="center"/>
    </xf>
    <xf borderId="0" fillId="3" fontId="4" numFmtId="0" xfId="0" applyFont="1"/>
    <xf borderId="2" fillId="4" fontId="3" numFmtId="164" xfId="0" applyAlignment="1" applyBorder="1" applyFont="1" applyNumberFormat="1">
      <alignment horizontal="center" readingOrder="0"/>
    </xf>
    <xf borderId="2" fillId="6" fontId="3" numFmtId="0" xfId="0" applyAlignment="1" applyBorder="1" applyFont="1">
      <alignment horizontal="center" vertical="center"/>
    </xf>
    <xf borderId="2" fillId="4" fontId="3" numFmtId="2" xfId="0" applyAlignment="1" applyBorder="1" applyFont="1" applyNumberFormat="1">
      <alignment horizontal="center" readingOrder="0" vertical="center"/>
    </xf>
    <xf borderId="2" fillId="4" fontId="3" numFmtId="2" xfId="0" applyAlignment="1" applyBorder="1" applyFont="1" applyNumberFormat="1">
      <alignment horizontal="center" vertical="center"/>
    </xf>
    <xf borderId="2" fillId="7" fontId="3" numFmtId="2" xfId="0" applyAlignment="1" applyBorder="1" applyFill="1" applyFont="1" applyNumberFormat="1">
      <alignment horizontal="center" vertical="center"/>
    </xf>
    <xf borderId="2" fillId="6" fontId="5" numFmtId="10" xfId="0" applyAlignment="1" applyBorder="1" applyFont="1" applyNumberFormat="1">
      <alignment horizontal="right"/>
    </xf>
    <xf borderId="2" fillId="4" fontId="3" numFmtId="164" xfId="0" applyAlignment="1" applyBorder="1" applyFont="1" applyNumberFormat="1">
      <alignment horizontal="center" vertical="center"/>
    </xf>
    <xf borderId="0" fillId="3" fontId="6" numFmtId="0" xfId="0" applyAlignment="1" applyFont="1">
      <alignment horizontal="center" readingOrder="0" shrinkToFit="0" vertical="center" wrapText="1"/>
    </xf>
    <xf borderId="0" fillId="6" fontId="7" numFmtId="165" xfId="0" applyAlignment="1" applyFont="1" applyNumberFormat="1">
      <alignment horizontal="center" shrinkToFit="0" vertical="center" wrapText="1"/>
    </xf>
    <xf borderId="0" fillId="6" fontId="7" numFmtId="10" xfId="0" applyAlignment="1" applyFont="1" applyNumberFormat="1">
      <alignment horizontal="center" shrinkToFit="0" vertical="center" wrapText="1"/>
    </xf>
    <xf borderId="2" fillId="6" fontId="3" numFmtId="2" xfId="0" applyAlignment="1" applyBorder="1" applyFont="1" applyNumberFormat="1">
      <alignment horizontal="center" readingOrder="0" vertical="center"/>
    </xf>
    <xf borderId="5" fillId="3" fontId="6" numFmtId="0" xfId="0" applyAlignment="1" applyBorder="1" applyFont="1">
      <alignment horizontal="center" readingOrder="0" shrinkToFit="0" vertical="center" wrapText="1"/>
    </xf>
    <xf borderId="6" fillId="3" fontId="8" numFmtId="0" xfId="0" applyAlignment="1" applyBorder="1" applyFont="1">
      <alignment horizontal="center" readingOrder="0"/>
    </xf>
    <xf borderId="6" fillId="8" fontId="8" numFmtId="0" xfId="0" applyAlignment="1" applyBorder="1" applyFill="1" applyFont="1">
      <alignment horizontal="center" readingOrder="0"/>
    </xf>
    <xf borderId="7" fillId="0" fontId="2" numFmtId="0" xfId="0" applyBorder="1" applyFont="1"/>
    <xf borderId="0" fillId="3" fontId="8" numFmtId="0" xfId="0" applyAlignment="1" applyFont="1">
      <alignment horizontal="center" readingOrder="0"/>
    </xf>
    <xf borderId="0" fillId="3" fontId="9" numFmtId="0" xfId="0" applyAlignment="1" applyFont="1">
      <alignment vertical="bottom"/>
    </xf>
    <xf borderId="2" fillId="6" fontId="9" numFmtId="2" xfId="0" applyBorder="1" applyFont="1" applyNumberFormat="1"/>
    <xf borderId="0" fillId="3" fontId="9" numFmtId="0" xfId="0" applyFont="1"/>
    <xf borderId="0" fillId="3" fontId="9" numFmtId="0" xfId="0" applyAlignment="1" applyFont="1">
      <alignment vertical="bottom"/>
    </xf>
    <xf borderId="2" fillId="4" fontId="3" numFmtId="164" xfId="0" applyAlignment="1" applyBorder="1" applyFont="1" applyNumberFormat="1">
      <alignment horizontal="center"/>
    </xf>
    <xf borderId="2" fillId="9" fontId="3" numFmtId="0" xfId="0" applyAlignment="1" applyBorder="1" applyFill="1" applyFont="1">
      <alignment horizontal="center" readingOrder="0"/>
    </xf>
    <xf borderId="2" fillId="6" fontId="3" numFmtId="0" xfId="0" applyAlignment="1" applyBorder="1" applyFont="1">
      <alignment horizontal="center"/>
    </xf>
    <xf borderId="2" fillId="4" fontId="3" numFmtId="0" xfId="0" applyAlignment="1" applyBorder="1" applyFont="1">
      <alignment horizontal="center" readingOrder="0"/>
    </xf>
    <xf borderId="2" fillId="4" fontId="3" numFmtId="2" xfId="0" applyAlignment="1" applyBorder="1" applyFont="1" applyNumberFormat="1">
      <alignment horizontal="center"/>
    </xf>
    <xf borderId="2" fillId="6" fontId="3" numFmtId="2" xfId="0" applyAlignment="1" applyBorder="1" applyFont="1" applyNumberFormat="1">
      <alignment horizontal="center"/>
    </xf>
    <xf borderId="2" fillId="10" fontId="3" numFmtId="10" xfId="0" applyAlignment="1" applyBorder="1" applyFill="1" applyFont="1" applyNumberFormat="1">
      <alignment horizontal="center"/>
    </xf>
    <xf borderId="0" fillId="6" fontId="3" numFmtId="2" xfId="0" applyAlignment="1" applyFont="1" applyNumberFormat="1">
      <alignment horizontal="center" vertical="center"/>
    </xf>
    <xf borderId="0" fillId="6" fontId="3" numFmtId="165" xfId="0" applyAlignment="1" applyFont="1" applyNumberFormat="1">
      <alignment horizontal="center" vertical="center"/>
    </xf>
    <xf borderId="1" fillId="3" fontId="4" numFmtId="0" xfId="0" applyBorder="1" applyFont="1"/>
    <xf borderId="0" fillId="0" fontId="4" numFmtId="0" xfId="0" applyFont="1"/>
    <xf borderId="2" fillId="4" fontId="3" numFmtId="166" xfId="0" applyAlignment="1" applyBorder="1" applyFont="1" applyNumberForma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0" fillId="4" fontId="3" numFmtId="164" xfId="0" applyAlignment="1" applyFont="1" applyNumberFormat="1">
      <alignment horizontal="center" readingOrder="0" vertical="center"/>
    </xf>
    <xf borderId="0" fillId="4" fontId="3" numFmtId="164" xfId="0" applyAlignment="1" applyFont="1" applyNumberFormat="1">
      <alignment horizontal="center" vertical="center"/>
    </xf>
    <xf borderId="0" fillId="6" fontId="3" numFmtId="0" xfId="0" applyAlignment="1" applyFont="1">
      <alignment horizontal="center" vertical="center"/>
    </xf>
    <xf borderId="0" fillId="4" fontId="3" numFmtId="2" xfId="0" applyAlignment="1" applyFont="1" applyNumberFormat="1">
      <alignment horizontal="center" readingOrder="0" vertical="center"/>
    </xf>
    <xf borderId="0" fillId="4" fontId="3" numFmtId="2" xfId="0" applyAlignment="1" applyFont="1" applyNumberFormat="1">
      <alignment horizontal="center" vertical="center"/>
    </xf>
    <xf borderId="0" fillId="7" fontId="3" numFmtId="2" xfId="0" applyAlignment="1" applyFont="1" applyNumberFormat="1">
      <alignment horizontal="center" vertical="center"/>
    </xf>
    <xf borderId="0" fillId="6" fontId="5" numFmtId="10" xfId="0" applyAlignment="1" applyFont="1" applyNumberFormat="1">
      <alignment horizontal="right"/>
    </xf>
    <xf borderId="0" fillId="3" fontId="6" numFmtId="4" xfId="0" applyAlignment="1" applyFont="1" applyNumberFormat="1">
      <alignment horizontal="center" readingOrder="0" shrinkToFit="0" vertical="center" wrapText="1"/>
    </xf>
    <xf borderId="0" fillId="3" fontId="1" numFmtId="0" xfId="0" applyAlignment="1" applyFont="1">
      <alignment horizontal="right" readingOrder="0" vertical="center"/>
    </xf>
    <xf borderId="2" fillId="6" fontId="3" numFmtId="0" xfId="0" applyAlignment="1" applyBorder="1" applyFont="1">
      <alignment horizontal="center" readingOrder="0" vertical="center"/>
    </xf>
    <xf borderId="2" fillId="6" fontId="3" numFmtId="10" xfId="0" applyAlignment="1" applyBorder="1" applyFont="1" applyNumberFormat="1">
      <alignment horizontal="center" readingOrder="0" vertical="center"/>
    </xf>
    <xf borderId="3" fillId="6" fontId="3" numFmtId="165" xfId="0" applyAlignment="1" applyBorder="1" applyFont="1" applyNumberFormat="1">
      <alignment horizontal="center" vertical="center"/>
    </xf>
    <xf borderId="3" fillId="6" fontId="3" numFmtId="165" xfId="0" applyAlignment="1" applyBorder="1" applyFont="1" applyNumberFormat="1">
      <alignment horizontal="center"/>
    </xf>
    <xf borderId="0" fillId="11" fontId="10" numFmtId="164" xfId="0" applyAlignment="1" applyFill="1" applyFont="1" applyNumberFormat="1">
      <alignment horizontal="center" readingOrder="0"/>
    </xf>
    <xf borderId="8" fillId="0" fontId="4" numFmtId="164" xfId="0" applyAlignment="1" applyBorder="1" applyFont="1" applyNumberFormat="1">
      <alignment readingOrder="0"/>
    </xf>
    <xf borderId="9" fillId="0" fontId="4" numFmtId="0" xfId="0" applyAlignment="1" applyBorder="1" applyFont="1">
      <alignment readingOrder="0"/>
    </xf>
    <xf borderId="9" fillId="0" fontId="4" numFmtId="167" xfId="0" applyAlignment="1" applyBorder="1" applyFont="1" applyNumberFormat="1">
      <alignment readingOrder="0"/>
    </xf>
    <xf borderId="9" fillId="0" fontId="4" numFmtId="3" xfId="0" applyAlignment="1" applyBorder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9" fillId="0" fontId="4" numFmtId="165" xfId="0" applyAlignment="1" applyBorder="1" applyFont="1" applyNumberFormat="1">
      <alignment readingOrder="0"/>
    </xf>
    <xf borderId="0" fillId="11" fontId="10" numFmtId="0" xfId="0" applyAlignment="1" applyFont="1">
      <alignment horizontal="center" readingOrder="0"/>
    </xf>
    <xf borderId="0" fillId="0" fontId="11" numFmtId="164" xfId="0" applyAlignment="1" applyFont="1" applyNumberFormat="1">
      <alignment horizontal="right" readingOrder="0"/>
    </xf>
    <xf borderId="0" fillId="0" fontId="4" numFmtId="0" xfId="0" applyFont="1"/>
    <xf borderId="0" fillId="3" fontId="1" numFmtId="168" xfId="0" applyAlignment="1" applyFont="1" applyNumberFormat="1">
      <alignment horizontal="center" readingOrder="0" vertical="center"/>
    </xf>
    <xf borderId="10" fillId="3" fontId="1" numFmtId="0" xfId="0" applyAlignment="1" applyBorder="1" applyFont="1">
      <alignment horizontal="center"/>
    </xf>
    <xf borderId="2" fillId="4" fontId="3" numFmtId="168" xfId="0" applyAlignment="1" applyBorder="1" applyFont="1" applyNumberFormat="1">
      <alignment horizontal="center" readingOrder="0" vertical="center"/>
    </xf>
    <xf borderId="2" fillId="6" fontId="3" numFmtId="169" xfId="0" applyAlignment="1" applyBorder="1" applyFont="1" applyNumberFormat="1">
      <alignment horizontal="center" vertical="center"/>
    </xf>
    <xf borderId="2" fillId="6" fontId="3" numFmtId="168" xfId="0" applyAlignment="1" applyBorder="1" applyFont="1" applyNumberFormat="1">
      <alignment horizontal="center" vertical="center"/>
    </xf>
    <xf borderId="10" fillId="6" fontId="12" numFmtId="4" xfId="0" applyAlignment="1" applyBorder="1" applyFont="1" applyNumberFormat="1">
      <alignment horizontal="center"/>
    </xf>
    <xf borderId="10" fillId="6" fontId="12" numFmtId="169" xfId="0" applyAlignment="1" applyBorder="1" applyFont="1" applyNumberFormat="1">
      <alignment horizontal="center"/>
    </xf>
    <xf borderId="0" fillId="3" fontId="1" numFmtId="0" xfId="0" applyAlignment="1" applyFont="1">
      <alignment horizontal="center"/>
    </xf>
    <xf borderId="2" fillId="4" fontId="3" numFmtId="168" xfId="0" applyAlignment="1" applyBorder="1" applyFont="1" applyNumberFormat="1">
      <alignment horizontal="center" vertical="center"/>
    </xf>
    <xf borderId="10" fillId="6" fontId="12" numFmtId="4" xfId="0" applyBorder="1" applyFont="1" applyNumberFormat="1"/>
    <xf borderId="0" fillId="6" fontId="12" numFmtId="4" xfId="0" applyFont="1" applyNumberFormat="1"/>
    <xf borderId="0" fillId="6" fontId="12" numFmtId="169" xfId="0" applyAlignment="1" applyFont="1" applyNumberFormat="1">
      <alignment horizontal="center"/>
    </xf>
    <xf borderId="11" fillId="11" fontId="13" numFmtId="0" xfId="0" applyAlignment="1" applyBorder="1" applyFont="1">
      <alignment horizontal="center" readingOrder="0"/>
    </xf>
    <xf borderId="11" fillId="0" fontId="2" numFmtId="0" xfId="0" applyBorder="1" applyFont="1"/>
    <xf borderId="12" fillId="11" fontId="13" numFmtId="0" xfId="0" applyAlignment="1" applyBorder="1" applyFont="1">
      <alignment horizontal="center" readingOrder="0"/>
    </xf>
    <xf borderId="0" fillId="3" fontId="13" numFmtId="0" xfId="0" applyAlignment="1" applyFont="1">
      <alignment horizontal="center" readingOrder="0"/>
    </xf>
    <xf borderId="0" fillId="3" fontId="13" numFmtId="170" xfId="0" applyAlignment="1" applyFont="1" applyNumberFormat="1">
      <alignment horizontal="center" readingOrder="0"/>
    </xf>
    <xf borderId="13" fillId="3" fontId="13" numFmtId="0" xfId="0" applyAlignment="1" applyBorder="1" applyFont="1">
      <alignment horizontal="center" readingOrder="0"/>
    </xf>
    <xf borderId="0" fillId="3" fontId="1" numFmtId="0" xfId="0" applyAlignment="1" applyFont="1">
      <alignment horizontal="center"/>
    </xf>
    <xf borderId="0" fillId="4" fontId="4" numFmtId="0" xfId="0" applyAlignment="1" applyFont="1">
      <alignment horizontal="center" readingOrder="0"/>
    </xf>
    <xf borderId="0" fillId="4" fontId="4" numFmtId="170" xfId="0" applyAlignment="1" applyFont="1" applyNumberFormat="1">
      <alignment horizontal="center" readingOrder="0"/>
    </xf>
    <xf borderId="13" fillId="4" fontId="4" numFmtId="0" xfId="0" applyAlignment="1" applyBorder="1" applyFont="1">
      <alignment horizontal="center" readingOrder="0"/>
    </xf>
    <xf borderId="0" fillId="6" fontId="4" numFmtId="165" xfId="0" applyAlignment="1" applyFont="1" applyNumberFormat="1">
      <alignment horizontal="center" readingOrder="0"/>
    </xf>
    <xf borderId="0" fillId="4" fontId="4" numFmtId="49" xfId="0" applyAlignment="1" applyFont="1" applyNumberFormat="1">
      <alignment horizontal="center" readingOrder="0"/>
    </xf>
    <xf borderId="0" fillId="4" fontId="14" numFmtId="49" xfId="0" applyAlignment="1" applyFont="1" applyNumberFormat="1">
      <alignment horizontal="center" readingOrder="0"/>
    </xf>
    <xf borderId="2" fillId="6" fontId="3" numFmtId="165" xfId="0" applyAlignment="1" applyBorder="1" applyFont="1" applyNumberFormat="1">
      <alignment horizontal="center"/>
    </xf>
    <xf borderId="0" fillId="4" fontId="4" numFmtId="165" xfId="0" applyAlignment="1" applyFont="1" applyNumberFormat="1">
      <alignment horizontal="center" readingOrder="0"/>
    </xf>
    <xf borderId="0" fillId="4" fontId="15" numFmtId="0" xfId="0" applyAlignment="1" applyFont="1">
      <alignment horizontal="center" readingOrder="0"/>
    </xf>
    <xf borderId="0" fillId="4" fontId="16" numFmtId="0" xfId="0" applyAlignment="1" applyFont="1">
      <alignment horizontal="center" readingOrder="0"/>
    </xf>
    <xf borderId="0" fillId="12" fontId="5" numFmtId="0" xfId="0" applyAlignment="1" applyFill="1" applyFont="1">
      <alignment readingOrder="0"/>
    </xf>
  </cellXfs>
  <cellStyles count="1">
    <cellStyle xfId="0" name="Normal" builtinId="0"/>
  </cellStyles>
  <dxfs count="10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b/>
        <color rgb="FF6AA84F"/>
      </font>
      <fill>
        <patternFill patternType="none"/>
      </fill>
      <border/>
    </dxf>
    <dxf>
      <font>
        <b/>
        <color rgb="FFCC0000"/>
      </font>
      <fill>
        <patternFill patternType="none"/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Dashboard!$A$3:$A$13</c:f>
            </c:strRef>
          </c:cat>
          <c:val>
            <c:numRef>
              <c:f>Dashboard!$B$3:$B$13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CEDEARs!$W$2:$W$31</c:f>
            </c:strRef>
          </c:cat>
          <c:val>
            <c:numRef>
              <c:f>CEDEARs!$Y$2:$Y$31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ONs!$X$2:$X$27</c:f>
            </c:strRef>
          </c:cat>
          <c:val>
            <c:numRef>
              <c:f>ONs!$AA$2:$AA$27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FCIs!$X$2:$X$27</c:f>
            </c:strRef>
          </c:cat>
          <c:val>
            <c:numRef>
              <c:f>FCIs!$AA$2:$AA$27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Bonds!$X$2:$X$27</c:f>
            </c:strRef>
          </c:cat>
          <c:val>
            <c:numRef>
              <c:f>Bonds!$AA$2:$AA$27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Cryptos!$P$2:$P$29</c:f>
            </c:strRef>
          </c:cat>
          <c:val>
            <c:numRef>
              <c:f>Cryptos!$R$2:$R$29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180975</xdr:colOff>
      <xdr:row>2</xdr:row>
      <xdr:rowOff>19050</xdr:rowOff>
    </xdr:from>
    <xdr:ext cx="3457575" cy="1933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123825</xdr:colOff>
      <xdr:row>0</xdr:row>
      <xdr:rowOff>200025</xdr:rowOff>
    </xdr:from>
    <xdr:ext cx="4029075" cy="29337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123825</xdr:colOff>
      <xdr:row>0</xdr:row>
      <xdr:rowOff>200025</xdr:rowOff>
    </xdr:from>
    <xdr:ext cx="4029075" cy="29337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123825</xdr:colOff>
      <xdr:row>0</xdr:row>
      <xdr:rowOff>200025</xdr:rowOff>
    </xdr:from>
    <xdr:ext cx="4029075" cy="29337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123825</xdr:colOff>
      <xdr:row>0</xdr:row>
      <xdr:rowOff>200025</xdr:rowOff>
    </xdr:from>
    <xdr:ext cx="6038850" cy="293370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123825</xdr:colOff>
      <xdr:row>0</xdr:row>
      <xdr:rowOff>200025</xdr:rowOff>
    </xdr:from>
    <xdr:ext cx="4029075" cy="293370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edgarelinrodrigue.mp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larhistorico.com/dolar-ccl/cotizacion/" TargetMode="External"/><Relationship Id="rId2" Type="http://schemas.openxmlformats.org/officeDocument/2006/relationships/hyperlink" Target="https://www.allaria.com.ar/Bono/Especie/" TargetMode="External"/><Relationship Id="rId3" Type="http://schemas.openxmlformats.org/officeDocument/2006/relationships/hyperlink" Target="https://iol.invertironline.com/mercado/cotizaciones/argentina/bonos" TargetMode="External"/><Relationship Id="rId4" Type="http://schemas.openxmlformats.org/officeDocument/2006/relationships/hyperlink" Target="https://iol.invertironline.com/mercado/cotizaciones/argentina/obligaciones-negociables/todos" TargetMode="External"/><Relationship Id="rId5" Type="http://schemas.openxmlformats.org/officeDocument/2006/relationships/hyperlink" Target="https://iol.invertironline.com/mercado/cotizaciones/argentina/fondos/todos" TargetMode="External"/><Relationship Id="rId6" Type="http://schemas.openxmlformats.org/officeDocument/2006/relationships/hyperlink" Target="https://nexo.com/es-la/markets" TargetMode="External"/><Relationship Id="rId7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8" max="8" width="2.75"/>
    <col customWidth="1" min="12" max="12" width="2.63"/>
  </cols>
  <sheetData>
    <row r="1">
      <c r="A1" s="1" t="s">
        <v>0</v>
      </c>
      <c r="G1" s="2"/>
      <c r="H1" s="1"/>
      <c r="I1" s="1" t="s">
        <v>1</v>
      </c>
    </row>
    <row r="2">
      <c r="A2" s="3" t="s">
        <v>2</v>
      </c>
      <c r="B2" s="3" t="s">
        <v>3</v>
      </c>
      <c r="C2" s="3" t="s">
        <v>4</v>
      </c>
      <c r="D2" s="3"/>
      <c r="E2" s="3"/>
      <c r="F2" s="3"/>
      <c r="G2" s="4"/>
      <c r="H2" s="3"/>
      <c r="I2" s="3" t="s">
        <v>2</v>
      </c>
      <c r="J2" s="3" t="s">
        <v>3</v>
      </c>
      <c r="K2" s="3" t="s">
        <v>5</v>
      </c>
      <c r="L2" s="3"/>
    </row>
    <row r="3">
      <c r="A3" s="5" t="s">
        <v>6</v>
      </c>
      <c r="B3" s="6">
        <v>761.0</v>
      </c>
      <c r="C3" s="7">
        <f t="shared" ref="C3:C12" si="1">if($A3=0,"",$B3/$F$14)</f>
        <v>0.0984465154</v>
      </c>
      <c r="D3" s="3"/>
      <c r="E3" s="3"/>
      <c r="F3" s="3"/>
      <c r="G3" s="4"/>
      <c r="H3" s="3"/>
      <c r="I3" s="8" t="s">
        <v>7</v>
      </c>
      <c r="J3" s="9">
        <f>IFNA(CEDEARs!AF22,0)</f>
        <v>1074.789739</v>
      </c>
      <c r="K3" s="10">
        <f>J3/F14</f>
        <v>0.139039822</v>
      </c>
      <c r="L3" s="3"/>
    </row>
    <row r="4">
      <c r="A4" s="11" t="s">
        <v>7</v>
      </c>
      <c r="B4" s="9">
        <f>IFNA(CEDEARs!AF20,0)</f>
        <v>3650.659535</v>
      </c>
      <c r="C4" s="7">
        <f t="shared" si="1"/>
        <v>0.4722663734</v>
      </c>
      <c r="D4" s="3"/>
      <c r="E4" s="3"/>
      <c r="F4" s="3"/>
      <c r="G4" s="4"/>
      <c r="H4" s="3"/>
      <c r="I4" s="8" t="s">
        <v>8</v>
      </c>
      <c r="J4" s="9">
        <f>IFNA(Bonds!AL20,0)</f>
        <v>863.4770508</v>
      </c>
      <c r="K4" s="10">
        <f>J4/F14</f>
        <v>0.1117034255</v>
      </c>
      <c r="L4" s="3"/>
    </row>
    <row r="5">
      <c r="A5" s="11" t="s">
        <v>8</v>
      </c>
      <c r="B5" s="9">
        <f>IFNA(Bonds!AL18,0)</f>
        <v>1340.435375</v>
      </c>
      <c r="C5" s="7">
        <f t="shared" si="1"/>
        <v>0.1734049826</v>
      </c>
      <c r="D5" s="3"/>
      <c r="E5" s="3"/>
      <c r="F5" s="3"/>
      <c r="G5" s="4"/>
      <c r="H5" s="3"/>
      <c r="I5" s="8" t="s">
        <v>9</v>
      </c>
      <c r="J5" s="9">
        <f>IFNA(ONs!AH20,0)</f>
        <v>283.9469421</v>
      </c>
      <c r="K5" s="10">
        <f t="shared" ref="K5:K12" si="2">$J5/$F$14</f>
        <v>0.03673270303</v>
      </c>
      <c r="L5" s="3"/>
    </row>
    <row r="6">
      <c r="A6" s="11" t="s">
        <v>9</v>
      </c>
      <c r="B6" s="9">
        <f>IFNA(ONs!AH18,0)</f>
        <v>1533.860085</v>
      </c>
      <c r="C6" s="7">
        <f t="shared" si="1"/>
        <v>0.1984273068</v>
      </c>
      <c r="D6" s="3"/>
      <c r="E6" s="3"/>
      <c r="F6" s="3"/>
      <c r="G6" s="4"/>
      <c r="H6" s="3"/>
      <c r="I6" s="12" t="s">
        <v>10</v>
      </c>
      <c r="J6" s="9">
        <f>IFNA(FCIs!AH20,0)</f>
        <v>0</v>
      </c>
      <c r="K6" s="10">
        <f t="shared" si="2"/>
        <v>0</v>
      </c>
      <c r="L6" s="3"/>
    </row>
    <row r="7">
      <c r="A7" s="5" t="s">
        <v>10</v>
      </c>
      <c r="B7" s="9">
        <f>IFNA(FCIs!AH18,0)</f>
        <v>0</v>
      </c>
      <c r="C7" s="7">
        <f t="shared" si="1"/>
        <v>0</v>
      </c>
      <c r="D7" s="3"/>
      <c r="E7" s="3"/>
      <c r="F7" s="3"/>
      <c r="G7" s="4"/>
      <c r="H7" s="3"/>
      <c r="I7" s="12" t="s">
        <v>11</v>
      </c>
      <c r="J7" s="9">
        <f>IFNA(Cryptos!Y22,0)</f>
        <v>175.0066876</v>
      </c>
      <c r="K7" s="10">
        <f t="shared" si="2"/>
        <v>0.02263968274</v>
      </c>
      <c r="L7" s="3"/>
    </row>
    <row r="8">
      <c r="A8" s="5" t="s">
        <v>11</v>
      </c>
      <c r="B8" s="9">
        <f>IFNA(Cryptos!Y20,0)</f>
        <v>444.1306962</v>
      </c>
      <c r="C8" s="7">
        <f t="shared" si="1"/>
        <v>0.05745482184</v>
      </c>
      <c r="D8" s="3"/>
      <c r="E8" s="3"/>
      <c r="F8" s="3"/>
      <c r="G8" s="4"/>
      <c r="H8" s="3"/>
      <c r="I8" s="8"/>
      <c r="J8" s="9"/>
      <c r="K8" s="10">
        <f t="shared" si="2"/>
        <v>0</v>
      </c>
      <c r="L8" s="3"/>
    </row>
    <row r="9">
      <c r="A9" s="11"/>
      <c r="B9" s="9"/>
      <c r="C9" s="7" t="str">
        <f t="shared" si="1"/>
        <v/>
      </c>
      <c r="D9" s="3"/>
      <c r="E9" s="3"/>
      <c r="F9" s="3"/>
      <c r="G9" s="4"/>
      <c r="H9" s="3"/>
      <c r="I9" s="8"/>
      <c r="J9" s="9"/>
      <c r="K9" s="10">
        <f t="shared" si="2"/>
        <v>0</v>
      </c>
      <c r="L9" s="3"/>
    </row>
    <row r="10">
      <c r="A10" s="11"/>
      <c r="B10" s="9"/>
      <c r="C10" s="7" t="str">
        <f t="shared" si="1"/>
        <v/>
      </c>
      <c r="D10" s="3"/>
      <c r="E10" s="3"/>
      <c r="F10" s="3"/>
      <c r="G10" s="4"/>
      <c r="H10" s="3"/>
      <c r="I10" s="8"/>
      <c r="J10" s="9"/>
      <c r="K10" s="10">
        <f t="shared" si="2"/>
        <v>0</v>
      </c>
      <c r="L10" s="3"/>
    </row>
    <row r="11">
      <c r="A11" s="11"/>
      <c r="B11" s="9"/>
      <c r="C11" s="7" t="str">
        <f t="shared" si="1"/>
        <v/>
      </c>
      <c r="D11" s="3"/>
      <c r="E11" s="3"/>
      <c r="F11" s="3"/>
      <c r="G11" s="4"/>
      <c r="H11" s="3"/>
      <c r="I11" s="8"/>
      <c r="J11" s="9"/>
      <c r="K11" s="10">
        <f t="shared" si="2"/>
        <v>0</v>
      </c>
      <c r="L11" s="3"/>
    </row>
    <row r="12">
      <c r="A12" s="11"/>
      <c r="B12" s="9"/>
      <c r="C12" s="7" t="str">
        <f t="shared" si="1"/>
        <v/>
      </c>
      <c r="D12" s="3"/>
      <c r="E12" s="3"/>
      <c r="F12" s="3"/>
      <c r="G12" s="4"/>
      <c r="H12" s="3"/>
      <c r="I12" s="8"/>
      <c r="J12" s="9"/>
      <c r="K12" s="10">
        <f t="shared" si="2"/>
        <v>0</v>
      </c>
      <c r="L12" s="3"/>
    </row>
    <row r="13">
      <c r="A13" s="3"/>
      <c r="B13" s="3"/>
      <c r="C13" s="3"/>
      <c r="D13" s="3"/>
      <c r="E13" s="3"/>
      <c r="F13" s="13"/>
      <c r="G13" s="4"/>
      <c r="H13" s="3"/>
      <c r="I13" s="3"/>
      <c r="J13" s="3"/>
      <c r="K13" s="3"/>
      <c r="L13" s="3"/>
    </row>
    <row r="14">
      <c r="A14" s="3"/>
      <c r="B14" s="3"/>
      <c r="C14" s="3"/>
      <c r="D14" s="3"/>
      <c r="E14" s="3" t="s">
        <v>12</v>
      </c>
      <c r="F14" s="14">
        <f>SUM(B3:B12)</f>
        <v>7730.085691</v>
      </c>
      <c r="G14" s="4"/>
      <c r="H14" s="3"/>
      <c r="I14" s="3" t="s">
        <v>12</v>
      </c>
      <c r="J14" s="15">
        <f>SUM(J3:J12)</f>
        <v>2397.220419</v>
      </c>
      <c r="K14" s="10">
        <f>J14/F14</f>
        <v>0.3101156333</v>
      </c>
      <c r="L14" s="3"/>
    </row>
    <row r="15">
      <c r="A15" s="3"/>
      <c r="B15" s="3"/>
      <c r="C15" s="3"/>
      <c r="D15" s="3"/>
      <c r="E15" s="3"/>
      <c r="F15" s="3"/>
      <c r="G15" s="4"/>
      <c r="H15" s="3"/>
      <c r="I15" s="3"/>
      <c r="J15" s="3"/>
      <c r="K15" s="3" t="s">
        <v>13</v>
      </c>
      <c r="L15" s="3"/>
    </row>
  </sheetData>
  <mergeCells count="2">
    <mergeCell ref="A1:G1"/>
    <mergeCell ref="I1:L1"/>
  </mergeCells>
  <dataValidations>
    <dataValidation type="list" allowBlank="1" showErrorMessage="1" sqref="A3:A12 I3:I12">
      <formula1>Config!$I$3:$I15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17.13"/>
    <col customWidth="1" min="3" max="5" width="10.75"/>
    <col customWidth="1" min="6" max="6" width="6.38"/>
    <col customWidth="1" min="7" max="8" width="10.75"/>
    <col customWidth="1" min="9" max="9" width="16.38"/>
    <col customWidth="1" min="10" max="10" width="10.75"/>
    <col customWidth="1" min="11" max="11" width="16.88"/>
    <col customWidth="1" min="12" max="12" width="15.5"/>
    <col customWidth="1" min="13" max="13" width="21.63"/>
    <col customWidth="1" min="14" max="15" width="10.75"/>
    <col customWidth="1" min="16" max="17" width="16.25"/>
    <col customWidth="1" min="18" max="18" width="23.63"/>
    <col customWidth="1" min="19" max="19" width="12.0"/>
    <col customWidth="1" min="20" max="20" width="19.75"/>
    <col customWidth="1" min="21" max="21" width="15.5"/>
    <col customWidth="1" min="22" max="22" width="3.0"/>
    <col customWidth="1" min="23" max="23" width="14.5"/>
    <col customWidth="1" min="24" max="24" width="10.13"/>
    <col customWidth="1" min="30" max="30" width="3.0"/>
    <col customWidth="1" min="35" max="35" width="3.0"/>
  </cols>
  <sheetData>
    <row r="1">
      <c r="A1" s="3" t="s">
        <v>14</v>
      </c>
      <c r="B1" s="3" t="s">
        <v>15</v>
      </c>
      <c r="C1" s="3" t="s">
        <v>16</v>
      </c>
      <c r="D1" s="3" t="s">
        <v>17</v>
      </c>
      <c r="E1" s="16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17" t="s">
        <v>31</v>
      </c>
      <c r="S1" s="13" t="s">
        <v>32</v>
      </c>
      <c r="T1" s="3" t="s">
        <v>33</v>
      </c>
      <c r="U1" s="3" t="s">
        <v>34</v>
      </c>
      <c r="V1" s="18"/>
      <c r="W1" s="3" t="s">
        <v>35</v>
      </c>
      <c r="X1" s="3" t="s">
        <v>21</v>
      </c>
      <c r="Y1" s="3" t="s">
        <v>36</v>
      </c>
      <c r="Z1" s="3" t="s">
        <v>37</v>
      </c>
      <c r="AA1" s="13" t="s">
        <v>38</v>
      </c>
      <c r="AB1" s="3" t="s">
        <v>33</v>
      </c>
      <c r="AC1" s="13" t="s">
        <v>39</v>
      </c>
      <c r="AD1" s="18"/>
      <c r="AE1" s="18"/>
      <c r="AF1" s="18"/>
      <c r="AG1" s="18"/>
      <c r="AH1" s="18"/>
      <c r="AI1" s="18"/>
    </row>
    <row r="2">
      <c r="A2" s="5" t="s">
        <v>40</v>
      </c>
      <c r="B2" s="5" t="s">
        <v>41</v>
      </c>
      <c r="C2" s="11">
        <v>44939.0</v>
      </c>
      <c r="D2" s="5" t="s">
        <v>42</v>
      </c>
      <c r="E2" s="19"/>
      <c r="F2" s="20">
        <f t="shared" ref="F2:F32" si="1">if($B2=0,"...", IF($E2=0,today()-$C2,$E2-$C2))</f>
        <v>1057</v>
      </c>
      <c r="G2" s="5" t="s">
        <v>43</v>
      </c>
      <c r="H2" s="5">
        <v>20.0</v>
      </c>
      <c r="I2" s="21">
        <v>4374.0</v>
      </c>
      <c r="J2" s="22"/>
      <c r="K2" s="9">
        <f>IFERROR(__xludf.DUMMYFUNCTION("if(B2=0,""..."",IF($G2=""PESOS"",GOOGLEFINANCE(""BCBA:""&amp;$B2),GOOGLEFINANCE($B2)/20))"),21040.0)</f>
        <v>21040</v>
      </c>
      <c r="L2" s="9">
        <f t="shared" ref="L2:L45" si="2">if(B2=0,"...",$H2*I2)</f>
        <v>87480</v>
      </c>
      <c r="M2" s="9" t="str">
        <f>VLOOKUP(C2,CCLHistory!$A$3:$B84,2,FALSE)</f>
        <v>349,26</v>
      </c>
      <c r="N2" s="23">
        <f t="shared" ref="N2:N26" si="3">L2/IF(G2="USD",1,M2)</f>
        <v>250.4724274</v>
      </c>
      <c r="O2" s="9">
        <f>if(B2=0,"...",$H2*(IF(D2="ABIERTA",K2,J2)*(1-VLOOKUP(A2,Config!$A$3:$B$5,2,FALSE))))</f>
        <v>420778.96</v>
      </c>
      <c r="P2" s="9">
        <f>IF(D2="ABIERTA",Config!$D$4,VLOOKUP(E2,CCLHistory!$A$6:$B84,2,FALSE))</f>
        <v>1269</v>
      </c>
      <c r="Q2" s="23">
        <f t="shared" ref="Q2:Q26" si="4">O2/IF(G2="USD",1,P2)</f>
        <v>331.5831048</v>
      </c>
      <c r="R2" s="24">
        <f t="shared" ref="R2:R84" si="5">if(B2=0,"...",Q2/N2-1)</f>
        <v>0.3238307634</v>
      </c>
      <c r="S2" s="15">
        <f t="shared" ref="S2:S84" si="6">if(B2=0,"...",Q2-N2)</f>
        <v>81.11067739</v>
      </c>
      <c r="T2" s="10">
        <f t="shared" ref="T2:T45" si="7">if(B2=0,"...",O2/L2-1)</f>
        <v>3.810001829</v>
      </c>
      <c r="U2" s="9">
        <f t="shared" ref="U2:U45" si="8">if(B2=0,"...",O2-L2)</f>
        <v>333298.96</v>
      </c>
      <c r="V2" s="18"/>
      <c r="W2" s="9" t="str">
        <f t="array" ref="W2:W14">Unique(B2:B84)</f>
        <v>AAPL</v>
      </c>
      <c r="X2" s="9">
        <f t="shared" ref="X2:X23" si="9">if(W2=0,"...",sumifs($H$2:$H84,$B$2:$B84,W2,$D$2:$D84,"ABIERTA"))</f>
        <v>32</v>
      </c>
      <c r="Y2" s="10">
        <f t="shared" ref="Y2:Y23" si="10">if(W2=0,"",AA2/$AF$20)</f>
        <v>0.1368680634</v>
      </c>
      <c r="Z2" s="9">
        <f t="shared" ref="Z2:Z23" si="11">if(X2=0,"...",if(W2=0,"...",sumifs($N$2:$N84,$B$2:$B84,W2,$D$2:$D84,"ABIERTA")/X2))</f>
        <v>11.41788836</v>
      </c>
      <c r="AA2" s="15">
        <f t="shared" ref="AA2:AA23" si="12">if(W2=0,"...",sumifs($Q$2:$Q84,$B$2:$B84,W2,$D$2:$D84,"ABIERTA"))</f>
        <v>499.6587006</v>
      </c>
      <c r="AB2" s="10">
        <f t="shared" ref="AB2:AB23" si="13">if(X2=0,"...",if(W2=0,"...",AC2/(AA2-AC2)))</f>
        <v>0.3675325862</v>
      </c>
      <c r="AC2" s="15">
        <f t="shared" ref="AC2:AC23" si="14">if(X2=0,"...",if(W2=0,"...",sumifs($S$2:$S84,$B$2:$B84,W2,$D$2:$D84,"ABIERTA")))</f>
        <v>134.2862732</v>
      </c>
      <c r="AD2" s="18"/>
      <c r="AE2" s="18"/>
      <c r="AF2" s="18"/>
      <c r="AG2" s="18"/>
      <c r="AH2" s="18"/>
      <c r="AI2" s="18"/>
    </row>
    <row r="3">
      <c r="A3" s="5" t="s">
        <v>40</v>
      </c>
      <c r="B3" s="5" t="s">
        <v>41</v>
      </c>
      <c r="C3" s="11">
        <v>45301.0</v>
      </c>
      <c r="D3" s="5" t="s">
        <v>42</v>
      </c>
      <c r="E3" s="19"/>
      <c r="F3" s="20">
        <f t="shared" si="1"/>
        <v>695</v>
      </c>
      <c r="G3" s="5" t="s">
        <v>44</v>
      </c>
      <c r="H3" s="5">
        <v>10.0</v>
      </c>
      <c r="I3" s="21">
        <v>9.625</v>
      </c>
      <c r="J3" s="22"/>
      <c r="K3" s="9">
        <f>IFERROR(__xludf.DUMMYFUNCTION("if(B3=0,""..."",IF($G3=""PESOS"",GOOGLEFINANCE(""BCBA:""&amp;$B3),GOOGLEFINANCE($B3)/20))"),14.007)</f>
        <v>14.007</v>
      </c>
      <c r="L3" s="9">
        <f t="shared" si="2"/>
        <v>96.25</v>
      </c>
      <c r="M3" s="9">
        <f>VLOOKUP(C3,CCLHistory!$A$3:$B84,2,FALSE)</f>
        <v>1182.72</v>
      </c>
      <c r="N3" s="23">
        <f t="shared" si="3"/>
        <v>96.25</v>
      </c>
      <c r="O3" s="9">
        <f>if(B3=0,"...",$H3*(IF(D3="ABIERTA",K3,J3)*(1-VLOOKUP(A3,Config!$A$3:$B$5,2,FALSE))))</f>
        <v>140.0629965</v>
      </c>
      <c r="P3" s="9">
        <f>IF(D3="ABIERTA",Config!$D$4,VLOOKUP(E3,CCLHistory!$A$6:$B84,2,FALSE))</f>
        <v>1269</v>
      </c>
      <c r="Q3" s="23">
        <f t="shared" si="4"/>
        <v>140.0629965</v>
      </c>
      <c r="R3" s="24">
        <f t="shared" si="5"/>
        <v>0.4551999636</v>
      </c>
      <c r="S3" s="15">
        <f t="shared" si="6"/>
        <v>43.8129965</v>
      </c>
      <c r="T3" s="10">
        <f t="shared" si="7"/>
        <v>0.4551999636</v>
      </c>
      <c r="U3" s="9">
        <f t="shared" si="8"/>
        <v>43.8129965</v>
      </c>
      <c r="V3" s="18"/>
      <c r="W3" s="9" t="s">
        <v>45</v>
      </c>
      <c r="X3" s="9">
        <f t="shared" si="9"/>
        <v>128</v>
      </c>
      <c r="Y3" s="10">
        <f t="shared" si="10"/>
        <v>0.5862740611</v>
      </c>
      <c r="Z3" s="9">
        <f t="shared" si="11"/>
        <v>12.21439833</v>
      </c>
      <c r="AA3" s="15">
        <f t="shared" si="12"/>
        <v>2140.286991</v>
      </c>
      <c r="AB3" s="10">
        <f t="shared" si="13"/>
        <v>0.3689574929</v>
      </c>
      <c r="AC3" s="15">
        <f t="shared" si="14"/>
        <v>576.8440047</v>
      </c>
      <c r="AD3" s="18"/>
      <c r="AE3" s="18"/>
      <c r="AF3" s="18"/>
      <c r="AG3" s="18"/>
      <c r="AH3" s="18"/>
      <c r="AI3" s="18"/>
    </row>
    <row r="4">
      <c r="A4" s="5" t="s">
        <v>40</v>
      </c>
      <c r="B4" s="5" t="s">
        <v>41</v>
      </c>
      <c r="C4" s="11">
        <v>45210.0</v>
      </c>
      <c r="D4" s="5" t="s">
        <v>42</v>
      </c>
      <c r="E4" s="19"/>
      <c r="F4" s="20">
        <f t="shared" si="1"/>
        <v>786</v>
      </c>
      <c r="G4" s="5" t="s">
        <v>44</v>
      </c>
      <c r="H4" s="5">
        <v>2.0</v>
      </c>
      <c r="I4" s="21">
        <v>9.325</v>
      </c>
      <c r="J4" s="22"/>
      <c r="K4" s="9">
        <f>IFERROR(__xludf.DUMMYFUNCTION("if(B4=0,""..."",IF($G4=""PESOS"",GOOGLEFINANCE(""BCBA:""&amp;$B4),GOOGLEFINANCE($B4)/20))"),14.007)</f>
        <v>14.007</v>
      </c>
      <c r="L4" s="9">
        <f t="shared" si="2"/>
        <v>18.65</v>
      </c>
      <c r="M4" s="9" t="str">
        <f>VLOOKUP(C4,CCLHistory!$A$3:$B84,2,FALSE)</f>
        <v>944,94</v>
      </c>
      <c r="N4" s="23">
        <f t="shared" si="3"/>
        <v>18.65</v>
      </c>
      <c r="O4" s="9">
        <f>if(B4=0,"...",$H4*(IF(D4="ABIERTA",K4,J4)*(1-VLOOKUP(A4,Config!$A$3:$B$5,2,FALSE))))</f>
        <v>28.0125993</v>
      </c>
      <c r="P4" s="9">
        <f>IF(D4="ABIERTA",Config!$D$4,VLOOKUP(E4,CCLHistory!$A$6:$B84,2,FALSE))</f>
        <v>1269</v>
      </c>
      <c r="Q4" s="23">
        <f t="shared" si="4"/>
        <v>28.0125993</v>
      </c>
      <c r="R4" s="24">
        <f t="shared" si="5"/>
        <v>0.5020160483</v>
      </c>
      <c r="S4" s="15">
        <f t="shared" si="6"/>
        <v>9.3625993</v>
      </c>
      <c r="T4" s="10">
        <f t="shared" si="7"/>
        <v>0.5020160483</v>
      </c>
      <c r="U4" s="9">
        <f t="shared" si="8"/>
        <v>9.3625993</v>
      </c>
      <c r="V4" s="18"/>
      <c r="W4" s="9" t="s">
        <v>46</v>
      </c>
      <c r="X4" s="9">
        <f t="shared" si="9"/>
        <v>6</v>
      </c>
      <c r="Y4" s="10">
        <f t="shared" si="10"/>
        <v>0.01715980938</v>
      </c>
      <c r="Z4" s="9">
        <f t="shared" si="11"/>
        <v>7.647211271</v>
      </c>
      <c r="AA4" s="15">
        <f t="shared" si="12"/>
        <v>62.64462175</v>
      </c>
      <c r="AB4" s="10">
        <f t="shared" si="13"/>
        <v>0.3653042817</v>
      </c>
      <c r="AC4" s="15">
        <f t="shared" si="14"/>
        <v>16.76135412</v>
      </c>
      <c r="AD4" s="18"/>
      <c r="AE4" s="18"/>
      <c r="AF4" s="18"/>
      <c r="AG4" s="18"/>
      <c r="AH4" s="18"/>
      <c r="AI4" s="18"/>
    </row>
    <row r="5" ht="16.5" customHeight="1">
      <c r="A5" s="5" t="s">
        <v>40</v>
      </c>
      <c r="B5" s="5" t="s">
        <v>45</v>
      </c>
      <c r="C5" s="11">
        <v>44138.0</v>
      </c>
      <c r="D5" s="5" t="s">
        <v>42</v>
      </c>
      <c r="E5" s="25"/>
      <c r="F5" s="20">
        <f t="shared" si="1"/>
        <v>1858</v>
      </c>
      <c r="G5" s="5" t="s">
        <v>43</v>
      </c>
      <c r="H5" s="5">
        <v>1.0</v>
      </c>
      <c r="I5" s="21">
        <v>1477.0</v>
      </c>
      <c r="J5" s="22"/>
      <c r="K5" s="9">
        <f>IFERROR(__xludf.DUMMYFUNCTION("if(B5=0,""..."",GOOGLEFINANCE(""BCBA:""&amp;B5))"),21220.0)</f>
        <v>21220</v>
      </c>
      <c r="L5" s="9">
        <f t="shared" si="2"/>
        <v>1477</v>
      </c>
      <c r="M5" s="9" t="str">
        <f>VLOOKUP(C5,CCLHistory!$A$3:$B84,2,FALSE)</f>
        <v>153,9</v>
      </c>
      <c r="N5" s="23">
        <f t="shared" si="3"/>
        <v>9.597141001</v>
      </c>
      <c r="O5" s="9">
        <f>if(B5=0,"...",$H5*(IF(D5="ABIERTA",K5,J5)*(1-VLOOKUP(A5,Config!$A$3:$B$5,2,FALSE))))</f>
        <v>21218.939</v>
      </c>
      <c r="P5" s="9">
        <f>IF(D5="ABIERTA",Config!$D$4,VLOOKUP(E5,CCLHistory!$A$6:$B84,2,FALSE))</f>
        <v>1269</v>
      </c>
      <c r="Q5" s="23">
        <f t="shared" si="4"/>
        <v>16.72099212</v>
      </c>
      <c r="R5" s="24">
        <f t="shared" si="5"/>
        <v>0.7422888878</v>
      </c>
      <c r="S5" s="15">
        <f t="shared" si="6"/>
        <v>7.123851119</v>
      </c>
      <c r="T5" s="10">
        <f t="shared" si="7"/>
        <v>13.36624171</v>
      </c>
      <c r="U5" s="9">
        <f t="shared" si="8"/>
        <v>19741.939</v>
      </c>
      <c r="V5" s="18"/>
      <c r="W5" s="9" t="s">
        <v>47</v>
      </c>
      <c r="X5" s="9">
        <f t="shared" si="9"/>
        <v>19</v>
      </c>
      <c r="Y5" s="10">
        <f t="shared" si="10"/>
        <v>0.1482132668</v>
      </c>
      <c r="Z5" s="9">
        <f t="shared" si="11"/>
        <v>20.2114547</v>
      </c>
      <c r="AA5" s="15">
        <f t="shared" si="12"/>
        <v>541.0761757</v>
      </c>
      <c r="AB5" s="10">
        <f t="shared" si="13"/>
        <v>0.4089878184</v>
      </c>
      <c r="AC5" s="15">
        <f t="shared" si="14"/>
        <v>157.0585365</v>
      </c>
      <c r="AD5" s="18"/>
      <c r="AE5" s="18"/>
      <c r="AF5" s="18"/>
      <c r="AG5" s="18"/>
      <c r="AH5" s="18"/>
      <c r="AI5" s="18"/>
    </row>
    <row r="6">
      <c r="A6" s="5" t="s">
        <v>40</v>
      </c>
      <c r="B6" s="5" t="s">
        <v>45</v>
      </c>
      <c r="C6" s="11">
        <v>44148.0</v>
      </c>
      <c r="D6" s="5" t="s">
        <v>42</v>
      </c>
      <c r="E6" s="25"/>
      <c r="F6" s="20">
        <f t="shared" si="1"/>
        <v>1848</v>
      </c>
      <c r="G6" s="5" t="s">
        <v>43</v>
      </c>
      <c r="H6" s="5">
        <v>1.0</v>
      </c>
      <c r="I6" s="21">
        <v>1605.0</v>
      </c>
      <c r="J6" s="22"/>
      <c r="K6" s="9">
        <f>IFERROR(__xludf.DUMMYFUNCTION("if(B6=0,""..."",GOOGLEFINANCE(""BCBA:""&amp;B6))"),21220.0)</f>
        <v>21220</v>
      </c>
      <c r="L6" s="9">
        <f t="shared" si="2"/>
        <v>1605</v>
      </c>
      <c r="M6" s="9" t="str">
        <f>VLOOKUP(C6,CCLHistory!$A$3:$B84,2,FALSE)</f>
        <v>148,74</v>
      </c>
      <c r="N6" s="23">
        <f t="shared" si="3"/>
        <v>10.79064139</v>
      </c>
      <c r="O6" s="9">
        <f>if(B6=0,"...",$H6*(IF(D6="ABIERTA",K6,J6)*(1-VLOOKUP(A6,Config!$A$3:$B$5,2,FALSE))))</f>
        <v>21218.939</v>
      </c>
      <c r="P6" s="9">
        <f>IF(D6="ABIERTA",Config!$D$4,VLOOKUP(E6,CCLHistory!$A$6:$B84,2,FALSE))</f>
        <v>1269</v>
      </c>
      <c r="Q6" s="23">
        <f t="shared" si="4"/>
        <v>16.72099212</v>
      </c>
      <c r="R6" s="24">
        <f t="shared" si="5"/>
        <v>0.5495827837</v>
      </c>
      <c r="S6" s="15">
        <f t="shared" si="6"/>
        <v>5.930350732</v>
      </c>
      <c r="T6" s="10">
        <f t="shared" si="7"/>
        <v>12.22052274</v>
      </c>
      <c r="U6" s="9">
        <f t="shared" si="8"/>
        <v>19613.939</v>
      </c>
      <c r="V6" s="18"/>
      <c r="W6" s="9" t="s">
        <v>48</v>
      </c>
      <c r="X6" s="9">
        <f t="shared" si="9"/>
        <v>10</v>
      </c>
      <c r="Y6" s="10">
        <f t="shared" si="10"/>
        <v>0.1114847993</v>
      </c>
      <c r="Z6" s="9">
        <f t="shared" si="11"/>
        <v>21.71534754</v>
      </c>
      <c r="AA6" s="15">
        <f t="shared" si="12"/>
        <v>406.9930457</v>
      </c>
      <c r="AB6" s="10">
        <f t="shared" si="13"/>
        <v>0.8742184296</v>
      </c>
      <c r="AC6" s="15">
        <f t="shared" si="14"/>
        <v>189.8395703</v>
      </c>
      <c r="AD6" s="18"/>
      <c r="AE6" s="18"/>
      <c r="AF6" s="18"/>
      <c r="AG6" s="18"/>
      <c r="AH6" s="18"/>
      <c r="AI6" s="18"/>
    </row>
    <row r="7">
      <c r="A7" s="5" t="s">
        <v>40</v>
      </c>
      <c r="B7" s="5" t="s">
        <v>45</v>
      </c>
      <c r="C7" s="11">
        <v>44151.0</v>
      </c>
      <c r="D7" s="5" t="s">
        <v>42</v>
      </c>
      <c r="E7" s="25"/>
      <c r="F7" s="20">
        <f t="shared" si="1"/>
        <v>1845</v>
      </c>
      <c r="G7" s="5" t="s">
        <v>43</v>
      </c>
      <c r="H7" s="5">
        <v>1.0</v>
      </c>
      <c r="I7" s="21">
        <v>1580.0</v>
      </c>
      <c r="J7" s="22"/>
      <c r="K7" s="9">
        <f>IFERROR(__xludf.DUMMYFUNCTION("if(B7=0,""..."",GOOGLEFINANCE(""BCBA:""&amp;B7))"),21220.0)</f>
        <v>21220</v>
      </c>
      <c r="L7" s="9">
        <f t="shared" si="2"/>
        <v>1580</v>
      </c>
      <c r="M7" s="9" t="str">
        <f>VLOOKUP(C7,CCLHistory!$A$3:$B84,2,FALSE)</f>
        <v>148,56</v>
      </c>
      <c r="N7" s="23">
        <f t="shared" si="3"/>
        <v>10.63543349</v>
      </c>
      <c r="O7" s="9">
        <f>if(B7=0,"...",$H7*(IF(D7="ABIERTA",K7,J7)*(1-VLOOKUP(A7,Config!$A$3:$B$5,2,FALSE))))</f>
        <v>21218.939</v>
      </c>
      <c r="P7" s="9">
        <f>IF(D7="ABIERTA",Config!$D$4,VLOOKUP(E7,CCLHistory!$A$6:$B84,2,FALSE))</f>
        <v>1269</v>
      </c>
      <c r="Q7" s="23">
        <f t="shared" si="4"/>
        <v>16.72099212</v>
      </c>
      <c r="R7" s="24">
        <f t="shared" si="5"/>
        <v>0.5721965755</v>
      </c>
      <c r="S7" s="15">
        <f t="shared" si="6"/>
        <v>6.085558625</v>
      </c>
      <c r="T7" s="10">
        <f t="shared" si="7"/>
        <v>12.42970823</v>
      </c>
      <c r="U7" s="9">
        <f t="shared" si="8"/>
        <v>19638.939</v>
      </c>
      <c r="V7" s="18"/>
      <c r="W7" s="9" t="s">
        <v>49</v>
      </c>
      <c r="X7" s="9">
        <f t="shared" si="9"/>
        <v>0</v>
      </c>
      <c r="Y7" s="10">
        <f t="shared" si="10"/>
        <v>0</v>
      </c>
      <c r="Z7" s="9" t="str">
        <f t="shared" si="11"/>
        <v>...</v>
      </c>
      <c r="AA7" s="15">
        <f t="shared" si="12"/>
        <v>0</v>
      </c>
      <c r="AB7" s="10" t="str">
        <f t="shared" si="13"/>
        <v>...</v>
      </c>
      <c r="AC7" s="15" t="str">
        <f t="shared" si="14"/>
        <v>...</v>
      </c>
      <c r="AD7" s="18"/>
      <c r="AE7" s="18"/>
      <c r="AF7" s="18"/>
      <c r="AG7" s="18"/>
      <c r="AH7" s="18"/>
      <c r="AI7" s="18"/>
    </row>
    <row r="8">
      <c r="A8" s="5" t="s">
        <v>40</v>
      </c>
      <c r="B8" s="5" t="s">
        <v>45</v>
      </c>
      <c r="C8" s="11">
        <v>44175.0</v>
      </c>
      <c r="D8" s="5" t="s">
        <v>42</v>
      </c>
      <c r="E8" s="25"/>
      <c r="F8" s="20">
        <f t="shared" si="1"/>
        <v>1821</v>
      </c>
      <c r="G8" s="5" t="s">
        <v>43</v>
      </c>
      <c r="H8" s="5">
        <v>3.0</v>
      </c>
      <c r="I8" s="21">
        <v>1552.0</v>
      </c>
      <c r="J8" s="22"/>
      <c r="K8" s="9">
        <f>IFERROR(__xludf.DUMMYFUNCTION("if(B8=0,""..."",GOOGLEFINANCE(""BCBA:""&amp;B8))"),21220.0)</f>
        <v>21220</v>
      </c>
      <c r="L8" s="9">
        <f t="shared" si="2"/>
        <v>4656</v>
      </c>
      <c r="M8" s="9" t="str">
        <f>VLOOKUP(C8,CCLHistory!$A$3:$B84,2,FALSE)</f>
        <v>141,38</v>
      </c>
      <c r="N8" s="23">
        <f t="shared" si="3"/>
        <v>32.93252228</v>
      </c>
      <c r="O8" s="9">
        <f>if(B8=0,"...",$H8*(IF(D8="ABIERTA",K8,J8)*(1-VLOOKUP(A8,Config!$A$3:$B$5,2,FALSE))))</f>
        <v>63656.817</v>
      </c>
      <c r="P8" s="9">
        <f>IF(D8="ABIERTA",Config!$D$4,VLOOKUP(E8,CCLHistory!$A$6:$B84,2,FALSE))</f>
        <v>1269</v>
      </c>
      <c r="Q8" s="23">
        <f t="shared" si="4"/>
        <v>50.16297636</v>
      </c>
      <c r="R8" s="24">
        <f t="shared" si="5"/>
        <v>0.5232048105</v>
      </c>
      <c r="S8" s="15">
        <f t="shared" si="6"/>
        <v>17.23045408</v>
      </c>
      <c r="T8" s="10">
        <f t="shared" si="7"/>
        <v>12.67199678</v>
      </c>
      <c r="U8" s="9">
        <f t="shared" si="8"/>
        <v>59000.817</v>
      </c>
      <c r="V8" s="18"/>
      <c r="W8" s="9" t="s">
        <v>50</v>
      </c>
      <c r="X8" s="9">
        <f t="shared" si="9"/>
        <v>0</v>
      </c>
      <c r="Y8" s="10">
        <f t="shared" si="10"/>
        <v>0</v>
      </c>
      <c r="Z8" s="9" t="str">
        <f t="shared" si="11"/>
        <v>...</v>
      </c>
      <c r="AA8" s="15">
        <f t="shared" si="12"/>
        <v>0</v>
      </c>
      <c r="AB8" s="10" t="str">
        <f t="shared" si="13"/>
        <v>...</v>
      </c>
      <c r="AC8" s="15" t="str">
        <f t="shared" si="14"/>
        <v>...</v>
      </c>
      <c r="AD8" s="18"/>
      <c r="AE8" s="18"/>
      <c r="AF8" s="18"/>
      <c r="AG8" s="18"/>
      <c r="AH8" s="18"/>
      <c r="AI8" s="18"/>
    </row>
    <row r="9">
      <c r="A9" s="5" t="s">
        <v>40</v>
      </c>
      <c r="B9" s="5" t="s">
        <v>45</v>
      </c>
      <c r="C9" s="11">
        <v>44228.0</v>
      </c>
      <c r="D9" s="5" t="s">
        <v>42</v>
      </c>
      <c r="E9" s="25"/>
      <c r="F9" s="20">
        <f t="shared" si="1"/>
        <v>1768</v>
      </c>
      <c r="G9" s="5" t="s">
        <v>43</v>
      </c>
      <c r="H9" s="5">
        <v>3.0</v>
      </c>
      <c r="I9" s="21">
        <v>1510.0</v>
      </c>
      <c r="J9" s="22"/>
      <c r="K9" s="9">
        <f>IFERROR(__xludf.DUMMYFUNCTION("if(B9=0,""..."",GOOGLEFINANCE(""BCBA:""&amp;B9))"),21220.0)</f>
        <v>21220</v>
      </c>
      <c r="L9" s="9">
        <f t="shared" si="2"/>
        <v>4530</v>
      </c>
      <c r="M9" s="9" t="str">
        <f>VLOOKUP(C9,CCLHistory!$A$3:$B84,2,FALSE)</f>
        <v>154,69</v>
      </c>
      <c r="N9" s="23">
        <f t="shared" si="3"/>
        <v>29.2843752</v>
      </c>
      <c r="O9" s="9">
        <f>if(B9=0,"...",$H9*(IF(D9="ABIERTA",K9,J9)*(1-VLOOKUP(A9,Config!$A$3:$B$5,2,FALSE))))</f>
        <v>63656.817</v>
      </c>
      <c r="P9" s="9">
        <f>IF(D9="ABIERTA",Config!$D$4,VLOOKUP(E9,CCLHistory!$A$6:$B84,2,FALSE))</f>
        <v>1269</v>
      </c>
      <c r="Q9" s="23">
        <f t="shared" si="4"/>
        <v>50.16297636</v>
      </c>
      <c r="R9" s="24">
        <f t="shared" si="5"/>
        <v>0.7129604444</v>
      </c>
      <c r="S9" s="15">
        <f t="shared" si="6"/>
        <v>20.87860116</v>
      </c>
      <c r="T9" s="10">
        <f t="shared" si="7"/>
        <v>13.05227748</v>
      </c>
      <c r="U9" s="9">
        <f t="shared" si="8"/>
        <v>59126.817</v>
      </c>
      <c r="V9" s="18"/>
      <c r="W9" s="9" t="s">
        <v>51</v>
      </c>
      <c r="X9" s="9">
        <f t="shared" si="9"/>
        <v>0</v>
      </c>
      <c r="Y9" s="10">
        <f t="shared" si="10"/>
        <v>0</v>
      </c>
      <c r="Z9" s="9" t="str">
        <f t="shared" si="11"/>
        <v>...</v>
      </c>
      <c r="AA9" s="15">
        <f t="shared" si="12"/>
        <v>0</v>
      </c>
      <c r="AB9" s="10" t="str">
        <f t="shared" si="13"/>
        <v>...</v>
      </c>
      <c r="AC9" s="15" t="str">
        <f t="shared" si="14"/>
        <v>...</v>
      </c>
      <c r="AD9" s="18"/>
      <c r="AE9" s="18"/>
      <c r="AF9" s="18"/>
      <c r="AG9" s="18"/>
      <c r="AH9" s="18"/>
      <c r="AI9" s="18"/>
    </row>
    <row r="10">
      <c r="A10" s="5" t="s">
        <v>40</v>
      </c>
      <c r="B10" s="5" t="s">
        <v>45</v>
      </c>
      <c r="C10" s="11">
        <v>44245.0</v>
      </c>
      <c r="D10" s="5" t="s">
        <v>42</v>
      </c>
      <c r="E10" s="25"/>
      <c r="F10" s="20">
        <f t="shared" si="1"/>
        <v>1751</v>
      </c>
      <c r="G10" s="5" t="s">
        <v>43</v>
      </c>
      <c r="H10" s="5">
        <v>3.0</v>
      </c>
      <c r="I10" s="21">
        <v>1533.0</v>
      </c>
      <c r="J10" s="22"/>
      <c r="K10" s="9">
        <f>IFERROR(__xludf.DUMMYFUNCTION("if(B10=0,""..."",GOOGLEFINANCE(""BCBA:""&amp;B10))"),21220.0)</f>
        <v>21220</v>
      </c>
      <c r="L10" s="9">
        <f t="shared" si="2"/>
        <v>4599</v>
      </c>
      <c r="M10" s="9" t="str">
        <f>VLOOKUP(C10,CCLHistory!$A$3:$B84,2,FALSE)</f>
        <v>145,18</v>
      </c>
      <c r="N10" s="23">
        <f t="shared" si="3"/>
        <v>31.67791707</v>
      </c>
      <c r="O10" s="9">
        <f>if(B10=0,"...",$H10*(IF(D10="ABIERTA",K10,J10)*(1-VLOOKUP(A10,Config!$A$3:$B$5,2,FALSE))))</f>
        <v>63656.817</v>
      </c>
      <c r="P10" s="9">
        <f>IF(D10="ABIERTA",Config!$D$4,VLOOKUP(E10,CCLHistory!$A$6:$B84,2,FALSE))</f>
        <v>1269</v>
      </c>
      <c r="Q10" s="23">
        <f t="shared" si="4"/>
        <v>50.16297636</v>
      </c>
      <c r="R10" s="24">
        <f t="shared" si="5"/>
        <v>0.5835313998</v>
      </c>
      <c r="S10" s="15">
        <f t="shared" si="6"/>
        <v>18.48505929</v>
      </c>
      <c r="T10" s="10">
        <f t="shared" si="7"/>
        <v>12.84144749</v>
      </c>
      <c r="U10" s="9">
        <f t="shared" si="8"/>
        <v>59057.817</v>
      </c>
      <c r="V10" s="18"/>
      <c r="W10" s="9" t="s">
        <v>52</v>
      </c>
      <c r="X10" s="9">
        <f t="shared" si="9"/>
        <v>0</v>
      </c>
      <c r="Y10" s="10">
        <f t="shared" si="10"/>
        <v>0</v>
      </c>
      <c r="Z10" s="9" t="str">
        <f t="shared" si="11"/>
        <v>...</v>
      </c>
      <c r="AA10" s="15">
        <f t="shared" si="12"/>
        <v>0</v>
      </c>
      <c r="AB10" s="10" t="str">
        <f t="shared" si="13"/>
        <v>...</v>
      </c>
      <c r="AC10" s="15" t="str">
        <f t="shared" si="14"/>
        <v>...</v>
      </c>
      <c r="AD10" s="18"/>
      <c r="AE10" s="18"/>
      <c r="AF10" s="18"/>
      <c r="AG10" s="18"/>
      <c r="AH10" s="18"/>
      <c r="AI10" s="18"/>
    </row>
    <row r="11">
      <c r="A11" s="5" t="s">
        <v>40</v>
      </c>
      <c r="B11" s="5" t="s">
        <v>45</v>
      </c>
      <c r="C11" s="11">
        <v>44426.0</v>
      </c>
      <c r="D11" s="5" t="s">
        <v>42</v>
      </c>
      <c r="E11" s="25"/>
      <c r="F11" s="20">
        <f t="shared" si="1"/>
        <v>1570</v>
      </c>
      <c r="G11" s="5" t="s">
        <v>43</v>
      </c>
      <c r="H11" s="5">
        <v>1.0</v>
      </c>
      <c r="I11" s="21">
        <v>2043.0</v>
      </c>
      <c r="J11" s="22"/>
      <c r="K11" s="9">
        <f>IFERROR(__xludf.DUMMYFUNCTION("if(B11=0,""..."",GOOGLEFINANCE(""BCBA:""&amp;B11))"),21220.0)</f>
        <v>21220</v>
      </c>
      <c r="L11" s="9">
        <f t="shared" si="2"/>
        <v>2043</v>
      </c>
      <c r="M11" s="9" t="str">
        <f>VLOOKUP(C11,CCLHistory!$A$3:$B84,2,FALSE)</f>
        <v>177,04</v>
      </c>
      <c r="N11" s="23">
        <f t="shared" si="3"/>
        <v>11.53976502</v>
      </c>
      <c r="O11" s="9">
        <f>if(B11=0,"...",$H11*(IF(D11="ABIERTA",K11,J11)*(1-VLOOKUP(A11,Config!$A$3:$B$5,2,FALSE))))</f>
        <v>21218.939</v>
      </c>
      <c r="P11" s="9">
        <f>IF(D11="ABIERTA",Config!$D$4,VLOOKUP(E11,CCLHistory!$A$6:$B84,2,FALSE))</f>
        <v>1269</v>
      </c>
      <c r="Q11" s="23">
        <f t="shared" si="4"/>
        <v>16.72099212</v>
      </c>
      <c r="R11" s="24">
        <f t="shared" si="5"/>
        <v>0.4489889598</v>
      </c>
      <c r="S11" s="15">
        <f t="shared" si="6"/>
        <v>5.181227095</v>
      </c>
      <c r="T11" s="10">
        <f t="shared" si="7"/>
        <v>9.386166911</v>
      </c>
      <c r="U11" s="9">
        <f t="shared" si="8"/>
        <v>19175.939</v>
      </c>
      <c r="V11" s="18"/>
      <c r="W11" s="9" t="s">
        <v>53</v>
      </c>
      <c r="X11" s="9">
        <f t="shared" si="9"/>
        <v>0</v>
      </c>
      <c r="Y11" s="10">
        <f t="shared" si="10"/>
        <v>0</v>
      </c>
      <c r="Z11" s="9" t="str">
        <f t="shared" si="11"/>
        <v>...</v>
      </c>
      <c r="AA11" s="15">
        <f t="shared" si="12"/>
        <v>0</v>
      </c>
      <c r="AB11" s="10" t="str">
        <f t="shared" si="13"/>
        <v>...</v>
      </c>
      <c r="AC11" s="15" t="str">
        <f t="shared" si="14"/>
        <v>...</v>
      </c>
      <c r="AD11" s="18"/>
      <c r="AE11" s="18"/>
      <c r="AF11" s="18"/>
      <c r="AG11" s="18"/>
      <c r="AH11" s="18"/>
      <c r="AI11" s="18"/>
    </row>
    <row r="12">
      <c r="A12" s="5" t="s">
        <v>40</v>
      </c>
      <c r="B12" s="5" t="s">
        <v>45</v>
      </c>
      <c r="C12" s="11">
        <v>44449.0</v>
      </c>
      <c r="D12" s="5" t="s">
        <v>42</v>
      </c>
      <c r="E12" s="25"/>
      <c r="F12" s="20">
        <f t="shared" si="1"/>
        <v>1547</v>
      </c>
      <c r="G12" s="5" t="s">
        <v>43</v>
      </c>
      <c r="H12" s="5">
        <v>5.0</v>
      </c>
      <c r="I12" s="21">
        <v>2012.0</v>
      </c>
      <c r="J12" s="22"/>
      <c r="K12" s="9">
        <f>IFERROR(__xludf.DUMMYFUNCTION("if(B12=0,""..."",GOOGLEFINANCE(""BCBA:""&amp;B12))"),21220.0)</f>
        <v>21220</v>
      </c>
      <c r="L12" s="9">
        <f t="shared" si="2"/>
        <v>10060</v>
      </c>
      <c r="M12" s="9" t="str">
        <f>VLOOKUP(C12,CCLHistory!$A$3:$B84,2,FALSE)</f>
        <v>183,42</v>
      </c>
      <c r="N12" s="23">
        <f t="shared" si="3"/>
        <v>54.84679969</v>
      </c>
      <c r="O12" s="9">
        <f>if(B12=0,"...",$H12*(IF(D12="ABIERTA",K12,J12)*(1-VLOOKUP(A12,Config!$A$3:$B$5,2,FALSE))))</f>
        <v>106094.695</v>
      </c>
      <c r="P12" s="9">
        <f>IF(D12="ABIERTA",Config!$D$4,VLOOKUP(E12,CCLHistory!$A$6:$B84,2,FALSE))</f>
        <v>1269</v>
      </c>
      <c r="Q12" s="23">
        <f t="shared" si="4"/>
        <v>83.6049606</v>
      </c>
      <c r="R12" s="24">
        <f t="shared" si="5"/>
        <v>0.5243361703</v>
      </c>
      <c r="S12" s="15">
        <f t="shared" si="6"/>
        <v>28.7581609</v>
      </c>
      <c r="T12" s="10">
        <f t="shared" si="7"/>
        <v>9.546192346</v>
      </c>
      <c r="U12" s="9">
        <f t="shared" si="8"/>
        <v>96034.695</v>
      </c>
      <c r="V12" s="18"/>
      <c r="W12" s="9" t="s">
        <v>54</v>
      </c>
      <c r="X12" s="9">
        <f t="shared" si="9"/>
        <v>0</v>
      </c>
      <c r="Y12" s="10">
        <f t="shared" si="10"/>
        <v>0</v>
      </c>
      <c r="Z12" s="9" t="str">
        <f t="shared" si="11"/>
        <v>...</v>
      </c>
      <c r="AA12" s="15">
        <f t="shared" si="12"/>
        <v>0</v>
      </c>
      <c r="AB12" s="10" t="str">
        <f t="shared" si="13"/>
        <v>...</v>
      </c>
      <c r="AC12" s="15" t="str">
        <f t="shared" si="14"/>
        <v>...</v>
      </c>
      <c r="AD12" s="18"/>
      <c r="AE12" s="18"/>
      <c r="AF12" s="18"/>
      <c r="AG12" s="18"/>
      <c r="AH12" s="18"/>
      <c r="AI12" s="18"/>
    </row>
    <row r="13">
      <c r="A13" s="5" t="s">
        <v>40</v>
      </c>
      <c r="B13" s="5" t="s">
        <v>45</v>
      </c>
      <c r="C13" s="11">
        <v>44459.0</v>
      </c>
      <c r="D13" s="5" t="s">
        <v>42</v>
      </c>
      <c r="E13" s="25"/>
      <c r="F13" s="20">
        <f t="shared" si="1"/>
        <v>1537</v>
      </c>
      <c r="G13" s="5" t="s">
        <v>43</v>
      </c>
      <c r="H13" s="5">
        <v>2.0</v>
      </c>
      <c r="I13" s="21">
        <v>1975.5</v>
      </c>
      <c r="J13" s="22"/>
      <c r="K13" s="9">
        <f>IFERROR(__xludf.DUMMYFUNCTION("if(B13=0,""..."",GOOGLEFINANCE(""BCBA:""&amp;B13))"),21220.0)</f>
        <v>21220</v>
      </c>
      <c r="L13" s="9">
        <f t="shared" si="2"/>
        <v>3951</v>
      </c>
      <c r="M13" s="9" t="str">
        <f>VLOOKUP(C13,CCLHistory!$A$3:$B84,2,FALSE)</f>
        <v>185,38</v>
      </c>
      <c r="N13" s="23">
        <f t="shared" si="3"/>
        <v>21.31297875</v>
      </c>
      <c r="O13" s="9">
        <f>if(B13=0,"...",$H13*(IF(D13="ABIERTA",K13,J13)*(1-VLOOKUP(A13,Config!$A$3:$B$5,2,FALSE))))</f>
        <v>42437.878</v>
      </c>
      <c r="P13" s="9">
        <f>IF(D13="ABIERTA",Config!$D$4,VLOOKUP(E13,CCLHistory!$A$6:$B84,2,FALSE))</f>
        <v>1269</v>
      </c>
      <c r="Q13" s="23">
        <f t="shared" si="4"/>
        <v>33.44198424</v>
      </c>
      <c r="R13" s="24">
        <f t="shared" si="5"/>
        <v>0.5690901135</v>
      </c>
      <c r="S13" s="15">
        <f t="shared" si="6"/>
        <v>12.12900549</v>
      </c>
      <c r="T13" s="10">
        <f t="shared" si="7"/>
        <v>9.74104733</v>
      </c>
      <c r="U13" s="9">
        <f t="shared" si="8"/>
        <v>38486.878</v>
      </c>
      <c r="V13" s="18"/>
      <c r="W13" s="9" t="s">
        <v>55</v>
      </c>
      <c r="X13" s="9">
        <f t="shared" si="9"/>
        <v>0</v>
      </c>
      <c r="Y13" s="10">
        <f t="shared" si="10"/>
        <v>0</v>
      </c>
      <c r="Z13" s="9" t="str">
        <f t="shared" si="11"/>
        <v>...</v>
      </c>
      <c r="AA13" s="15">
        <f t="shared" si="12"/>
        <v>0</v>
      </c>
      <c r="AB13" s="10" t="str">
        <f t="shared" si="13"/>
        <v>...</v>
      </c>
      <c r="AC13" s="15" t="str">
        <f t="shared" si="14"/>
        <v>...</v>
      </c>
      <c r="AD13" s="18"/>
      <c r="AE13" s="18"/>
      <c r="AF13" s="18"/>
      <c r="AG13" s="18"/>
      <c r="AH13" s="18"/>
      <c r="AI13" s="18"/>
    </row>
    <row r="14">
      <c r="A14" s="5" t="s">
        <v>40</v>
      </c>
      <c r="B14" s="5" t="s">
        <v>45</v>
      </c>
      <c r="C14" s="11">
        <v>44649.0</v>
      </c>
      <c r="D14" s="5" t="s">
        <v>42</v>
      </c>
      <c r="E14" s="25"/>
      <c r="F14" s="20">
        <f t="shared" si="1"/>
        <v>1347</v>
      </c>
      <c r="G14" s="5" t="s">
        <v>43</v>
      </c>
      <c r="H14" s="5">
        <v>32.0</v>
      </c>
      <c r="I14" s="21">
        <v>2454.0</v>
      </c>
      <c r="J14" s="22"/>
      <c r="K14" s="9">
        <f>IFERROR(__xludf.DUMMYFUNCTION("if(B14=0,""..."",GOOGLEFINANCE(""BCBA:""&amp;B14))"),21220.0)</f>
        <v>21220</v>
      </c>
      <c r="L14" s="9">
        <f t="shared" si="2"/>
        <v>78528</v>
      </c>
      <c r="M14" s="9" t="str">
        <f>VLOOKUP(C14,CCLHistory!$A$3:$B84,2,FALSE)</f>
        <v>191,52</v>
      </c>
      <c r="N14" s="23">
        <f t="shared" si="3"/>
        <v>410.0250627</v>
      </c>
      <c r="O14" s="9">
        <f>if(B14=0,"...",$H14*(IF(D14="ABIERTA",K14,J14)*(1-VLOOKUP(A14,Config!$A$3:$B$5,2,FALSE))))</f>
        <v>679006.048</v>
      </c>
      <c r="P14" s="9">
        <f>IF(D14="ABIERTA",Config!$D$4,VLOOKUP(E14,CCLHistory!$A$6:$B84,2,FALSE))</f>
        <v>1269</v>
      </c>
      <c r="Q14" s="23">
        <f t="shared" si="4"/>
        <v>535.0717478</v>
      </c>
      <c r="R14" s="24">
        <f t="shared" si="5"/>
        <v>0.3049732725</v>
      </c>
      <c r="S14" s="15">
        <f t="shared" si="6"/>
        <v>125.0466852</v>
      </c>
      <c r="T14" s="10">
        <f t="shared" si="7"/>
        <v>7.646674409</v>
      </c>
      <c r="U14" s="9">
        <f t="shared" si="8"/>
        <v>600478.048</v>
      </c>
      <c r="V14" s="18"/>
      <c r="W14" s="9" t="s">
        <v>56</v>
      </c>
      <c r="X14" s="9">
        <f t="shared" si="9"/>
        <v>0</v>
      </c>
      <c r="Y14" s="10">
        <f t="shared" si="10"/>
        <v>0</v>
      </c>
      <c r="Z14" s="9" t="str">
        <f t="shared" si="11"/>
        <v>...</v>
      </c>
      <c r="AA14" s="15">
        <f t="shared" si="12"/>
        <v>0</v>
      </c>
      <c r="AB14" s="10" t="str">
        <f t="shared" si="13"/>
        <v>...</v>
      </c>
      <c r="AC14" s="15" t="str">
        <f t="shared" si="14"/>
        <v>...</v>
      </c>
      <c r="AD14" s="18"/>
      <c r="AE14" s="18"/>
      <c r="AF14" s="18"/>
      <c r="AG14" s="18"/>
      <c r="AH14" s="18"/>
      <c r="AI14" s="18"/>
    </row>
    <row r="15">
      <c r="A15" s="5" t="s">
        <v>40</v>
      </c>
      <c r="B15" s="5" t="s">
        <v>45</v>
      </c>
      <c r="C15" s="11">
        <v>44687.0</v>
      </c>
      <c r="D15" s="5" t="s">
        <v>42</v>
      </c>
      <c r="E15" s="25"/>
      <c r="F15" s="20">
        <f t="shared" si="1"/>
        <v>1309</v>
      </c>
      <c r="G15" s="5" t="s">
        <v>43</v>
      </c>
      <c r="H15" s="5">
        <v>11.0</v>
      </c>
      <c r="I15" s="21">
        <v>2650.0</v>
      </c>
      <c r="J15" s="22"/>
      <c r="K15" s="9">
        <f>IFERROR(__xludf.DUMMYFUNCTION("if(B15=0,""..."",GOOGLEFINANCE(""BCBA:""&amp;B15))"),21220.0)</f>
        <v>21220</v>
      </c>
      <c r="L15" s="9">
        <f t="shared" si="2"/>
        <v>29150</v>
      </c>
      <c r="M15" s="9" t="str">
        <f>VLOOKUP(C15,CCLHistory!$A$3:$B84,2,FALSE)</f>
        <v>208,84</v>
      </c>
      <c r="N15" s="23">
        <f t="shared" si="3"/>
        <v>139.5805401</v>
      </c>
      <c r="O15" s="9">
        <f>if(B15=0,"...",$H15*(IF(D15="ABIERTA",K15,J15)*(1-VLOOKUP(A15,Config!$A$3:$B$5,2,FALSE))))</f>
        <v>233408.329</v>
      </c>
      <c r="P15" s="9">
        <f>IF(D15="ABIERTA",Config!$D$4,VLOOKUP(E15,CCLHistory!$A$6:$B84,2,FALSE))</f>
        <v>1269</v>
      </c>
      <c r="Q15" s="23">
        <f t="shared" si="4"/>
        <v>183.9309133</v>
      </c>
      <c r="R15" s="24">
        <f t="shared" si="5"/>
        <v>0.3177403752</v>
      </c>
      <c r="S15" s="15">
        <f t="shared" si="6"/>
        <v>44.35037319</v>
      </c>
      <c r="T15" s="10">
        <f t="shared" si="7"/>
        <v>7.007146792</v>
      </c>
      <c r="U15" s="9">
        <f t="shared" si="8"/>
        <v>204258.329</v>
      </c>
      <c r="V15" s="18"/>
      <c r="W15" s="9"/>
      <c r="X15" s="9" t="str">
        <f t="shared" si="9"/>
        <v>...</v>
      </c>
      <c r="Y15" s="10" t="str">
        <f t="shared" si="10"/>
        <v/>
      </c>
      <c r="Z15" s="9" t="str">
        <f t="shared" si="11"/>
        <v>...</v>
      </c>
      <c r="AA15" s="15" t="str">
        <f t="shared" si="12"/>
        <v>...</v>
      </c>
      <c r="AB15" s="10" t="str">
        <f t="shared" si="13"/>
        <v>...</v>
      </c>
      <c r="AC15" s="15" t="str">
        <f t="shared" si="14"/>
        <v>...</v>
      </c>
      <c r="AD15" s="18"/>
      <c r="AE15" s="18"/>
      <c r="AF15" s="18"/>
      <c r="AG15" s="18"/>
      <c r="AH15" s="18"/>
      <c r="AI15" s="18"/>
    </row>
    <row r="16">
      <c r="A16" s="5" t="s">
        <v>40</v>
      </c>
      <c r="B16" s="5" t="s">
        <v>45</v>
      </c>
      <c r="C16" s="11">
        <v>44715.0</v>
      </c>
      <c r="D16" s="5" t="s">
        <v>42</v>
      </c>
      <c r="E16" s="25"/>
      <c r="F16" s="20">
        <f t="shared" si="1"/>
        <v>1281</v>
      </c>
      <c r="G16" s="5" t="s">
        <v>43</v>
      </c>
      <c r="H16" s="5">
        <v>18.0</v>
      </c>
      <c r="I16" s="21">
        <v>2670.7778</v>
      </c>
      <c r="J16" s="22"/>
      <c r="K16" s="9">
        <f>IFERROR(__xludf.DUMMYFUNCTION("if(B16=0,""..."",GOOGLEFINANCE(""BCBA:""&amp;B16))"),21220.0)</f>
        <v>21220</v>
      </c>
      <c r="L16" s="9">
        <f t="shared" si="2"/>
        <v>48074.0004</v>
      </c>
      <c r="M16" s="9" t="str">
        <f>VLOOKUP(C16,CCLHistory!$A$3:$B84,2,FALSE)</f>
        <v>209,39</v>
      </c>
      <c r="N16" s="23">
        <f t="shared" si="3"/>
        <v>229.5907178</v>
      </c>
      <c r="O16" s="9">
        <f>if(B16=0,"...",$H16*(IF(D16="ABIERTA",K16,J16)*(1-VLOOKUP(A16,Config!$A$3:$B$5,2,FALSE))))</f>
        <v>381940.902</v>
      </c>
      <c r="P16" s="9">
        <f>IF(D16="ABIERTA",Config!$D$4,VLOOKUP(E16,CCLHistory!$A$6:$B84,2,FALSE))</f>
        <v>1269</v>
      </c>
      <c r="Q16" s="23">
        <f t="shared" si="4"/>
        <v>300.9778582</v>
      </c>
      <c r="R16" s="24">
        <f t="shared" si="5"/>
        <v>0.3109321711</v>
      </c>
      <c r="S16" s="15">
        <f t="shared" si="6"/>
        <v>71.38714036</v>
      </c>
      <c r="T16" s="10">
        <f t="shared" si="7"/>
        <v>6.944853743</v>
      </c>
      <c r="U16" s="9">
        <f t="shared" si="8"/>
        <v>333866.9016</v>
      </c>
      <c r="V16" s="18"/>
      <c r="W16" s="9"/>
      <c r="X16" s="9" t="str">
        <f t="shared" si="9"/>
        <v>...</v>
      </c>
      <c r="Y16" s="10" t="str">
        <f t="shared" si="10"/>
        <v/>
      </c>
      <c r="Z16" s="9" t="str">
        <f t="shared" si="11"/>
        <v>...</v>
      </c>
      <c r="AA16" s="15" t="str">
        <f t="shared" si="12"/>
        <v>...</v>
      </c>
      <c r="AB16" s="10" t="str">
        <f t="shared" si="13"/>
        <v>...</v>
      </c>
      <c r="AC16" s="15" t="str">
        <f t="shared" si="14"/>
        <v>...</v>
      </c>
      <c r="AD16" s="18"/>
      <c r="AE16" s="18"/>
      <c r="AF16" s="18"/>
      <c r="AG16" s="18"/>
      <c r="AH16" s="18"/>
      <c r="AI16" s="18"/>
    </row>
    <row r="17">
      <c r="A17" s="5" t="s">
        <v>40</v>
      </c>
      <c r="B17" s="5" t="s">
        <v>45</v>
      </c>
      <c r="C17" s="11">
        <v>44789.0</v>
      </c>
      <c r="D17" s="5" t="s">
        <v>42</v>
      </c>
      <c r="E17" s="25"/>
      <c r="F17" s="20">
        <f t="shared" si="1"/>
        <v>1207</v>
      </c>
      <c r="G17" s="5" t="s">
        <v>43</v>
      </c>
      <c r="H17" s="5">
        <v>8.0</v>
      </c>
      <c r="I17" s="21">
        <v>3654.0</v>
      </c>
      <c r="J17" s="22"/>
      <c r="K17" s="9">
        <f>IFERROR(__xludf.DUMMYFUNCTION("if(B17=0,""..."",GOOGLEFINANCE(""BCBA:""&amp;B17))"),21220.0)</f>
        <v>21220</v>
      </c>
      <c r="L17" s="9">
        <f t="shared" si="2"/>
        <v>29232</v>
      </c>
      <c r="M17" s="9" t="str">
        <f>VLOOKUP(C17,CCLHistory!$A$3:$B84,2,FALSE)</f>
        <v>282,06</v>
      </c>
      <c r="N17" s="23">
        <f t="shared" si="3"/>
        <v>103.6375239</v>
      </c>
      <c r="O17" s="9">
        <f>if(B17=0,"...",$H17*(IF(D17="ABIERTA",K17,J17)*(1-VLOOKUP(A17,Config!$A$3:$B$5,2,FALSE))))</f>
        <v>169751.512</v>
      </c>
      <c r="P17" s="9">
        <f>IF(D17="ABIERTA",Config!$D$4,VLOOKUP(E17,CCLHistory!$A$6:$B84,2,FALSE))</f>
        <v>1269</v>
      </c>
      <c r="Q17" s="23">
        <f t="shared" si="4"/>
        <v>133.767937</v>
      </c>
      <c r="R17" s="24">
        <f t="shared" si="5"/>
        <v>0.2907288006</v>
      </c>
      <c r="S17" s="15">
        <f t="shared" si="6"/>
        <v>30.13041303</v>
      </c>
      <c r="T17" s="10">
        <f t="shared" si="7"/>
        <v>4.807044061</v>
      </c>
      <c r="U17" s="9">
        <f t="shared" si="8"/>
        <v>140519.512</v>
      </c>
      <c r="V17" s="18"/>
      <c r="W17" s="9"/>
      <c r="X17" s="9" t="str">
        <f t="shared" si="9"/>
        <v>...</v>
      </c>
      <c r="Y17" s="10" t="str">
        <f t="shared" si="10"/>
        <v/>
      </c>
      <c r="Z17" s="9" t="str">
        <f t="shared" si="11"/>
        <v>...</v>
      </c>
      <c r="AA17" s="15" t="str">
        <f t="shared" si="12"/>
        <v>...</v>
      </c>
      <c r="AB17" s="10" t="str">
        <f t="shared" si="13"/>
        <v>...</v>
      </c>
      <c r="AC17" s="15" t="str">
        <f t="shared" si="14"/>
        <v>...</v>
      </c>
      <c r="AD17" s="18"/>
      <c r="AE17" s="18"/>
      <c r="AF17" s="18"/>
      <c r="AG17" s="18"/>
      <c r="AH17" s="18"/>
      <c r="AI17" s="18"/>
    </row>
    <row r="18">
      <c r="A18" s="5" t="s">
        <v>40</v>
      </c>
      <c r="B18" s="5" t="s">
        <v>45</v>
      </c>
      <c r="C18" s="11">
        <v>45104.0</v>
      </c>
      <c r="D18" s="5" t="s">
        <v>42</v>
      </c>
      <c r="E18" s="25"/>
      <c r="F18" s="20">
        <f t="shared" si="1"/>
        <v>892</v>
      </c>
      <c r="G18" s="5" t="s">
        <v>43</v>
      </c>
      <c r="H18" s="5">
        <v>15.0</v>
      </c>
      <c r="I18" s="21">
        <v>6395.1667</v>
      </c>
      <c r="J18" s="22"/>
      <c r="K18" s="9">
        <f>IFERROR(__xludf.DUMMYFUNCTION("if(B18=0,""..."",GOOGLEFINANCE(""BCBA:""&amp;B18))"),21220.0)</f>
        <v>21220</v>
      </c>
      <c r="L18" s="9">
        <f t="shared" si="2"/>
        <v>95927.5005</v>
      </c>
      <c r="M18" s="9" t="str">
        <f>VLOOKUP(C18,CCLHistory!$A$3:$B84,2,FALSE)</f>
        <v>509,74</v>
      </c>
      <c r="N18" s="23">
        <f t="shared" si="3"/>
        <v>188.1890778</v>
      </c>
      <c r="O18" s="9">
        <f>if(B18=0,"...",$H18*(IF(D18="ABIERTA",K18,J18)*(1-VLOOKUP(A18,Config!$A$3:$B$5,2,FALSE))))</f>
        <v>318284.085</v>
      </c>
      <c r="P18" s="9">
        <f>IF(D18="ABIERTA",Config!$D$4,VLOOKUP(E18,CCLHistory!$A$6:$B84,2,FALSE))</f>
        <v>1269</v>
      </c>
      <c r="Q18" s="23">
        <f t="shared" si="4"/>
        <v>250.8148818</v>
      </c>
      <c r="R18" s="24">
        <f t="shared" si="5"/>
        <v>0.3327812898</v>
      </c>
      <c r="S18" s="15">
        <f t="shared" si="6"/>
        <v>62.62580403</v>
      </c>
      <c r="T18" s="10">
        <f t="shared" si="7"/>
        <v>2.317964956</v>
      </c>
      <c r="U18" s="9">
        <f t="shared" si="8"/>
        <v>222356.5845</v>
      </c>
      <c r="V18" s="18"/>
      <c r="W18" s="9"/>
      <c r="X18" s="9" t="str">
        <f t="shared" si="9"/>
        <v>...</v>
      </c>
      <c r="Y18" s="10" t="str">
        <f t="shared" si="10"/>
        <v/>
      </c>
      <c r="Z18" s="9" t="str">
        <f t="shared" si="11"/>
        <v>...</v>
      </c>
      <c r="AA18" s="15" t="str">
        <f t="shared" si="12"/>
        <v>...</v>
      </c>
      <c r="AB18" s="10" t="str">
        <f t="shared" si="13"/>
        <v>...</v>
      </c>
      <c r="AC18" s="15" t="str">
        <f t="shared" si="14"/>
        <v>...</v>
      </c>
      <c r="AD18" s="18"/>
      <c r="AE18" s="18"/>
      <c r="AF18" s="18"/>
      <c r="AG18" s="18"/>
      <c r="AH18" s="18"/>
      <c r="AI18" s="18"/>
    </row>
    <row r="19">
      <c r="A19" s="5" t="s">
        <v>40</v>
      </c>
      <c r="B19" s="5" t="s">
        <v>45</v>
      </c>
      <c r="C19" s="11">
        <v>45142.0</v>
      </c>
      <c r="D19" s="5" t="s">
        <v>42</v>
      </c>
      <c r="E19" s="25"/>
      <c r="F19" s="20">
        <f t="shared" si="1"/>
        <v>854</v>
      </c>
      <c r="G19" s="5" t="s">
        <v>43</v>
      </c>
      <c r="H19" s="5">
        <v>6.0</v>
      </c>
      <c r="I19" s="21">
        <v>7053.0</v>
      </c>
      <c r="J19" s="22"/>
      <c r="K19" s="9">
        <f>IFERROR(__xludf.DUMMYFUNCTION("if(B19=0,""..."",GOOGLEFINANCE(""BCBA:""&amp;B19))"),21220.0)</f>
        <v>21220</v>
      </c>
      <c r="L19" s="9">
        <f t="shared" si="2"/>
        <v>42318</v>
      </c>
      <c r="M19" s="9" t="str">
        <f>VLOOKUP(C19,CCLHistory!$A$3:$B84,2,FALSE)</f>
        <v>585,41</v>
      </c>
      <c r="N19" s="23">
        <f t="shared" si="3"/>
        <v>72.2877983</v>
      </c>
      <c r="O19" s="9">
        <f>if(B19=0,"...",$H19*(IF(D19="ABIERTA",K19,J19)*(1-VLOOKUP(A19,Config!$A$3:$B$5,2,FALSE))))</f>
        <v>127313.634</v>
      </c>
      <c r="P19" s="9">
        <f>IF(D19="ABIERTA",Config!$D$4,VLOOKUP(E19,CCLHistory!$A$6:$B84,2,FALSE))</f>
        <v>1269</v>
      </c>
      <c r="Q19" s="23">
        <f t="shared" si="4"/>
        <v>100.3259527</v>
      </c>
      <c r="R19" s="24">
        <f t="shared" si="5"/>
        <v>0.3878684243</v>
      </c>
      <c r="S19" s="15">
        <f t="shared" si="6"/>
        <v>28.03815442</v>
      </c>
      <c r="T19" s="10">
        <f t="shared" si="7"/>
        <v>2.008498369</v>
      </c>
      <c r="U19" s="9">
        <f t="shared" si="8"/>
        <v>84995.634</v>
      </c>
      <c r="V19" s="18"/>
      <c r="W19" s="9"/>
      <c r="X19" s="9" t="str">
        <f t="shared" si="9"/>
        <v>...</v>
      </c>
      <c r="Y19" s="10" t="str">
        <f t="shared" si="10"/>
        <v/>
      </c>
      <c r="Z19" s="9" t="str">
        <f t="shared" si="11"/>
        <v>...</v>
      </c>
      <c r="AA19" s="15" t="str">
        <f t="shared" si="12"/>
        <v>...</v>
      </c>
      <c r="AB19" s="10" t="str">
        <f t="shared" si="13"/>
        <v>...</v>
      </c>
      <c r="AC19" s="15" t="str">
        <f t="shared" si="14"/>
        <v>...</v>
      </c>
      <c r="AD19" s="18"/>
      <c r="AE19" s="18"/>
      <c r="AF19" s="18"/>
      <c r="AG19" s="18"/>
      <c r="AH19" s="18"/>
      <c r="AI19" s="18"/>
    </row>
    <row r="20">
      <c r="A20" s="5" t="s">
        <v>40</v>
      </c>
      <c r="B20" s="5" t="s">
        <v>45</v>
      </c>
      <c r="C20" s="11">
        <v>45149.0</v>
      </c>
      <c r="D20" s="5" t="s">
        <v>42</v>
      </c>
      <c r="E20" s="25"/>
      <c r="F20" s="20">
        <f t="shared" si="1"/>
        <v>847</v>
      </c>
      <c r="G20" s="5" t="s">
        <v>43</v>
      </c>
      <c r="H20" s="5">
        <v>3.0</v>
      </c>
      <c r="I20" s="21">
        <v>7365.0</v>
      </c>
      <c r="J20" s="22"/>
      <c r="K20" s="9">
        <f>IFERROR(__xludf.DUMMYFUNCTION("if(B20=0,""..."",GOOGLEFINANCE(""BCBA:""&amp;B20))"),21220.0)</f>
        <v>21220</v>
      </c>
      <c r="L20" s="9">
        <f t="shared" si="2"/>
        <v>22095</v>
      </c>
      <c r="M20" s="9" t="str">
        <f>VLOOKUP(C20,CCLHistory!$A$3:$B84,2,FALSE)</f>
        <v>601,44</v>
      </c>
      <c r="N20" s="23">
        <f t="shared" si="3"/>
        <v>36.7368316</v>
      </c>
      <c r="O20" s="9">
        <f>if(B20=0,"...",$H20*(IF(D20="ABIERTA",K20,J20)*(1-VLOOKUP(A20,Config!$A$3:$B$5,2,FALSE))))</f>
        <v>63656.817</v>
      </c>
      <c r="P20" s="9">
        <f>IF(D20="ABIERTA",Config!$D$4,VLOOKUP(E20,CCLHistory!$A$6:$B84,2,FALSE))</f>
        <v>1269</v>
      </c>
      <c r="Q20" s="23">
        <f t="shared" si="4"/>
        <v>50.16297636</v>
      </c>
      <c r="R20" s="24">
        <f t="shared" si="5"/>
        <v>0.3654682282</v>
      </c>
      <c r="S20" s="15">
        <f t="shared" si="6"/>
        <v>13.42614476</v>
      </c>
      <c r="T20" s="10">
        <f t="shared" si="7"/>
        <v>1.881050781</v>
      </c>
      <c r="U20" s="9">
        <f t="shared" si="8"/>
        <v>41561.817</v>
      </c>
      <c r="V20" s="18"/>
      <c r="W20" s="9"/>
      <c r="X20" s="9" t="str">
        <f t="shared" si="9"/>
        <v>...</v>
      </c>
      <c r="Y20" s="10" t="str">
        <f t="shared" si="10"/>
        <v/>
      </c>
      <c r="Z20" s="9" t="str">
        <f t="shared" si="11"/>
        <v>...</v>
      </c>
      <c r="AA20" s="15" t="str">
        <f t="shared" si="12"/>
        <v>...</v>
      </c>
      <c r="AB20" s="10" t="str">
        <f t="shared" si="13"/>
        <v>...</v>
      </c>
      <c r="AC20" s="15" t="str">
        <f t="shared" si="14"/>
        <v>...</v>
      </c>
      <c r="AD20" s="18"/>
      <c r="AE20" s="26" t="s">
        <v>57</v>
      </c>
      <c r="AF20" s="27">
        <f>sumifs(Q2:Q84,D2:D84,"ABIERTA")</f>
        <v>3650.659535</v>
      </c>
      <c r="AG20" s="26" t="s">
        <v>58</v>
      </c>
      <c r="AH20" s="27">
        <f>sum(Q2:Q84)</f>
        <v>7398.368168</v>
      </c>
      <c r="AI20" s="18"/>
    </row>
    <row r="21">
      <c r="A21" s="5" t="s">
        <v>40</v>
      </c>
      <c r="B21" s="5" t="s">
        <v>45</v>
      </c>
      <c r="C21" s="11">
        <v>45184.0</v>
      </c>
      <c r="D21" s="5" t="s">
        <v>42</v>
      </c>
      <c r="E21" s="25"/>
      <c r="F21" s="20">
        <f t="shared" si="1"/>
        <v>812</v>
      </c>
      <c r="G21" s="5" t="s">
        <v>43</v>
      </c>
      <c r="H21" s="5">
        <v>11.0</v>
      </c>
      <c r="I21" s="21">
        <v>8678.5</v>
      </c>
      <c r="J21" s="22"/>
      <c r="K21" s="9">
        <f>IFERROR(__xludf.DUMMYFUNCTION("if(B21=0,""..."",GOOGLEFINANCE(""BCBA:""&amp;B21))"),21220.0)</f>
        <v>21220</v>
      </c>
      <c r="L21" s="9">
        <f t="shared" si="2"/>
        <v>95463.5</v>
      </c>
      <c r="M21" s="9" t="str">
        <f>VLOOKUP(C21,CCLHistory!$A$3:$B84,2,FALSE)</f>
        <v>740,08</v>
      </c>
      <c r="N21" s="23">
        <f t="shared" si="3"/>
        <v>128.9907848</v>
      </c>
      <c r="O21" s="9">
        <f>if(B21=0,"...",$H21*(IF(D21="ABIERTA",K21,J21)*(1-VLOOKUP(A21,Config!$A$3:$B$5,2,FALSE))))</f>
        <v>233408.329</v>
      </c>
      <c r="P21" s="9">
        <f>IF(D21="ABIERTA",Config!$D$4,VLOOKUP(E21,CCLHistory!$A$6:$B84,2,FALSE))</f>
        <v>1269</v>
      </c>
      <c r="Q21" s="23">
        <f t="shared" si="4"/>
        <v>183.9309133</v>
      </c>
      <c r="R21" s="24">
        <f t="shared" si="5"/>
        <v>0.4259228954</v>
      </c>
      <c r="S21" s="15">
        <f t="shared" si="6"/>
        <v>54.94012854</v>
      </c>
      <c r="T21" s="10">
        <f t="shared" si="7"/>
        <v>1.445000749</v>
      </c>
      <c r="U21" s="9">
        <f t="shared" si="8"/>
        <v>137944.829</v>
      </c>
      <c r="V21" s="18"/>
      <c r="W21" s="9"/>
      <c r="X21" s="9" t="str">
        <f t="shared" si="9"/>
        <v>...</v>
      </c>
      <c r="Y21" s="10" t="str">
        <f t="shared" si="10"/>
        <v/>
      </c>
      <c r="Z21" s="9" t="str">
        <f t="shared" si="11"/>
        <v>...</v>
      </c>
      <c r="AA21" s="15" t="str">
        <f t="shared" si="12"/>
        <v>...</v>
      </c>
      <c r="AB21" s="10" t="str">
        <f t="shared" si="13"/>
        <v>...</v>
      </c>
      <c r="AC21" s="15" t="str">
        <f t="shared" si="14"/>
        <v>...</v>
      </c>
      <c r="AD21" s="18"/>
      <c r="AI21" s="18"/>
    </row>
    <row r="22">
      <c r="A22" s="5" t="s">
        <v>40</v>
      </c>
      <c r="B22" s="5" t="s">
        <v>45</v>
      </c>
      <c r="C22" s="11">
        <v>45216.0</v>
      </c>
      <c r="D22" s="5" t="s">
        <v>42</v>
      </c>
      <c r="E22" s="25"/>
      <c r="F22" s="20">
        <f t="shared" si="1"/>
        <v>780</v>
      </c>
      <c r="G22" s="5" t="s">
        <v>43</v>
      </c>
      <c r="H22" s="5">
        <v>4.0</v>
      </c>
      <c r="I22" s="21">
        <v>10057.0</v>
      </c>
      <c r="J22" s="22"/>
      <c r="K22" s="9">
        <f>IFERROR(__xludf.DUMMYFUNCTION("if(B22=0,""..."",GOOGLEFINANCE(""BCBA:""&amp;B22))"),21220.0)</f>
        <v>21220</v>
      </c>
      <c r="L22" s="9">
        <f t="shared" si="2"/>
        <v>40228</v>
      </c>
      <c r="M22" s="9" t="str">
        <f>VLOOKUP(C22,CCLHistory!$A$3:$B84,2,FALSE)</f>
        <v>962,69</v>
      </c>
      <c r="N22" s="23">
        <f t="shared" si="3"/>
        <v>41.7870758</v>
      </c>
      <c r="O22" s="9">
        <f>if(B22=0,"...",$H22*(IF(D22="ABIERTA",K22,J22)*(1-VLOOKUP(A22,Config!$A$3:$B$5,2,FALSE))))</f>
        <v>84875.756</v>
      </c>
      <c r="P22" s="9">
        <f>IF(D22="ABIERTA",Config!$D$4,VLOOKUP(E22,CCLHistory!$A$6:$B84,2,FALSE))</f>
        <v>1269</v>
      </c>
      <c r="Q22" s="23">
        <f t="shared" si="4"/>
        <v>66.88396848</v>
      </c>
      <c r="R22" s="24">
        <f t="shared" si="5"/>
        <v>0.6005898284</v>
      </c>
      <c r="S22" s="15">
        <f t="shared" si="6"/>
        <v>25.09689268</v>
      </c>
      <c r="T22" s="10">
        <f t="shared" si="7"/>
        <v>1.109867654</v>
      </c>
      <c r="U22" s="9">
        <f t="shared" si="8"/>
        <v>44647.756</v>
      </c>
      <c r="V22" s="18"/>
      <c r="W22" s="9"/>
      <c r="X22" s="9" t="str">
        <f t="shared" si="9"/>
        <v>...</v>
      </c>
      <c r="Y22" s="10" t="str">
        <f t="shared" si="10"/>
        <v/>
      </c>
      <c r="Z22" s="9" t="str">
        <f t="shared" si="11"/>
        <v>...</v>
      </c>
      <c r="AA22" s="15" t="str">
        <f t="shared" si="12"/>
        <v>...</v>
      </c>
      <c r="AB22" s="10" t="str">
        <f t="shared" si="13"/>
        <v>...</v>
      </c>
      <c r="AC22" s="15" t="str">
        <f t="shared" si="14"/>
        <v>...</v>
      </c>
      <c r="AD22" s="18"/>
      <c r="AE22" s="26" t="s">
        <v>59</v>
      </c>
      <c r="AF22" s="27">
        <f>sumifs(S2:S84,D2:D84,"ABIERTA")</f>
        <v>1074.789739</v>
      </c>
      <c r="AG22" s="26" t="s">
        <v>60</v>
      </c>
      <c r="AH22" s="27">
        <f>sum(S2:S84)</f>
        <v>1121.337295</v>
      </c>
      <c r="AI22" s="18"/>
    </row>
    <row r="23" ht="15.0" customHeight="1">
      <c r="A23" s="5" t="s">
        <v>40</v>
      </c>
      <c r="B23" s="5" t="s">
        <v>46</v>
      </c>
      <c r="C23" s="11">
        <v>45104.0</v>
      </c>
      <c r="D23" s="5" t="s">
        <v>61</v>
      </c>
      <c r="E23" s="11">
        <v>45551.0</v>
      </c>
      <c r="F23" s="20">
        <f t="shared" si="1"/>
        <v>447</v>
      </c>
      <c r="G23" s="5" t="s">
        <v>43</v>
      </c>
      <c r="H23" s="5">
        <v>25.0</v>
      </c>
      <c r="I23" s="21">
        <v>3818.0</v>
      </c>
      <c r="J23" s="21">
        <v>9510.0</v>
      </c>
      <c r="K23" s="9">
        <f>IFERROR(__xludf.DUMMYFUNCTION("if(B23=0,""..."",GOOGLEFINANCE(""BCBA:""&amp;B23))"),13250.0)</f>
        <v>13250</v>
      </c>
      <c r="L23" s="9">
        <f t="shared" si="2"/>
        <v>95450</v>
      </c>
      <c r="M23" s="9" t="str">
        <f>VLOOKUP(C23,CCLHistory!$A$3:$B84,2,FALSE)</f>
        <v>509,74</v>
      </c>
      <c r="N23" s="23">
        <f t="shared" si="3"/>
        <v>187.2523247</v>
      </c>
      <c r="O23" s="9">
        <f>if(B23=0,"...",$H23*(IF(D23="ABIERTA",K23,J23)*(1-VLOOKUP(A23,Config!$A$3:$B$5,2,FALSE))))</f>
        <v>237738.1125</v>
      </c>
      <c r="P23" s="9">
        <f>IF(D23="ABIERTA",Config!$D$4,VLOOKUP(E23,CCLHistory!$A$6:$B84,2,FALSE))</f>
        <v>1238.008591</v>
      </c>
      <c r="Q23" s="23">
        <f t="shared" si="4"/>
        <v>192.032684</v>
      </c>
      <c r="R23" s="24">
        <f t="shared" si="5"/>
        <v>0.02552897168</v>
      </c>
      <c r="S23" s="15">
        <f t="shared" si="6"/>
        <v>4.780359294</v>
      </c>
      <c r="T23" s="10">
        <f t="shared" si="7"/>
        <v>1.490708355</v>
      </c>
      <c r="U23" s="9">
        <f t="shared" si="8"/>
        <v>142288.1125</v>
      </c>
      <c r="V23" s="18"/>
      <c r="W23" s="9"/>
      <c r="X23" s="9" t="str">
        <f t="shared" si="9"/>
        <v>...</v>
      </c>
      <c r="Y23" s="10" t="str">
        <f t="shared" si="10"/>
        <v/>
      </c>
      <c r="Z23" s="9" t="str">
        <f t="shared" si="11"/>
        <v>...</v>
      </c>
      <c r="AA23" s="15" t="str">
        <f t="shared" si="12"/>
        <v>...</v>
      </c>
      <c r="AB23" s="10" t="str">
        <f t="shared" si="13"/>
        <v>...</v>
      </c>
      <c r="AC23" s="15" t="str">
        <f t="shared" si="14"/>
        <v>...</v>
      </c>
      <c r="AD23" s="18"/>
      <c r="AI23" s="18"/>
    </row>
    <row r="24">
      <c r="A24" s="5" t="s">
        <v>40</v>
      </c>
      <c r="B24" s="5" t="s">
        <v>46</v>
      </c>
      <c r="C24" s="11">
        <v>45303.0</v>
      </c>
      <c r="D24" s="5" t="s">
        <v>61</v>
      </c>
      <c r="E24" s="11">
        <v>45551.0</v>
      </c>
      <c r="F24" s="20">
        <f t="shared" si="1"/>
        <v>248</v>
      </c>
      <c r="G24" s="5" t="s">
        <v>43</v>
      </c>
      <c r="H24" s="5">
        <v>8.0</v>
      </c>
      <c r="I24" s="21">
        <v>8448.5</v>
      </c>
      <c r="J24" s="21">
        <v>9510.0</v>
      </c>
      <c r="K24" s="9">
        <f>IFERROR(__xludf.DUMMYFUNCTION("if(B24=0,""..."",GOOGLEFINANCE(""BCBA:""&amp;B24))"),13250.0)</f>
        <v>13250</v>
      </c>
      <c r="L24" s="9">
        <f t="shared" si="2"/>
        <v>67588</v>
      </c>
      <c r="M24" s="9">
        <f>VLOOKUP(C24,CCLHistory!$A$3:$B84,2,FALSE)</f>
        <v>1136.65</v>
      </c>
      <c r="N24" s="23">
        <f t="shared" si="3"/>
        <v>59.46245546</v>
      </c>
      <c r="O24" s="9">
        <f>if(B24=0,"...",$H24*(IF(D24="ABIERTA",K24,J24)*(1-VLOOKUP(A24,Config!$A$3:$B$5,2,FALSE))))</f>
        <v>76076.196</v>
      </c>
      <c r="P24" s="9">
        <f>IF(D24="ABIERTA",Config!$D$4,VLOOKUP(E24,CCLHistory!$A$7:$B84,2,FALSE))</f>
        <v>1238.008591</v>
      </c>
      <c r="Q24" s="23">
        <f t="shared" si="4"/>
        <v>61.45045888</v>
      </c>
      <c r="R24" s="24">
        <f t="shared" si="5"/>
        <v>0.0334329184</v>
      </c>
      <c r="S24" s="15">
        <f t="shared" si="6"/>
        <v>1.988003422</v>
      </c>
      <c r="T24" s="10">
        <f t="shared" si="7"/>
        <v>0.1255873232</v>
      </c>
      <c r="U24" s="9">
        <f t="shared" si="8"/>
        <v>8488.196</v>
      </c>
      <c r="V24" s="18"/>
      <c r="W24" s="9"/>
      <c r="X24" s="9"/>
      <c r="Y24" s="10"/>
      <c r="Z24" s="9"/>
      <c r="AA24" s="15"/>
      <c r="AB24" s="10"/>
      <c r="AC24" s="15"/>
      <c r="AD24" s="18"/>
      <c r="AE24" s="26"/>
      <c r="AF24" s="27"/>
      <c r="AG24" s="26"/>
      <c r="AH24" s="27"/>
      <c r="AI24" s="18"/>
    </row>
    <row r="25">
      <c r="A25" s="5" t="s">
        <v>40</v>
      </c>
      <c r="B25" s="5" t="s">
        <v>46</v>
      </c>
      <c r="C25" s="11">
        <v>45308.0</v>
      </c>
      <c r="D25" s="5" t="s">
        <v>42</v>
      </c>
      <c r="E25" s="11"/>
      <c r="F25" s="20">
        <f t="shared" si="1"/>
        <v>688</v>
      </c>
      <c r="G25" s="5" t="s">
        <v>43</v>
      </c>
      <c r="H25" s="5">
        <v>6.0</v>
      </c>
      <c r="I25" s="21">
        <v>9737.5</v>
      </c>
      <c r="J25" s="22"/>
      <c r="K25" s="9">
        <f>IFERROR(__xludf.DUMMYFUNCTION("if(B25=0,""..."",GOOGLEFINANCE(""BCBA:""&amp;B25))"),13250.0)</f>
        <v>13250</v>
      </c>
      <c r="L25" s="9">
        <f t="shared" si="2"/>
        <v>58425</v>
      </c>
      <c r="M25" s="9">
        <f>VLOOKUP(C25,CCLHistory!$A$3:$B84,2,FALSE)</f>
        <v>1273.34</v>
      </c>
      <c r="N25" s="23">
        <f t="shared" si="3"/>
        <v>45.88326763</v>
      </c>
      <c r="O25" s="9">
        <f>if(B25=0,"...",$H25*(IF(D25="ABIERTA",K25,J25)*(1-VLOOKUP(A25,Config!$A$3:$B$5,2,FALSE))))</f>
        <v>79496.025</v>
      </c>
      <c r="P25" s="9">
        <f>IF(D25="ABIERTA",Config!$D$4,VLOOKUP(E25,CCLHistory!$A$6:$B84,2,FALSE))</f>
        <v>1269</v>
      </c>
      <c r="Q25" s="23">
        <f t="shared" si="4"/>
        <v>62.64462175</v>
      </c>
      <c r="R25" s="24">
        <f t="shared" si="5"/>
        <v>0.3653042817</v>
      </c>
      <c r="S25" s="15">
        <f t="shared" si="6"/>
        <v>16.76135412</v>
      </c>
      <c r="T25" s="10">
        <f t="shared" si="7"/>
        <v>0.3606508344</v>
      </c>
      <c r="U25" s="9">
        <f t="shared" si="8"/>
        <v>21071.025</v>
      </c>
      <c r="V25" s="18"/>
      <c r="W25" s="9"/>
      <c r="X25" s="9"/>
      <c r="Y25" s="10"/>
      <c r="Z25" s="9"/>
      <c r="AA25" s="15"/>
      <c r="AB25" s="10"/>
      <c r="AC25" s="15"/>
      <c r="AD25" s="18"/>
      <c r="AE25" s="26"/>
      <c r="AF25" s="27"/>
      <c r="AG25" s="26"/>
      <c r="AH25" s="27"/>
      <c r="AI25" s="18"/>
    </row>
    <row r="26">
      <c r="A26" s="5" t="s">
        <v>40</v>
      </c>
      <c r="B26" s="5" t="s">
        <v>47</v>
      </c>
      <c r="C26" s="11">
        <v>44789.0</v>
      </c>
      <c r="D26" s="5" t="s">
        <v>42</v>
      </c>
      <c r="E26" s="11"/>
      <c r="F26" s="20">
        <f t="shared" si="1"/>
        <v>1207</v>
      </c>
      <c r="G26" s="5" t="s">
        <v>43</v>
      </c>
      <c r="H26" s="5">
        <v>8.0</v>
      </c>
      <c r="I26" s="21">
        <v>6865.0</v>
      </c>
      <c r="J26" s="21"/>
      <c r="K26" s="9">
        <f>IFERROR(__xludf.DUMMYFUNCTION("if(B26=0,""..."",GOOGLEFINANCE(""BCBA:""&amp;B26))"),36140.0)</f>
        <v>36140</v>
      </c>
      <c r="L26" s="9">
        <f t="shared" si="2"/>
        <v>54920</v>
      </c>
      <c r="M26" s="9" t="str">
        <f>VLOOKUP(C26,CCLHistory!$A$3:$B84,2,FALSE)</f>
        <v>282,06</v>
      </c>
      <c r="N26" s="23">
        <f t="shared" si="3"/>
        <v>194.7103453</v>
      </c>
      <c r="O26" s="9">
        <f>if(B26=0,"...",$H26*(IF(D26="ABIERTA",K26,J26)*(1-VLOOKUP(A26,Config!$A$3:$B$5,2,FALSE))))</f>
        <v>289105.544</v>
      </c>
      <c r="P26" s="9">
        <f>IF(D26="ABIERTA",Config!$D$4,VLOOKUP(E26,CCLHistory!$A$6:$B84,2,FALSE))</f>
        <v>1269</v>
      </c>
      <c r="Q26" s="23">
        <f t="shared" si="4"/>
        <v>227.8215477</v>
      </c>
      <c r="R26" s="24">
        <f t="shared" si="5"/>
        <v>0.1700536369</v>
      </c>
      <c r="S26" s="15">
        <f t="shared" si="6"/>
        <v>33.11120236</v>
      </c>
      <c r="T26" s="10">
        <f t="shared" si="7"/>
        <v>4.26412134</v>
      </c>
      <c r="U26" s="9">
        <f t="shared" si="8"/>
        <v>234185.544</v>
      </c>
      <c r="V26" s="18"/>
      <c r="W26" s="9"/>
      <c r="X26" s="9" t="str">
        <f t="shared" ref="X26:X50" si="15">if(W26=0,"...",sumifs($H$2:$H84,$B$2:$B84,W26,$D$2:$D84,"ABIERTA"))</f>
        <v>...</v>
      </c>
      <c r="Y26" s="10" t="str">
        <f t="shared" ref="Y26:Y50" si="16">if(W26=0,"",AA26/$AF$20)</f>
        <v/>
      </c>
      <c r="Z26" s="9" t="str">
        <f t="shared" ref="Z26:Z50" si="17">if(X26=0,"...",if(W26=0,"...",sumifs($N$2:$N84,$B$2:$B84,W26,$D$2:$D84,"ABIERTA")/X26))</f>
        <v>...</v>
      </c>
      <c r="AA26" s="15" t="str">
        <f t="shared" ref="AA26:AA50" si="18">if(W26=0,"...",sumifs($Q$2:$Q84,$B$2:$B84,W26,$D$2:$D84,"ABIERTA"))</f>
        <v>...</v>
      </c>
      <c r="AB26" s="10" t="str">
        <f t="shared" ref="AB26:AB50" si="19">if(X26=0,"...",if(W26=0,"...",AC26/(AA26-AC26)))</f>
        <v>...</v>
      </c>
      <c r="AC26" s="15" t="str">
        <f t="shared" ref="AC26:AC50" si="20">if(X26=0,"...",if(W26=0,"...",sumifs($S$2:$S84,$B$2:$B84,W26,$D$2:$D84,"ABIERTA")))</f>
        <v>...</v>
      </c>
      <c r="AD26" s="18"/>
      <c r="AE26" s="26" t="s">
        <v>62</v>
      </c>
      <c r="AF26" s="28">
        <f>AF22/(AF20-AF22)</f>
        <v>0.4172531315</v>
      </c>
      <c r="AG26" s="26" t="s">
        <v>62</v>
      </c>
      <c r="AH26" s="28">
        <f>AH22/(AH20-AH22)</f>
        <v>0.1786413542</v>
      </c>
      <c r="AI26" s="18"/>
    </row>
    <row r="27" hidden="1">
      <c r="A27" s="5" t="s">
        <v>40</v>
      </c>
      <c r="B27" s="5" t="s">
        <v>47</v>
      </c>
      <c r="C27" s="11">
        <v>44840.0</v>
      </c>
      <c r="D27" s="5" t="s">
        <v>61</v>
      </c>
      <c r="E27" s="11">
        <v>45294.0</v>
      </c>
      <c r="F27" s="20">
        <f t="shared" si="1"/>
        <v>454</v>
      </c>
      <c r="G27" s="5" t="s">
        <v>43</v>
      </c>
      <c r="H27" s="5">
        <v>4.0</v>
      </c>
      <c r="I27" s="21">
        <v>4647.0</v>
      </c>
      <c r="J27" s="21">
        <v>19424.0</v>
      </c>
      <c r="K27" s="9">
        <f>IFERROR(__xludf.DUMMYFUNCTION("if(B27=0,""..."",GOOGLEFINANCE(""BCBA:""&amp;B27))"),36140.0)</f>
        <v>36140</v>
      </c>
      <c r="L27" s="9">
        <f t="shared" si="2"/>
        <v>18588</v>
      </c>
      <c r="M27" s="9" t="str">
        <f>VLOOKUP(C27,CCLHistory!$A$6:$B84,2,FALSE)</f>
        <v>307,38</v>
      </c>
      <c r="N27" s="23">
        <f>L27/M27</f>
        <v>60.47237947</v>
      </c>
      <c r="O27" s="9">
        <f>if(B27=0,"...",$H27*(IF(D27="ABIERTA",K27,J27)*(1-VLOOKUP(A27,Config!$A$3:$B$5,2,FALSE))))</f>
        <v>77692.1152</v>
      </c>
      <c r="P27" s="29">
        <v>1029.75</v>
      </c>
      <c r="Q27" s="23">
        <f>O27/P27</f>
        <v>75.44755057</v>
      </c>
      <c r="R27" s="24">
        <f t="shared" si="5"/>
        <v>0.2476365448</v>
      </c>
      <c r="S27" s="15">
        <f t="shared" si="6"/>
        <v>14.97517111</v>
      </c>
      <c r="T27" s="10">
        <f t="shared" si="7"/>
        <v>3.179692016</v>
      </c>
      <c r="U27" s="9">
        <f t="shared" si="8"/>
        <v>59104.1152</v>
      </c>
      <c r="V27" s="18"/>
      <c r="W27" s="9"/>
      <c r="X27" s="9" t="str">
        <f t="shared" si="15"/>
        <v>...</v>
      </c>
      <c r="Y27" s="10" t="str">
        <f t="shared" si="16"/>
        <v/>
      </c>
      <c r="Z27" s="9" t="str">
        <f t="shared" si="17"/>
        <v>...</v>
      </c>
      <c r="AA27" s="15" t="str">
        <f t="shared" si="18"/>
        <v>...</v>
      </c>
      <c r="AB27" s="10" t="str">
        <f t="shared" si="19"/>
        <v>...</v>
      </c>
      <c r="AC27" s="15" t="str">
        <f t="shared" si="20"/>
        <v>...</v>
      </c>
      <c r="AD27" s="18"/>
      <c r="AI27" s="18"/>
    </row>
    <row r="28">
      <c r="A28" s="5" t="s">
        <v>40</v>
      </c>
      <c r="B28" s="5" t="s">
        <v>47</v>
      </c>
      <c r="C28" s="11">
        <v>45104.0</v>
      </c>
      <c r="D28" s="5" t="s">
        <v>42</v>
      </c>
      <c r="E28" s="11"/>
      <c r="F28" s="20">
        <f t="shared" si="1"/>
        <v>892</v>
      </c>
      <c r="G28" s="5" t="s">
        <v>43</v>
      </c>
      <c r="H28" s="5">
        <v>11.0</v>
      </c>
      <c r="I28" s="21">
        <v>8772.5</v>
      </c>
      <c r="J28" s="21"/>
      <c r="K28" s="9">
        <f>IFERROR(__xludf.DUMMYFUNCTION("if(B28=0,""..."",GOOGLEFINANCE(""BCBA:""&amp;B28))"),36140.0)</f>
        <v>36140</v>
      </c>
      <c r="L28" s="9">
        <f t="shared" si="2"/>
        <v>96497.5</v>
      </c>
      <c r="M28" s="9" t="str">
        <f>VLOOKUP(C28,CCLHistory!$A$3:$B84,2,FALSE)</f>
        <v>509,74</v>
      </c>
      <c r="N28" s="23">
        <f t="shared" ref="N28:N30" si="21">L28/IF(G28="USD",1,M28)</f>
        <v>189.3072939</v>
      </c>
      <c r="O28" s="9">
        <f>if(B28=0,"...",$H28*(IF(D28="ABIERTA",K28,J31)*(1-VLOOKUP(A28,Config!$A$3:$B$5,2,FALSE))))</f>
        <v>397520.123</v>
      </c>
      <c r="P28" s="9">
        <f>IF(D28="ABIERTA",Config!$D$4,VLOOKUP(E28,CCLHistory!$A$6:$B84,2,FALSE))</f>
        <v>1269</v>
      </c>
      <c r="Q28" s="23">
        <f t="shared" ref="Q28:Q30" si="22">O28/IF(G28="USD",1,P28)</f>
        <v>313.2546281</v>
      </c>
      <c r="R28" s="24">
        <f t="shared" si="5"/>
        <v>0.6547414607</v>
      </c>
      <c r="S28" s="15">
        <f t="shared" si="6"/>
        <v>123.9473341</v>
      </c>
      <c r="T28" s="10">
        <f t="shared" si="7"/>
        <v>3.119486235</v>
      </c>
      <c r="U28" s="9">
        <f t="shared" si="8"/>
        <v>301022.623</v>
      </c>
      <c r="V28" s="18"/>
      <c r="W28" s="9"/>
      <c r="X28" s="9" t="str">
        <f t="shared" si="15"/>
        <v>...</v>
      </c>
      <c r="Y28" s="10" t="str">
        <f t="shared" si="16"/>
        <v/>
      </c>
      <c r="Z28" s="9" t="str">
        <f t="shared" si="17"/>
        <v>...</v>
      </c>
      <c r="AA28" s="15" t="str">
        <f t="shared" si="18"/>
        <v>...</v>
      </c>
      <c r="AB28" s="10" t="str">
        <f t="shared" si="19"/>
        <v>...</v>
      </c>
      <c r="AC28" s="15" t="str">
        <f t="shared" si="20"/>
        <v>...</v>
      </c>
      <c r="AD28" s="18"/>
      <c r="AE28" s="18"/>
      <c r="AF28" s="18"/>
      <c r="AG28" s="18"/>
      <c r="AH28" s="18"/>
      <c r="AI28" s="18"/>
    </row>
    <row r="29">
      <c r="A29" s="5" t="s">
        <v>40</v>
      </c>
      <c r="B29" s="5" t="s">
        <v>48</v>
      </c>
      <c r="C29" s="11">
        <v>45104.0</v>
      </c>
      <c r="D29" s="5" t="s">
        <v>42</v>
      </c>
      <c r="E29" s="11"/>
      <c r="F29" s="20">
        <f t="shared" si="1"/>
        <v>892</v>
      </c>
      <c r="G29" s="5" t="s">
        <v>43</v>
      </c>
      <c r="H29" s="5">
        <v>4.0</v>
      </c>
      <c r="I29" s="21">
        <v>11285.0</v>
      </c>
      <c r="J29" s="21"/>
      <c r="K29" s="9">
        <f>IFERROR(__xludf.DUMMYFUNCTION("if(B29=0,""..."",GOOGLEFINANCE(""BCBA:""&amp;B29))"),51650.0)</f>
        <v>51650</v>
      </c>
      <c r="L29" s="9">
        <f t="shared" si="2"/>
        <v>45140</v>
      </c>
      <c r="M29" s="9" t="str">
        <f>VLOOKUP(C29,CCLHistory!$A$3:$B84,2,FALSE)</f>
        <v>509,74</v>
      </c>
      <c r="N29" s="23">
        <f t="shared" si="21"/>
        <v>88.55494958</v>
      </c>
      <c r="O29" s="9">
        <f>if(B29=0,"...",$H29*(IF(D29="ABIERTA",K29,J29)*(1-VLOOKUP(A29,Config!$A$3:$B$5,2,FALSE))))</f>
        <v>206589.67</v>
      </c>
      <c r="P29" s="9">
        <f>IF(D29="ABIERTA",Config!$D$4,VLOOKUP(E29,CCLHistory!$A$6:$B84,2,FALSE))</f>
        <v>1269</v>
      </c>
      <c r="Q29" s="23">
        <f t="shared" si="22"/>
        <v>162.7972183</v>
      </c>
      <c r="R29" s="24">
        <f t="shared" si="5"/>
        <v>0.838375145</v>
      </c>
      <c r="S29" s="15">
        <f t="shared" si="6"/>
        <v>74.2422687</v>
      </c>
      <c r="T29" s="10">
        <f t="shared" si="7"/>
        <v>3.57664311</v>
      </c>
      <c r="U29" s="9">
        <f t="shared" si="8"/>
        <v>161449.67</v>
      </c>
      <c r="V29" s="18"/>
      <c r="W29" s="9"/>
      <c r="X29" s="9" t="str">
        <f t="shared" si="15"/>
        <v>...</v>
      </c>
      <c r="Y29" s="10" t="str">
        <f t="shared" si="16"/>
        <v/>
      </c>
      <c r="Z29" s="9" t="str">
        <f t="shared" si="17"/>
        <v>...</v>
      </c>
      <c r="AA29" s="15" t="str">
        <f t="shared" si="18"/>
        <v>...</v>
      </c>
      <c r="AB29" s="10" t="str">
        <f t="shared" si="19"/>
        <v>...</v>
      </c>
      <c r="AC29" s="15" t="str">
        <f t="shared" si="20"/>
        <v>...</v>
      </c>
      <c r="AD29" s="18"/>
      <c r="AE29" s="18"/>
      <c r="AF29" s="18"/>
      <c r="AG29" s="18"/>
      <c r="AH29" s="18"/>
      <c r="AI29" s="18"/>
    </row>
    <row r="30">
      <c r="A30" s="5" t="s">
        <v>40</v>
      </c>
      <c r="B30" s="5" t="s">
        <v>48</v>
      </c>
      <c r="C30" s="11">
        <v>44789.0</v>
      </c>
      <c r="D30" s="5" t="s">
        <v>42</v>
      </c>
      <c r="E30" s="11"/>
      <c r="F30" s="20">
        <f t="shared" si="1"/>
        <v>1207</v>
      </c>
      <c r="G30" s="5" t="s">
        <v>43</v>
      </c>
      <c r="H30" s="5">
        <v>6.0</v>
      </c>
      <c r="I30" s="21">
        <v>6045.4167</v>
      </c>
      <c r="J30" s="21"/>
      <c r="K30" s="9">
        <f>IFERROR(__xludf.DUMMYFUNCTION("if(B30=0,""..."",GOOGLEFINANCE(""BCBA:""&amp;B30))"),51650.0)</f>
        <v>51650</v>
      </c>
      <c r="L30" s="9">
        <f t="shared" si="2"/>
        <v>36272.5002</v>
      </c>
      <c r="M30" s="9" t="str">
        <f>VLOOKUP(C30,CCLHistory!$A$3:$B84,2,FALSE)</f>
        <v>282,06</v>
      </c>
      <c r="N30" s="23">
        <f t="shared" si="21"/>
        <v>128.5985258</v>
      </c>
      <c r="O30" s="9">
        <f>if(B30=0,"...",$H30*(IF(D30="ABIERTA",K30,J30)*(1-VLOOKUP(A30,Config!$A$3:$B$5,2,FALSE))))</f>
        <v>309884.505</v>
      </c>
      <c r="P30" s="9">
        <f>IF(D30="ABIERTA",Config!$D$4,VLOOKUP(E30,CCLHistory!$A$6:$B84,2,FALSE))</f>
        <v>1269</v>
      </c>
      <c r="Q30" s="23">
        <f t="shared" si="22"/>
        <v>244.1958274</v>
      </c>
      <c r="R30" s="24">
        <f t="shared" si="5"/>
        <v>0.8989006742</v>
      </c>
      <c r="S30" s="15">
        <f t="shared" si="6"/>
        <v>115.5973016</v>
      </c>
      <c r="T30" s="10">
        <f t="shared" si="7"/>
        <v>7.543235324</v>
      </c>
      <c r="U30" s="9">
        <f t="shared" si="8"/>
        <v>273612.0048</v>
      </c>
      <c r="V30" s="18"/>
      <c r="W30" s="9"/>
      <c r="X30" s="9" t="str">
        <f t="shared" si="15"/>
        <v>...</v>
      </c>
      <c r="Y30" s="10" t="str">
        <f t="shared" si="16"/>
        <v/>
      </c>
      <c r="Z30" s="9" t="str">
        <f t="shared" si="17"/>
        <v>...</v>
      </c>
      <c r="AA30" s="15" t="str">
        <f t="shared" si="18"/>
        <v>...</v>
      </c>
      <c r="AB30" s="10" t="str">
        <f t="shared" si="19"/>
        <v>...</v>
      </c>
      <c r="AC30" s="15" t="str">
        <f t="shared" si="20"/>
        <v>...</v>
      </c>
      <c r="AD30" s="18"/>
      <c r="AE30" s="30"/>
      <c r="AF30" s="31"/>
      <c r="AG30" s="32"/>
      <c r="AH30" s="18"/>
      <c r="AI30" s="18"/>
    </row>
    <row r="31" hidden="1">
      <c r="A31" s="5" t="s">
        <v>40</v>
      </c>
      <c r="B31" s="5" t="s">
        <v>48</v>
      </c>
      <c r="C31" s="11">
        <v>44840.0</v>
      </c>
      <c r="D31" s="5" t="s">
        <v>61</v>
      </c>
      <c r="E31" s="11">
        <v>45294.0</v>
      </c>
      <c r="F31" s="20">
        <f t="shared" si="1"/>
        <v>454</v>
      </c>
      <c r="G31" s="5" t="s">
        <v>43</v>
      </c>
      <c r="H31" s="5">
        <v>3.0</v>
      </c>
      <c r="I31" s="21">
        <v>5804.5</v>
      </c>
      <c r="J31" s="21">
        <v>24350.0</v>
      </c>
      <c r="K31" s="9">
        <f>IFERROR(__xludf.DUMMYFUNCTION("if(B31=0,""..."",GOOGLEFINANCE(""BCBA:""&amp;B31))"),51650.0)</f>
        <v>51650</v>
      </c>
      <c r="L31" s="9">
        <f t="shared" si="2"/>
        <v>17413.5</v>
      </c>
      <c r="M31" s="9" t="str">
        <f>VLOOKUP(C31,CCLHistory!$A$6:$B84,2,FALSE)</f>
        <v>307,38</v>
      </c>
      <c r="N31" s="23">
        <f t="shared" ref="N31:N84" si="23">L31/M31</f>
        <v>56.65137615</v>
      </c>
      <c r="O31" s="9">
        <f>if(B31=0,"...",$H31*(IF(D31="ABIERTA",K31,J31)*(1-VLOOKUP(A31,Config!$A$3:$B$5,2,FALSE))))</f>
        <v>73046.3475</v>
      </c>
      <c r="P31" s="29">
        <v>1030.0</v>
      </c>
      <c r="Q31" s="23">
        <f t="shared" ref="Q31:Q84" si="24">O31/P31</f>
        <v>70.91878398</v>
      </c>
      <c r="R31" s="24">
        <f t="shared" si="5"/>
        <v>0.2518457415</v>
      </c>
      <c r="S31" s="15">
        <f t="shared" si="6"/>
        <v>14.26740783</v>
      </c>
      <c r="T31" s="10">
        <f t="shared" si="7"/>
        <v>3.194811353</v>
      </c>
      <c r="U31" s="9">
        <f t="shared" si="8"/>
        <v>55632.8475</v>
      </c>
      <c r="V31" s="18"/>
      <c r="W31" s="9"/>
      <c r="X31" s="9" t="str">
        <f t="shared" si="15"/>
        <v>...</v>
      </c>
      <c r="Y31" s="10" t="str">
        <f t="shared" si="16"/>
        <v/>
      </c>
      <c r="Z31" s="9" t="str">
        <f t="shared" si="17"/>
        <v>...</v>
      </c>
      <c r="AA31" s="15" t="str">
        <f t="shared" si="18"/>
        <v>...</v>
      </c>
      <c r="AB31" s="10" t="str">
        <f t="shared" si="19"/>
        <v>...</v>
      </c>
      <c r="AC31" s="15" t="str">
        <f t="shared" si="20"/>
        <v>...</v>
      </c>
      <c r="AD31" s="18"/>
      <c r="AE31" s="33"/>
      <c r="AF31" s="31"/>
      <c r="AG31" s="32"/>
      <c r="AH31" s="18"/>
      <c r="AI31" s="18"/>
    </row>
    <row r="32" hidden="1">
      <c r="A32" s="5" t="s">
        <v>40</v>
      </c>
      <c r="B32" s="5" t="s">
        <v>48</v>
      </c>
      <c r="C32" s="11">
        <v>45020.0</v>
      </c>
      <c r="D32" s="5" t="s">
        <v>61</v>
      </c>
      <c r="E32" s="11">
        <v>45294.0</v>
      </c>
      <c r="F32" s="20">
        <f t="shared" si="1"/>
        <v>274</v>
      </c>
      <c r="G32" s="5" t="s">
        <v>43</v>
      </c>
      <c r="H32" s="5">
        <v>5.0</v>
      </c>
      <c r="I32" s="21">
        <v>8278.0</v>
      </c>
      <c r="J32" s="21">
        <v>24350.0</v>
      </c>
      <c r="K32" s="9">
        <f>IFERROR(__xludf.DUMMYFUNCTION("if(B32=0,""..."",GOOGLEFINANCE(""BCBA:""&amp;B32))"),51650.0)</f>
        <v>51650</v>
      </c>
      <c r="L32" s="9">
        <f t="shared" si="2"/>
        <v>41390</v>
      </c>
      <c r="M32" s="9" t="str">
        <f>VLOOKUP(C32,CCLHistory!$A$6:$B84,2,FALSE)</f>
        <v>409,82</v>
      </c>
      <c r="N32" s="23">
        <f t="shared" si="23"/>
        <v>100.995559</v>
      </c>
      <c r="O32" s="9">
        <f>if(B32=0,"...",$H32*(IF(D32="ABIERTA",K32,J32)*(1-VLOOKUP(A32,Config!$A$3:$B$5,2,FALSE))))</f>
        <v>121743.9125</v>
      </c>
      <c r="P32" s="29">
        <v>1030.0</v>
      </c>
      <c r="Q32" s="23">
        <f t="shared" si="24"/>
        <v>118.1979733</v>
      </c>
      <c r="R32" s="24">
        <f t="shared" si="5"/>
        <v>0.1703284228</v>
      </c>
      <c r="S32" s="15">
        <f t="shared" si="6"/>
        <v>17.20241428</v>
      </c>
      <c r="T32" s="10">
        <f t="shared" si="7"/>
        <v>1.941384694</v>
      </c>
      <c r="U32" s="9">
        <f t="shared" si="8"/>
        <v>80353.9125</v>
      </c>
      <c r="V32" s="18"/>
      <c r="W32" s="9"/>
      <c r="X32" s="9" t="str">
        <f t="shared" si="15"/>
        <v>...</v>
      </c>
      <c r="Y32" s="10" t="str">
        <f t="shared" si="16"/>
        <v/>
      </c>
      <c r="Z32" s="9" t="str">
        <f t="shared" si="17"/>
        <v>...</v>
      </c>
      <c r="AA32" s="15" t="str">
        <f t="shared" si="18"/>
        <v>...</v>
      </c>
      <c r="AB32" s="10" t="str">
        <f t="shared" si="19"/>
        <v>...</v>
      </c>
      <c r="AC32" s="15" t="str">
        <f t="shared" si="20"/>
        <v>...</v>
      </c>
      <c r="AD32" s="18"/>
      <c r="AE32" s="26"/>
      <c r="AF32" s="34"/>
      <c r="AG32" s="18"/>
      <c r="AH32" s="18"/>
      <c r="AI32" s="18"/>
    </row>
    <row r="33" hidden="1">
      <c r="A33" s="5" t="s">
        <v>40</v>
      </c>
      <c r="B33" s="5" t="s">
        <v>41</v>
      </c>
      <c r="C33" s="11">
        <v>44148.0</v>
      </c>
      <c r="D33" s="5" t="s">
        <v>61</v>
      </c>
      <c r="E33" s="19">
        <v>44305.0</v>
      </c>
      <c r="F33" s="20">
        <f t="shared" ref="F33:F45" si="25">if(B33=0,"...", IF(E33=0,today()-C33,E33-C33))</f>
        <v>157</v>
      </c>
      <c r="G33" s="5" t="s">
        <v>43</v>
      </c>
      <c r="H33" s="5">
        <v>2.0</v>
      </c>
      <c r="I33" s="21">
        <f>1765*(1-VLOOKUP(A33,Config!A3:B5,2,FALSE))</f>
        <v>1764.91175</v>
      </c>
      <c r="J33" s="21">
        <v>2036.0</v>
      </c>
      <c r="K33" s="9">
        <f>IFERROR(__xludf.DUMMYFUNCTION("if(B33=0,""..."",GOOGLEFINANCE(""BCBA:""&amp;B33))"),21040.0)</f>
        <v>21040</v>
      </c>
      <c r="L33" s="9">
        <f t="shared" si="2"/>
        <v>3529.8235</v>
      </c>
      <c r="M33" s="9" t="str">
        <f>VLOOKUP(C33,CCLHistory!$A$6:$B84,2,FALSE)</f>
        <v>148,74</v>
      </c>
      <c r="N33" s="23">
        <f t="shared" si="23"/>
        <v>23.73150128</v>
      </c>
      <c r="O33" s="9">
        <f>if(B33=0,"...",$H33*(IF(D33="ABIERTA",K33,J33)*(1-VLOOKUP(A33,Config!$A$3:$B$5,2,FALSE))))</f>
        <v>4071.7964</v>
      </c>
      <c r="P33" s="9" t="str">
        <f>IF(D33="ABIERTA",Config!$D$4,VLOOKUP(E33,CCLHistory!$A$6:$B84,2,FALSE))</f>
        <v>151,81</v>
      </c>
      <c r="Q33" s="23">
        <f t="shared" si="24"/>
        <v>26.82166129</v>
      </c>
      <c r="R33" s="24">
        <f t="shared" si="5"/>
        <v>0.1302134228</v>
      </c>
      <c r="S33" s="15">
        <f t="shared" si="6"/>
        <v>3.09016001</v>
      </c>
      <c r="T33" s="10">
        <f t="shared" si="7"/>
        <v>0.1535410765</v>
      </c>
      <c r="U33" s="9">
        <f t="shared" si="8"/>
        <v>541.9729</v>
      </c>
      <c r="V33" s="18"/>
      <c r="W33" s="9"/>
      <c r="X33" s="9" t="str">
        <f t="shared" si="15"/>
        <v>...</v>
      </c>
      <c r="Y33" s="10" t="str">
        <f t="shared" si="16"/>
        <v/>
      </c>
      <c r="Z33" s="9" t="str">
        <f t="shared" si="17"/>
        <v>...</v>
      </c>
      <c r="AA33" s="15" t="str">
        <f t="shared" si="18"/>
        <v>...</v>
      </c>
      <c r="AB33" s="10" t="str">
        <f t="shared" si="19"/>
        <v>...</v>
      </c>
      <c r="AC33" s="15" t="str">
        <f t="shared" si="20"/>
        <v>...</v>
      </c>
      <c r="AD33" s="18"/>
      <c r="AE33" s="26"/>
      <c r="AF33" s="34"/>
      <c r="AG33" s="18"/>
      <c r="AH33" s="18"/>
      <c r="AI33" s="18"/>
    </row>
    <row r="34" hidden="1">
      <c r="A34" s="5" t="s">
        <v>40</v>
      </c>
      <c r="B34" s="5" t="s">
        <v>41</v>
      </c>
      <c r="C34" s="11">
        <v>44155.0</v>
      </c>
      <c r="D34" s="5" t="s">
        <v>61</v>
      </c>
      <c r="E34" s="11">
        <v>44799.0</v>
      </c>
      <c r="F34" s="20">
        <f t="shared" si="25"/>
        <v>644</v>
      </c>
      <c r="G34" s="5" t="s">
        <v>43</v>
      </c>
      <c r="H34" s="5">
        <v>2.0</v>
      </c>
      <c r="I34" s="21">
        <f>1805</f>
        <v>1805</v>
      </c>
      <c r="J34" s="21">
        <v>5030.0</v>
      </c>
      <c r="K34" s="9">
        <f>IFERROR(__xludf.DUMMYFUNCTION("if(B34=0,""..."",GOOGLEFINANCE(""BCBA:""&amp;B34))"),21040.0)</f>
        <v>21040</v>
      </c>
      <c r="L34" s="9">
        <f t="shared" si="2"/>
        <v>3610</v>
      </c>
      <c r="M34" s="9" t="str">
        <f>VLOOKUP(C34,CCLHistory!$A$6:$B84,2,FALSE)</f>
        <v>154,26</v>
      </c>
      <c r="N34" s="23">
        <f t="shared" si="23"/>
        <v>23.40204849</v>
      </c>
      <c r="O34" s="9">
        <f>if(B34=0,"...",$H34*(IF(D34="ABIERTA",K34,J34)*(1-VLOOKUP(A34,Config!$A$3:$B$5,2,FALSE))))</f>
        <v>10059.497</v>
      </c>
      <c r="P34" s="9" t="str">
        <f>IF(D34="ABIERTA",Config!$D$4,VLOOKUP(E34,CCLHistory!$A$6:$B84,2,FALSE))</f>
        <v>289,2</v>
      </c>
      <c r="Q34" s="23">
        <f t="shared" si="24"/>
        <v>34.78387621</v>
      </c>
      <c r="R34" s="24">
        <f t="shared" si="5"/>
        <v>0.486360317</v>
      </c>
      <c r="S34" s="15">
        <f t="shared" si="6"/>
        <v>11.38182772</v>
      </c>
      <c r="T34" s="10">
        <f t="shared" si="7"/>
        <v>1.786564266</v>
      </c>
      <c r="U34" s="9">
        <f t="shared" si="8"/>
        <v>6449.497</v>
      </c>
      <c r="V34" s="18"/>
      <c r="W34" s="9"/>
      <c r="X34" s="9" t="str">
        <f t="shared" si="15"/>
        <v>...</v>
      </c>
      <c r="Y34" s="10" t="str">
        <f t="shared" si="16"/>
        <v/>
      </c>
      <c r="Z34" s="9" t="str">
        <f t="shared" si="17"/>
        <v>...</v>
      </c>
      <c r="AA34" s="15" t="str">
        <f t="shared" si="18"/>
        <v>...</v>
      </c>
      <c r="AB34" s="10" t="str">
        <f t="shared" si="19"/>
        <v>...</v>
      </c>
      <c r="AC34" s="15" t="str">
        <f t="shared" si="20"/>
        <v>...</v>
      </c>
      <c r="AD34" s="18"/>
      <c r="AE34" s="26"/>
      <c r="AF34" s="34"/>
      <c r="AG34" s="18"/>
      <c r="AH34" s="18"/>
      <c r="AI34" s="18"/>
    </row>
    <row r="35" hidden="1">
      <c r="A35" s="5" t="s">
        <v>40</v>
      </c>
      <c r="B35" s="5" t="s">
        <v>41</v>
      </c>
      <c r="C35" s="11">
        <v>44334.0</v>
      </c>
      <c r="D35" s="5" t="s">
        <v>61</v>
      </c>
      <c r="E35" s="11">
        <v>44799.0</v>
      </c>
      <c r="F35" s="20">
        <f t="shared" si="25"/>
        <v>465</v>
      </c>
      <c r="G35" s="5" t="s">
        <v>43</v>
      </c>
      <c r="H35" s="5">
        <v>2.0</v>
      </c>
      <c r="I35" s="21">
        <v>1997.0</v>
      </c>
      <c r="J35" s="21">
        <v>5030.0</v>
      </c>
      <c r="K35" s="9">
        <f>IFERROR(__xludf.DUMMYFUNCTION("if(B35=0,""..."",GOOGLEFINANCE(""BCBA:""&amp;B35))"),21040.0)</f>
        <v>21040</v>
      </c>
      <c r="L35" s="9">
        <f t="shared" si="2"/>
        <v>3994</v>
      </c>
      <c r="M35" s="9" t="str">
        <f>VLOOKUP(C35,CCLHistory!$A$6:$B84,2,FALSE)</f>
        <v>162,45</v>
      </c>
      <c r="N35" s="23">
        <f t="shared" si="23"/>
        <v>24.58602647</v>
      </c>
      <c r="O35" s="9">
        <f>if(B35=0,"...",$H35*(IF(D35="ABIERTA",K35,J35)*(1-VLOOKUP(A35,Config!$A$3:$B$5,2,FALSE))))</f>
        <v>10059.497</v>
      </c>
      <c r="P35" s="9" t="str">
        <f>IF(D35="ABIERTA",Config!$D$4,VLOOKUP(E35,CCLHistory!$A$6:$B84,2,FALSE))</f>
        <v>289,2</v>
      </c>
      <c r="Q35" s="23">
        <f t="shared" si="24"/>
        <v>34.78387621</v>
      </c>
      <c r="R35" s="24">
        <f t="shared" si="5"/>
        <v>0.4147823461</v>
      </c>
      <c r="S35" s="15">
        <f t="shared" si="6"/>
        <v>10.19784974</v>
      </c>
      <c r="T35" s="10">
        <f t="shared" si="7"/>
        <v>1.518652228</v>
      </c>
      <c r="U35" s="9">
        <f t="shared" si="8"/>
        <v>6065.497</v>
      </c>
      <c r="V35" s="18"/>
      <c r="W35" s="9"/>
      <c r="X35" s="9" t="str">
        <f t="shared" si="15"/>
        <v>...</v>
      </c>
      <c r="Y35" s="10" t="str">
        <f t="shared" si="16"/>
        <v/>
      </c>
      <c r="Z35" s="9" t="str">
        <f t="shared" si="17"/>
        <v>...</v>
      </c>
      <c r="AA35" s="15" t="str">
        <f t="shared" si="18"/>
        <v>...</v>
      </c>
      <c r="AB35" s="10" t="str">
        <f t="shared" si="19"/>
        <v>...</v>
      </c>
      <c r="AC35" s="15" t="str">
        <f t="shared" si="20"/>
        <v>...</v>
      </c>
      <c r="AD35" s="18"/>
      <c r="AE35" s="26"/>
      <c r="AF35" s="34"/>
      <c r="AG35" s="18"/>
      <c r="AH35" s="18"/>
      <c r="AI35" s="18"/>
    </row>
    <row r="36" hidden="1">
      <c r="A36" s="5" t="s">
        <v>40</v>
      </c>
      <c r="B36" s="5" t="s">
        <v>41</v>
      </c>
      <c r="C36" s="11">
        <v>44649.0</v>
      </c>
      <c r="D36" s="5" t="s">
        <v>61</v>
      </c>
      <c r="E36" s="11">
        <v>44799.0</v>
      </c>
      <c r="F36" s="20">
        <f t="shared" si="25"/>
        <v>150</v>
      </c>
      <c r="G36" s="5" t="s">
        <v>43</v>
      </c>
      <c r="H36" s="5">
        <v>5.0</v>
      </c>
      <c r="I36" s="21">
        <v>3490.0</v>
      </c>
      <c r="J36" s="21">
        <v>5030.0</v>
      </c>
      <c r="K36" s="9">
        <f>IFERROR(__xludf.DUMMYFUNCTION("if(B36=0,""..."",GOOGLEFINANCE(""BCBA:""&amp;B36))"),21040.0)</f>
        <v>21040</v>
      </c>
      <c r="L36" s="9">
        <f t="shared" si="2"/>
        <v>17450</v>
      </c>
      <c r="M36" s="9" t="str">
        <f>VLOOKUP(C36,CCLHistory!$A$6:$B84,2,FALSE)</f>
        <v>191,52</v>
      </c>
      <c r="N36" s="23">
        <f t="shared" si="23"/>
        <v>91.11319967</v>
      </c>
      <c r="O36" s="9">
        <f>if(B36=0,"...",$H36*(IF(D36="ABIERTA",K36,J36)*(1-VLOOKUP(A36,Config!$A$3:$B$5,2,FALSE))))</f>
        <v>25148.7425</v>
      </c>
      <c r="P36" s="9" t="str">
        <f>IF(D36="ABIERTA",Config!$D$4,VLOOKUP(E36,CCLHistory!$A$6:$B84,2,FALSE))</f>
        <v>289,2</v>
      </c>
      <c r="Q36" s="23">
        <f t="shared" si="24"/>
        <v>86.95969053</v>
      </c>
      <c r="R36" s="24">
        <f t="shared" si="5"/>
        <v>-0.04558625046</v>
      </c>
      <c r="S36" s="15">
        <f t="shared" si="6"/>
        <v>-4.15350914</v>
      </c>
      <c r="T36" s="10">
        <f t="shared" si="7"/>
        <v>0.4411886819</v>
      </c>
      <c r="U36" s="9">
        <f t="shared" si="8"/>
        <v>7698.7425</v>
      </c>
      <c r="V36" s="18"/>
      <c r="W36" s="9"/>
      <c r="X36" s="9" t="str">
        <f t="shared" si="15"/>
        <v>...</v>
      </c>
      <c r="Y36" s="10" t="str">
        <f t="shared" si="16"/>
        <v/>
      </c>
      <c r="Z36" s="9" t="str">
        <f t="shared" si="17"/>
        <v>...</v>
      </c>
      <c r="AA36" s="15" t="str">
        <f t="shared" si="18"/>
        <v>...</v>
      </c>
      <c r="AB36" s="10" t="str">
        <f t="shared" si="19"/>
        <v>...</v>
      </c>
      <c r="AC36" s="15" t="str">
        <f t="shared" si="20"/>
        <v>...</v>
      </c>
      <c r="AD36" s="18"/>
      <c r="AE36" s="26"/>
      <c r="AF36" s="34"/>
      <c r="AG36" s="18"/>
      <c r="AH36" s="18"/>
      <c r="AI36" s="18"/>
    </row>
    <row r="37" hidden="1">
      <c r="A37" s="5" t="s">
        <v>40</v>
      </c>
      <c r="B37" s="5" t="s">
        <v>41</v>
      </c>
      <c r="C37" s="11">
        <v>44687.0</v>
      </c>
      <c r="D37" s="5" t="s">
        <v>61</v>
      </c>
      <c r="E37" s="11">
        <v>44799.0</v>
      </c>
      <c r="F37" s="20">
        <f t="shared" si="25"/>
        <v>112</v>
      </c>
      <c r="G37" s="5" t="s">
        <v>43</v>
      </c>
      <c r="H37" s="5">
        <v>5.0</v>
      </c>
      <c r="I37" s="21">
        <v>3339.5</v>
      </c>
      <c r="J37" s="21">
        <v>5030.0</v>
      </c>
      <c r="K37" s="9">
        <f>IFERROR(__xludf.DUMMYFUNCTION("if(B37=0,""..."",GOOGLEFINANCE(""BCBA:""&amp;B37))"),21040.0)</f>
        <v>21040</v>
      </c>
      <c r="L37" s="9">
        <f t="shared" si="2"/>
        <v>16697.5</v>
      </c>
      <c r="M37" s="9" t="str">
        <f>VLOOKUP(C37,CCLHistory!$A$6:$B84,2,FALSE)</f>
        <v>208,84</v>
      </c>
      <c r="N37" s="23">
        <f t="shared" si="23"/>
        <v>79.95355296</v>
      </c>
      <c r="O37" s="9">
        <f>if(B37=0,"...",$H37*(IF(D37="ABIERTA",K37,J37)*(1-VLOOKUP(A37,Config!$A$3:$B$5,2,FALSE))))</f>
        <v>25148.7425</v>
      </c>
      <c r="P37" s="9" t="str">
        <f>IF(D37="ABIERTA",Config!$D$4,VLOOKUP(E37,CCLHistory!$A$6:$B84,2,FALSE))</f>
        <v>289,2</v>
      </c>
      <c r="Q37" s="23">
        <f t="shared" si="24"/>
        <v>86.95969053</v>
      </c>
      <c r="R37" s="24">
        <f t="shared" si="5"/>
        <v>0.08762759511</v>
      </c>
      <c r="S37" s="15">
        <f t="shared" si="6"/>
        <v>7.006137566</v>
      </c>
      <c r="T37" s="10">
        <f t="shared" si="7"/>
        <v>0.5061381943</v>
      </c>
      <c r="U37" s="9">
        <f t="shared" si="8"/>
        <v>8451.2425</v>
      </c>
      <c r="V37" s="18"/>
      <c r="W37" s="9"/>
      <c r="X37" s="9" t="str">
        <f t="shared" si="15"/>
        <v>...</v>
      </c>
      <c r="Y37" s="10" t="str">
        <f t="shared" si="16"/>
        <v/>
      </c>
      <c r="Z37" s="9" t="str">
        <f t="shared" si="17"/>
        <v>...</v>
      </c>
      <c r="AA37" s="15" t="str">
        <f t="shared" si="18"/>
        <v>...</v>
      </c>
      <c r="AB37" s="10" t="str">
        <f t="shared" si="19"/>
        <v>...</v>
      </c>
      <c r="AC37" s="15" t="str">
        <f t="shared" si="20"/>
        <v>...</v>
      </c>
      <c r="AD37" s="18"/>
      <c r="AE37" s="26"/>
      <c r="AF37" s="34"/>
      <c r="AG37" s="18"/>
      <c r="AH37" s="18"/>
      <c r="AI37" s="18"/>
    </row>
    <row r="38" hidden="1">
      <c r="A38" s="5" t="s">
        <v>40</v>
      </c>
      <c r="B38" s="5" t="s">
        <v>41</v>
      </c>
      <c r="C38" s="11">
        <v>44715.0</v>
      </c>
      <c r="D38" s="5" t="s">
        <v>61</v>
      </c>
      <c r="E38" s="11">
        <v>44799.0</v>
      </c>
      <c r="F38" s="20">
        <f t="shared" si="25"/>
        <v>84</v>
      </c>
      <c r="G38" s="5" t="s">
        <v>43</v>
      </c>
      <c r="H38" s="5">
        <v>3.0</v>
      </c>
      <c r="I38" s="21">
        <v>3160.0</v>
      </c>
      <c r="J38" s="21">
        <v>5030.0</v>
      </c>
      <c r="K38" s="9">
        <f>IFERROR(__xludf.DUMMYFUNCTION("if(B38=0,""..."",GOOGLEFINANCE(""BCBA:""&amp;B38))"),21040.0)</f>
        <v>21040</v>
      </c>
      <c r="L38" s="9">
        <f t="shared" si="2"/>
        <v>9480</v>
      </c>
      <c r="M38" s="9" t="str">
        <f>VLOOKUP(C38,CCLHistory!$A$6:$B84,2,FALSE)</f>
        <v>209,39</v>
      </c>
      <c r="N38" s="23">
        <f t="shared" si="23"/>
        <v>45.2743684</v>
      </c>
      <c r="O38" s="9">
        <f>if(B38=0,"...",$H38*(IF(D38="ABIERTA",K38,J38)*(1-VLOOKUP(A38,Config!$A$3:$B$5,2,FALSE))))</f>
        <v>15089.2455</v>
      </c>
      <c r="P38" s="9" t="str">
        <f>IF(D38="ABIERTA",Config!$D$4,VLOOKUP(E38,CCLHistory!$A$6:$B84,2,FALSE))</f>
        <v>289,2</v>
      </c>
      <c r="Q38" s="23">
        <f t="shared" si="24"/>
        <v>52.17581432</v>
      </c>
      <c r="R38" s="24">
        <f t="shared" si="5"/>
        <v>0.1524360506</v>
      </c>
      <c r="S38" s="15">
        <f t="shared" si="6"/>
        <v>6.901445912</v>
      </c>
      <c r="T38" s="10">
        <f t="shared" si="7"/>
        <v>0.5916925633</v>
      </c>
      <c r="U38" s="9">
        <f t="shared" si="8"/>
        <v>5609.2455</v>
      </c>
      <c r="V38" s="35"/>
      <c r="W38" s="36"/>
      <c r="X38" s="9" t="str">
        <f t="shared" si="15"/>
        <v>...</v>
      </c>
      <c r="Y38" s="10" t="str">
        <f t="shared" si="16"/>
        <v/>
      </c>
      <c r="Z38" s="9" t="str">
        <f t="shared" si="17"/>
        <v>...</v>
      </c>
      <c r="AA38" s="15" t="str">
        <f t="shared" si="18"/>
        <v>...</v>
      </c>
      <c r="AB38" s="10" t="str">
        <f t="shared" si="19"/>
        <v>...</v>
      </c>
      <c r="AC38" s="15" t="str">
        <f t="shared" si="20"/>
        <v>...</v>
      </c>
      <c r="AD38" s="35"/>
      <c r="AE38" s="37"/>
      <c r="AF38" s="38"/>
      <c r="AG38" s="35"/>
      <c r="AH38" s="35"/>
      <c r="AI38" s="18"/>
    </row>
    <row r="39" hidden="1">
      <c r="A39" s="5" t="s">
        <v>40</v>
      </c>
      <c r="B39" s="5" t="s">
        <v>41</v>
      </c>
      <c r="C39" s="11">
        <v>44715.0</v>
      </c>
      <c r="D39" s="5" t="s">
        <v>61</v>
      </c>
      <c r="E39" s="11">
        <v>44811.0</v>
      </c>
      <c r="F39" s="20">
        <f t="shared" si="25"/>
        <v>96</v>
      </c>
      <c r="G39" s="5" t="s">
        <v>43</v>
      </c>
      <c r="H39" s="5">
        <v>6.0</v>
      </c>
      <c r="I39" s="21">
        <v>3160.0</v>
      </c>
      <c r="J39" s="21">
        <v>4449.5</v>
      </c>
      <c r="K39" s="9">
        <f>IFERROR(__xludf.DUMMYFUNCTION("if(B39=0,""..."",GOOGLEFINANCE(""BCBA:""&amp;B39))"),21040.0)</f>
        <v>21040</v>
      </c>
      <c r="L39" s="9">
        <f t="shared" si="2"/>
        <v>18960</v>
      </c>
      <c r="M39" s="9" t="str">
        <f>VLOOKUP(C39,CCLHistory!$A$6:$B84,2,FALSE)</f>
        <v>209,39</v>
      </c>
      <c r="N39" s="23">
        <f t="shared" si="23"/>
        <v>90.54873681</v>
      </c>
      <c r="O39" s="9">
        <f>if(B39=0,"...",$H39*(IF(D39="ABIERTA",K39,J39)*(1-VLOOKUP(A39,Config!$A$3:$B$5,2,FALSE))))</f>
        <v>26695.66515</v>
      </c>
      <c r="P39" s="9" t="str">
        <f>IF(D39="ABIERTA",Config!$D$4,VLOOKUP(E39,CCLHistory!$A$6:$B84,2,FALSE))</f>
        <v>282,46</v>
      </c>
      <c r="Q39" s="23">
        <f t="shared" si="24"/>
        <v>94.51131187</v>
      </c>
      <c r="R39" s="24">
        <f t="shared" si="5"/>
        <v>0.04376179282</v>
      </c>
      <c r="S39" s="15">
        <f t="shared" si="6"/>
        <v>3.96257506</v>
      </c>
      <c r="T39" s="10">
        <f t="shared" si="7"/>
        <v>0.4079992168</v>
      </c>
      <c r="U39" s="9">
        <f t="shared" si="8"/>
        <v>7735.66515</v>
      </c>
      <c r="V39" s="18"/>
      <c r="W39" s="9"/>
      <c r="X39" s="9" t="str">
        <f t="shared" si="15"/>
        <v>...</v>
      </c>
      <c r="Y39" s="10" t="str">
        <f t="shared" si="16"/>
        <v/>
      </c>
      <c r="Z39" s="9" t="str">
        <f t="shared" si="17"/>
        <v>...</v>
      </c>
      <c r="AA39" s="15" t="str">
        <f t="shared" si="18"/>
        <v>...</v>
      </c>
      <c r="AB39" s="10" t="str">
        <f t="shared" si="19"/>
        <v>...</v>
      </c>
      <c r="AC39" s="15" t="str">
        <f t="shared" si="20"/>
        <v>...</v>
      </c>
      <c r="AD39" s="18"/>
      <c r="AE39" s="26"/>
      <c r="AF39" s="34"/>
      <c r="AG39" s="18"/>
      <c r="AH39" s="18"/>
      <c r="AI39" s="18"/>
    </row>
    <row r="40" hidden="1">
      <c r="A40" s="5" t="s">
        <v>40</v>
      </c>
      <c r="B40" s="5" t="s">
        <v>41</v>
      </c>
      <c r="C40" s="11">
        <v>44777.0</v>
      </c>
      <c r="D40" s="5" t="s">
        <v>61</v>
      </c>
      <c r="E40" s="11">
        <v>44811.0</v>
      </c>
      <c r="F40" s="20">
        <f t="shared" si="25"/>
        <v>34</v>
      </c>
      <c r="G40" s="5" t="s">
        <v>43</v>
      </c>
      <c r="H40" s="5">
        <v>6.0</v>
      </c>
      <c r="I40" s="21">
        <v>4616.0</v>
      </c>
      <c r="J40" s="21">
        <v>4449.5</v>
      </c>
      <c r="K40" s="9">
        <f>IFERROR(__xludf.DUMMYFUNCTION("if(B40=0,""..."",GOOGLEFINANCE(""BCBA:""&amp;B40))"),21040.0)</f>
        <v>21040</v>
      </c>
      <c r="L40" s="9">
        <f t="shared" si="2"/>
        <v>27696</v>
      </c>
      <c r="M40" s="9" t="str">
        <f>VLOOKUP(C40,CCLHistory!$A$6:$B84,2,FALSE)</f>
        <v>293,31</v>
      </c>
      <c r="N40" s="23">
        <f t="shared" si="23"/>
        <v>94.42569295</v>
      </c>
      <c r="O40" s="9">
        <f>if(B40=0,"...",$H40*(IF(D40="ABIERTA",K40,J40)*(1-VLOOKUP(A40,Config!$A$3:$B$5,2,FALSE))))</f>
        <v>26695.66515</v>
      </c>
      <c r="P40" s="9" t="str">
        <f>IF(D40="ABIERTA",Config!$D$4,VLOOKUP(E40,CCLHistory!$A$6:$B84,2,FALSE))</f>
        <v>282,46</v>
      </c>
      <c r="Q40" s="23">
        <f t="shared" si="24"/>
        <v>94.51131187</v>
      </c>
      <c r="R40" s="24">
        <f t="shared" si="5"/>
        <v>0.000906733238</v>
      </c>
      <c r="S40" s="15">
        <f t="shared" si="6"/>
        <v>0.08561891432</v>
      </c>
      <c r="T40" s="10">
        <f t="shared" si="7"/>
        <v>-0.03611838713</v>
      </c>
      <c r="U40" s="9">
        <f t="shared" si="8"/>
        <v>-1000.33485</v>
      </c>
      <c r="V40" s="18"/>
      <c r="W40" s="9"/>
      <c r="X40" s="9" t="str">
        <f t="shared" si="15"/>
        <v>...</v>
      </c>
      <c r="Y40" s="10" t="str">
        <f t="shared" si="16"/>
        <v/>
      </c>
      <c r="Z40" s="9" t="str">
        <f t="shared" si="17"/>
        <v>...</v>
      </c>
      <c r="AA40" s="15" t="str">
        <f t="shared" si="18"/>
        <v>...</v>
      </c>
      <c r="AB40" s="10" t="str">
        <f t="shared" si="19"/>
        <v>...</v>
      </c>
      <c r="AC40" s="15" t="str">
        <f t="shared" si="20"/>
        <v>...</v>
      </c>
      <c r="AD40" s="18"/>
      <c r="AE40" s="26"/>
      <c r="AF40" s="34"/>
      <c r="AG40" s="18"/>
      <c r="AH40" s="18"/>
      <c r="AI40" s="18"/>
    </row>
    <row r="41" hidden="1">
      <c r="A41" s="5" t="s">
        <v>40</v>
      </c>
      <c r="B41" s="5" t="s">
        <v>41</v>
      </c>
      <c r="C41" s="11">
        <v>44778.0</v>
      </c>
      <c r="D41" s="5" t="s">
        <v>61</v>
      </c>
      <c r="E41" s="11">
        <v>45070.0</v>
      </c>
      <c r="F41" s="20">
        <f t="shared" si="25"/>
        <v>292</v>
      </c>
      <c r="G41" s="5" t="s">
        <v>43</v>
      </c>
      <c r="H41" s="5">
        <v>6.0</v>
      </c>
      <c r="I41" s="21">
        <v>4616.0</v>
      </c>
      <c r="J41" s="21">
        <v>9700.0</v>
      </c>
      <c r="K41" s="9">
        <f>IFERROR(__xludf.DUMMYFUNCTION("if(B41=0,""..."",GOOGLEFINANCE(""BCBA:""&amp;B41))"),21040.0)</f>
        <v>21040</v>
      </c>
      <c r="L41" s="9">
        <f t="shared" si="2"/>
        <v>27696</v>
      </c>
      <c r="M41" s="9" t="str">
        <f>VLOOKUP(C41,CCLHistory!$A$6:$B84,2,FALSE)</f>
        <v>285,54</v>
      </c>
      <c r="N41" s="23">
        <f t="shared" si="23"/>
        <v>96.99516705</v>
      </c>
      <c r="O41" s="9">
        <f>if(B41=0,"...",$H41*(IF(D41="ABIERTA",K41,J41)*(1-VLOOKUP(A41,Config!$A$3:$B$5,2,FALSE))))</f>
        <v>58197.09</v>
      </c>
      <c r="P41" s="9" t="str">
        <f>IF(D41="ABIERTA",Config!$D$4,VLOOKUP(E41,CCLHistory!$A$6:$B84,2,FALSE))</f>
        <v>492,32</v>
      </c>
      <c r="Q41" s="23">
        <f t="shared" si="24"/>
        <v>118.2098838</v>
      </c>
      <c r="R41" s="24">
        <f t="shared" si="5"/>
        <v>0.2187193178</v>
      </c>
      <c r="S41" s="15">
        <f t="shared" si="6"/>
        <v>21.21471676</v>
      </c>
      <c r="T41" s="10">
        <f t="shared" si="7"/>
        <v>1.101281412</v>
      </c>
      <c r="U41" s="9">
        <f t="shared" si="8"/>
        <v>30501.09</v>
      </c>
      <c r="V41" s="18"/>
      <c r="W41" s="9"/>
      <c r="X41" s="9" t="str">
        <f t="shared" si="15"/>
        <v>...</v>
      </c>
      <c r="Y41" s="10" t="str">
        <f t="shared" si="16"/>
        <v/>
      </c>
      <c r="Z41" s="9" t="str">
        <f t="shared" si="17"/>
        <v>...</v>
      </c>
      <c r="AA41" s="15" t="str">
        <f t="shared" si="18"/>
        <v>...</v>
      </c>
      <c r="AB41" s="10" t="str">
        <f t="shared" si="19"/>
        <v>...</v>
      </c>
      <c r="AC41" s="15" t="str">
        <f t="shared" si="20"/>
        <v>...</v>
      </c>
      <c r="AD41" s="18"/>
      <c r="AE41" s="26"/>
      <c r="AF41" s="34"/>
      <c r="AG41" s="18"/>
      <c r="AH41" s="18"/>
      <c r="AI41" s="18"/>
    </row>
    <row r="42" hidden="1">
      <c r="A42" s="5" t="s">
        <v>40</v>
      </c>
      <c r="B42" s="5" t="s">
        <v>41</v>
      </c>
      <c r="C42" s="11">
        <v>44840.0</v>
      </c>
      <c r="D42" s="5" t="s">
        <v>61</v>
      </c>
      <c r="E42" s="11">
        <v>45070.0</v>
      </c>
      <c r="F42" s="20">
        <f t="shared" si="25"/>
        <v>230</v>
      </c>
      <c r="G42" s="5" t="s">
        <v>43</v>
      </c>
      <c r="H42" s="5">
        <v>4.0</v>
      </c>
      <c r="I42" s="21">
        <v>4483.5</v>
      </c>
      <c r="J42" s="21">
        <v>9700.0</v>
      </c>
      <c r="K42" s="9">
        <f>IFERROR(__xludf.DUMMYFUNCTION("if(B42=0,""..."",GOOGLEFINANCE(""BCBA:""&amp;B42))"),21040.0)</f>
        <v>21040</v>
      </c>
      <c r="L42" s="9">
        <f t="shared" si="2"/>
        <v>17934</v>
      </c>
      <c r="M42" s="9" t="str">
        <f>VLOOKUP(C42,CCLHistory!$A$6:$B84,2,FALSE)</f>
        <v>307,38</v>
      </c>
      <c r="N42" s="23">
        <f t="shared" si="23"/>
        <v>58.34471989</v>
      </c>
      <c r="O42" s="9">
        <f>if(B42=0,"...",$H42*(IF(D42="ABIERTA",K42,J42)*(1-VLOOKUP(A42,Config!$A$3:$B$5,2,FALSE))))</f>
        <v>38798.06</v>
      </c>
      <c r="P42" s="9" t="str">
        <f>IF(D42="ABIERTA",Config!$D$4,VLOOKUP(E42,CCLHistory!$A$6:$B84,2,FALSE))</f>
        <v>492,32</v>
      </c>
      <c r="Q42" s="23">
        <f t="shared" si="24"/>
        <v>78.80658921</v>
      </c>
      <c r="R42" s="24">
        <f t="shared" si="5"/>
        <v>0.3507064454</v>
      </c>
      <c r="S42" s="15">
        <f t="shared" si="6"/>
        <v>20.46186932</v>
      </c>
      <c r="T42" s="10">
        <f t="shared" si="7"/>
        <v>1.163380172</v>
      </c>
      <c r="U42" s="9">
        <f t="shared" si="8"/>
        <v>20864.06</v>
      </c>
      <c r="V42" s="18"/>
      <c r="W42" s="9"/>
      <c r="X42" s="9" t="str">
        <f t="shared" si="15"/>
        <v>...</v>
      </c>
      <c r="Y42" s="10" t="str">
        <f t="shared" si="16"/>
        <v/>
      </c>
      <c r="Z42" s="9" t="str">
        <f t="shared" si="17"/>
        <v>...</v>
      </c>
      <c r="AA42" s="15" t="str">
        <f t="shared" si="18"/>
        <v>...</v>
      </c>
      <c r="AB42" s="10" t="str">
        <f t="shared" si="19"/>
        <v>...</v>
      </c>
      <c r="AC42" s="15" t="str">
        <f t="shared" si="20"/>
        <v>...</v>
      </c>
      <c r="AD42" s="18"/>
      <c r="AE42" s="26"/>
      <c r="AF42" s="34"/>
      <c r="AG42" s="18"/>
      <c r="AH42" s="18"/>
      <c r="AI42" s="18"/>
    </row>
    <row r="43" hidden="1">
      <c r="A43" s="5" t="s">
        <v>40</v>
      </c>
      <c r="B43" s="5" t="s">
        <v>41</v>
      </c>
      <c r="C43" s="11">
        <v>44939.0</v>
      </c>
      <c r="D43" s="5" t="s">
        <v>61</v>
      </c>
      <c r="E43" s="11">
        <v>45070.0</v>
      </c>
      <c r="F43" s="20">
        <f t="shared" si="25"/>
        <v>131</v>
      </c>
      <c r="G43" s="5" t="s">
        <v>43</v>
      </c>
      <c r="H43" s="5">
        <v>1.0</v>
      </c>
      <c r="I43" s="21">
        <v>4374.0</v>
      </c>
      <c r="J43" s="21">
        <v>9700.0</v>
      </c>
      <c r="K43" s="9">
        <f>IFERROR(__xludf.DUMMYFUNCTION("if(B43=0,""..."",GOOGLEFINANCE(""BCBA:""&amp;B43))"),21040.0)</f>
        <v>21040</v>
      </c>
      <c r="L43" s="9">
        <f t="shared" si="2"/>
        <v>4374</v>
      </c>
      <c r="M43" s="9" t="str">
        <f>VLOOKUP(C43,CCLHistory!$A$6:$B84,2,FALSE)</f>
        <v>349,26</v>
      </c>
      <c r="N43" s="23">
        <f t="shared" si="23"/>
        <v>12.52362137</v>
      </c>
      <c r="O43" s="9">
        <f>if(B43=0,"...",$H43*(IF(D43="ABIERTA",K43,J43)*(1-VLOOKUP(A43,Config!$A$3:$B$5,2,FALSE))))</f>
        <v>9699.515</v>
      </c>
      <c r="P43" s="9" t="str">
        <f>IF(D43="ABIERTA",Config!$D$4,VLOOKUP(E43,CCLHistory!$A$6:$B84,2,FALSE))</f>
        <v>492,32</v>
      </c>
      <c r="Q43" s="23">
        <f t="shared" si="24"/>
        <v>19.7016473</v>
      </c>
      <c r="R43" s="24">
        <f t="shared" si="5"/>
        <v>0.5731589705</v>
      </c>
      <c r="S43" s="15">
        <f t="shared" si="6"/>
        <v>7.178025932</v>
      </c>
      <c r="T43" s="10">
        <f t="shared" si="7"/>
        <v>1.217538866</v>
      </c>
      <c r="U43" s="9">
        <f t="shared" si="8"/>
        <v>5325.515</v>
      </c>
      <c r="V43" s="18"/>
      <c r="W43" s="9"/>
      <c r="X43" s="9" t="str">
        <f t="shared" si="15"/>
        <v>...</v>
      </c>
      <c r="Y43" s="10" t="str">
        <f t="shared" si="16"/>
        <v/>
      </c>
      <c r="Z43" s="9" t="str">
        <f t="shared" si="17"/>
        <v>...</v>
      </c>
      <c r="AA43" s="15" t="str">
        <f t="shared" si="18"/>
        <v>...</v>
      </c>
      <c r="AB43" s="10" t="str">
        <f t="shared" si="19"/>
        <v>...</v>
      </c>
      <c r="AC43" s="15" t="str">
        <f t="shared" si="20"/>
        <v>...</v>
      </c>
      <c r="AD43" s="18"/>
      <c r="AE43" s="26"/>
      <c r="AF43" s="34"/>
      <c r="AG43" s="18"/>
      <c r="AH43" s="18"/>
      <c r="AI43" s="18"/>
    </row>
    <row r="44" hidden="1">
      <c r="A44" s="5" t="s">
        <v>40</v>
      </c>
      <c r="B44" s="5" t="s">
        <v>46</v>
      </c>
      <c r="C44" s="11">
        <v>44421.0</v>
      </c>
      <c r="D44" s="5" t="s">
        <v>61</v>
      </c>
      <c r="E44" s="11">
        <v>44473.0</v>
      </c>
      <c r="F44" s="20">
        <f t="shared" si="25"/>
        <v>52</v>
      </c>
      <c r="G44" s="5" t="s">
        <v>43</v>
      </c>
      <c r="H44" s="5">
        <v>4.0</v>
      </c>
      <c r="I44" s="21">
        <v>8075.0</v>
      </c>
      <c r="J44" s="21">
        <v>8312.0</v>
      </c>
      <c r="K44" s="9">
        <f>IFERROR(__xludf.DUMMYFUNCTION("if(B44=0,""..."",GOOGLEFINANCE(""BCBA:""&amp;B44))"),13250.0)</f>
        <v>13250</v>
      </c>
      <c r="L44" s="9">
        <f t="shared" si="2"/>
        <v>32300</v>
      </c>
      <c r="M44" s="9" t="str">
        <f>VLOOKUP(C44,CCLHistory!$A$6:$B84,2,FALSE)</f>
        <v>178,97</v>
      </c>
      <c r="N44" s="23">
        <f t="shared" si="23"/>
        <v>180.4771749</v>
      </c>
      <c r="O44" s="9">
        <f>if(B44=0,"...",$H44*(IF(D44="ABIERTA",K44,J44)*(1-VLOOKUP(A44,Config!$A$3:$B$5,2,FALSE))))</f>
        <v>33246.3376</v>
      </c>
      <c r="P44" s="9" t="str">
        <f>IF(D44="ABIERTA",Config!$D$4,VLOOKUP(E44,CCLHistory!$A$6:$B84,2,FALSE))</f>
        <v>192,82</v>
      </c>
      <c r="Q44" s="23">
        <f t="shared" si="24"/>
        <v>172.4216243</v>
      </c>
      <c r="R44" s="24">
        <f t="shared" si="5"/>
        <v>-0.04463473364</v>
      </c>
      <c r="S44" s="15">
        <f t="shared" si="6"/>
        <v>-8.055550633</v>
      </c>
      <c r="T44" s="10">
        <f t="shared" si="7"/>
        <v>0.02929837771</v>
      </c>
      <c r="U44" s="9">
        <f t="shared" si="8"/>
        <v>946.3376</v>
      </c>
      <c r="V44" s="18"/>
      <c r="W44" s="9"/>
      <c r="X44" s="9" t="str">
        <f t="shared" si="15"/>
        <v>...</v>
      </c>
      <c r="Y44" s="10" t="str">
        <f t="shared" si="16"/>
        <v/>
      </c>
      <c r="Z44" s="9" t="str">
        <f t="shared" si="17"/>
        <v>...</v>
      </c>
      <c r="AA44" s="15" t="str">
        <f t="shared" si="18"/>
        <v>...</v>
      </c>
      <c r="AB44" s="10" t="str">
        <f t="shared" si="19"/>
        <v>...</v>
      </c>
      <c r="AC44" s="15" t="str">
        <f t="shared" si="20"/>
        <v>...</v>
      </c>
      <c r="AD44" s="18"/>
      <c r="AE44" s="26"/>
      <c r="AF44" s="34"/>
      <c r="AG44" s="18"/>
      <c r="AH44" s="18"/>
      <c r="AI44" s="18"/>
    </row>
    <row r="45" hidden="1">
      <c r="A45" s="5" t="s">
        <v>40</v>
      </c>
      <c r="B45" s="5" t="s">
        <v>46</v>
      </c>
      <c r="C45" s="11">
        <v>44516.0</v>
      </c>
      <c r="D45" s="5" t="s">
        <v>61</v>
      </c>
      <c r="E45" s="11">
        <v>44536.0</v>
      </c>
      <c r="F45" s="20">
        <f t="shared" si="25"/>
        <v>20</v>
      </c>
      <c r="G45" s="5" t="s">
        <v>43</v>
      </c>
      <c r="H45" s="5">
        <v>3.0</v>
      </c>
      <c r="I45" s="21">
        <v>8587.0</v>
      </c>
      <c r="J45" s="21">
        <v>7723.3333</v>
      </c>
      <c r="K45" s="9">
        <f>IFERROR(__xludf.DUMMYFUNCTION("if(B45=0,""..."",GOOGLEFINANCE(""BCBA:""&amp;B45))"),13250.0)</f>
        <v>13250</v>
      </c>
      <c r="L45" s="9">
        <f t="shared" si="2"/>
        <v>25761</v>
      </c>
      <c r="M45" s="9" t="str">
        <f>VLOOKUP(C45,CCLHistory!$A$6:$B84,2,FALSE)</f>
        <v>211,85</v>
      </c>
      <c r="N45" s="23">
        <f t="shared" si="23"/>
        <v>121.6001888</v>
      </c>
      <c r="O45" s="9">
        <f>if(B45=0,"...",$H45*(IF(D45="ABIERTA",K45,J45)*(1-VLOOKUP(A45,Config!$A$3:$B$5,2,FALSE))))</f>
        <v>23168.8414</v>
      </c>
      <c r="P45" s="9" t="str">
        <f>IF(D45="ABIERTA",Config!$D$4,VLOOKUP(E45,CCLHistory!$A$6:$B84,2,FALSE))</f>
        <v>219,77</v>
      </c>
      <c r="Q45" s="23">
        <f t="shared" si="24"/>
        <v>105.4231305</v>
      </c>
      <c r="R45" s="24">
        <f t="shared" si="5"/>
        <v>-0.1330348121</v>
      </c>
      <c r="S45" s="15">
        <f t="shared" si="6"/>
        <v>-16.17705827</v>
      </c>
      <c r="T45" s="10">
        <f t="shared" si="7"/>
        <v>-0.1006233687</v>
      </c>
      <c r="U45" s="9">
        <f t="shared" si="8"/>
        <v>-2592.1586</v>
      </c>
      <c r="V45" s="18"/>
      <c r="W45" s="9"/>
      <c r="X45" s="9" t="str">
        <f t="shared" si="15"/>
        <v>...</v>
      </c>
      <c r="Y45" s="10" t="str">
        <f t="shared" si="16"/>
        <v/>
      </c>
      <c r="Z45" s="9" t="str">
        <f t="shared" si="17"/>
        <v>...</v>
      </c>
      <c r="AA45" s="15" t="str">
        <f t="shared" si="18"/>
        <v>...</v>
      </c>
      <c r="AB45" s="10" t="str">
        <f t="shared" si="19"/>
        <v>...</v>
      </c>
      <c r="AC45" s="15" t="str">
        <f t="shared" si="20"/>
        <v>...</v>
      </c>
      <c r="AD45" s="18"/>
      <c r="AE45" s="26"/>
      <c r="AF45" s="34"/>
      <c r="AG45" s="18"/>
      <c r="AH45" s="18"/>
      <c r="AI45" s="18"/>
    </row>
    <row r="46" hidden="1">
      <c r="A46" s="5" t="s">
        <v>40</v>
      </c>
      <c r="B46" s="5" t="s">
        <v>46</v>
      </c>
      <c r="C46" s="39">
        <v>44516.0</v>
      </c>
      <c r="D46" s="40" t="s">
        <v>61</v>
      </c>
      <c r="E46" s="11">
        <v>44578.0</v>
      </c>
      <c r="F46" s="41">
        <f>IF(B46=0,"...", IF(E46=0,TODAY()-C46,E46-C46))</f>
        <v>62</v>
      </c>
      <c r="G46" s="5" t="s">
        <v>43</v>
      </c>
      <c r="H46" s="42">
        <v>1.0</v>
      </c>
      <c r="I46" s="43">
        <v>8587.0</v>
      </c>
      <c r="J46" s="21">
        <v>8254.0</v>
      </c>
      <c r="K46" s="9">
        <f>IFERROR(__xludf.DUMMYFUNCTION("if(B46=0,""..."",GOOGLEFINANCE(""BCBA:""&amp;B46))"),13250.0)</f>
        <v>13250</v>
      </c>
      <c r="L46" s="44">
        <f>IF(B46=0,"...",$H46*I46)</f>
        <v>8587</v>
      </c>
      <c r="M46" s="9" t="str">
        <f>VLOOKUP(C46,CCLHistory!$A$6:$B84,2,FALSE)</f>
        <v>211,85</v>
      </c>
      <c r="N46" s="23">
        <f t="shared" si="23"/>
        <v>40.53339627</v>
      </c>
      <c r="O46" s="9">
        <f>if(B46=0,"...",$H46*(IF(D46="ABIERTA",K46,J46)*(1-VLOOKUP(A46,Config!$A$3:$B$5,2,FALSE))))</f>
        <v>8253.5873</v>
      </c>
      <c r="P46" s="9" t="str">
        <f>IF(D46="ABIERTA",Config!$D$4,VLOOKUP(E46,CCLHistory!$A$6:$B84,2,FALSE))</f>
        <v>210,25</v>
      </c>
      <c r="Q46" s="23">
        <f t="shared" si="24"/>
        <v>39.25606326</v>
      </c>
      <c r="R46" s="24">
        <f t="shared" si="5"/>
        <v>-0.03151310106</v>
      </c>
      <c r="S46" s="15">
        <f t="shared" si="6"/>
        <v>-1.277333013</v>
      </c>
      <c r="T46" s="45">
        <f>IF(B46=0,"...",O46/L46-1)</f>
        <v>-0.03882761151</v>
      </c>
      <c r="U46" s="44">
        <f>IF(B46=0,"...",O46-L46)</f>
        <v>-333.4127</v>
      </c>
      <c r="V46" s="18"/>
      <c r="W46" s="9"/>
      <c r="X46" s="9" t="str">
        <f t="shared" si="15"/>
        <v>...</v>
      </c>
      <c r="Y46" s="10" t="str">
        <f t="shared" si="16"/>
        <v/>
      </c>
      <c r="Z46" s="9" t="str">
        <f t="shared" si="17"/>
        <v>...</v>
      </c>
      <c r="AA46" s="15" t="str">
        <f t="shared" si="18"/>
        <v>...</v>
      </c>
      <c r="AB46" s="10" t="str">
        <f t="shared" si="19"/>
        <v>...</v>
      </c>
      <c r="AC46" s="15" t="str">
        <f t="shared" si="20"/>
        <v>...</v>
      </c>
      <c r="AD46" s="18"/>
      <c r="AE46" s="26"/>
      <c r="AF46" s="34"/>
      <c r="AG46" s="18"/>
      <c r="AH46" s="18"/>
      <c r="AI46" s="18"/>
    </row>
    <row r="47" hidden="1">
      <c r="A47" s="5" t="s">
        <v>40</v>
      </c>
      <c r="B47" s="5" t="s">
        <v>46</v>
      </c>
      <c r="C47" s="11">
        <v>44518.0</v>
      </c>
      <c r="D47" s="5" t="s">
        <v>61</v>
      </c>
      <c r="E47" s="11">
        <v>44579.0</v>
      </c>
      <c r="F47" s="20">
        <f t="shared" ref="F47:F84" si="26">if(B47=0,"...", IF(E47=0,today()-C47,E47-C47))</f>
        <v>61</v>
      </c>
      <c r="G47" s="5" t="s">
        <v>43</v>
      </c>
      <c r="H47" s="5">
        <v>2.0</v>
      </c>
      <c r="I47" s="21">
        <v>8344.0</v>
      </c>
      <c r="J47" s="21">
        <v>8254.0</v>
      </c>
      <c r="K47" s="9">
        <f>IFERROR(__xludf.DUMMYFUNCTION("if(B47=0,""..."",GOOGLEFINANCE(""BCBA:""&amp;B47))"),13250.0)</f>
        <v>13250</v>
      </c>
      <c r="L47" s="9">
        <f t="shared" ref="L47:L84" si="27">if(B47=0,"...",$H47*I47)</f>
        <v>16688</v>
      </c>
      <c r="M47" s="9" t="str">
        <f>VLOOKUP(C47,CCLHistory!$A$6:$B84,2,FALSE)</f>
        <v>213,32</v>
      </c>
      <c r="N47" s="23">
        <f t="shared" si="23"/>
        <v>78.22988937</v>
      </c>
      <c r="O47" s="9">
        <f>if(B47=0,"...",$H47*(IF(D47="ABIERTA",K47,J47)*(1-VLOOKUP(A47,Config!$A$3:$B$5,2,FALSE))))</f>
        <v>16507.1746</v>
      </c>
      <c r="P47" s="9" t="str">
        <f>IF(D47="ABIERTA",Config!$D$4,VLOOKUP(E47,CCLHistory!$A$6:$B84,2,FALSE))</f>
        <v>211,08</v>
      </c>
      <c r="Q47" s="23">
        <f t="shared" si="24"/>
        <v>78.2034044</v>
      </c>
      <c r="R47" s="24">
        <f t="shared" si="5"/>
        <v>-0.0003385531011</v>
      </c>
      <c r="S47" s="15">
        <f t="shared" si="6"/>
        <v>-0.02648497165</v>
      </c>
      <c r="T47" s="10">
        <f t="shared" ref="T47:T84" si="28">if(B47=0,"...",O47/L47-1)</f>
        <v>-0.01083565436</v>
      </c>
      <c r="U47" s="9">
        <f t="shared" ref="U47:U84" si="29">if(B47=0,"...",O47-L47)</f>
        <v>-180.8254</v>
      </c>
      <c r="V47" s="18"/>
      <c r="W47" s="9"/>
      <c r="X47" s="9" t="str">
        <f t="shared" si="15"/>
        <v>...</v>
      </c>
      <c r="Y47" s="10" t="str">
        <f t="shared" si="16"/>
        <v/>
      </c>
      <c r="Z47" s="9" t="str">
        <f t="shared" si="17"/>
        <v>...</v>
      </c>
      <c r="AA47" s="15" t="str">
        <f t="shared" si="18"/>
        <v>...</v>
      </c>
      <c r="AB47" s="10" t="str">
        <f t="shared" si="19"/>
        <v>...</v>
      </c>
      <c r="AC47" s="15" t="str">
        <f t="shared" si="20"/>
        <v>...</v>
      </c>
      <c r="AD47" s="18"/>
      <c r="AE47" s="26"/>
      <c r="AF47" s="34"/>
      <c r="AG47" s="18"/>
      <c r="AH47" s="18"/>
      <c r="AI47" s="18"/>
    </row>
    <row r="48" hidden="1">
      <c r="A48" s="5" t="s">
        <v>40</v>
      </c>
      <c r="B48" s="5" t="s">
        <v>49</v>
      </c>
      <c r="C48" s="11">
        <v>44425.0</v>
      </c>
      <c r="D48" s="5" t="s">
        <v>61</v>
      </c>
      <c r="E48" s="11">
        <v>44516.0</v>
      </c>
      <c r="F48" s="20">
        <f t="shared" si="26"/>
        <v>91</v>
      </c>
      <c r="G48" s="5" t="s">
        <v>43</v>
      </c>
      <c r="H48" s="5">
        <v>3.0</v>
      </c>
      <c r="I48" s="21">
        <v>6155.5</v>
      </c>
      <c r="J48" s="21">
        <v>7133.9</v>
      </c>
      <c r="K48" s="9">
        <f>IFERROR(__xludf.DUMMYFUNCTION("if(B48=0,""..."",GOOGLEFINANCE(""BCBA:""&amp;B48))"),20200.0)</f>
        <v>20200</v>
      </c>
      <c r="L48" s="9">
        <f t="shared" si="27"/>
        <v>18466.5</v>
      </c>
      <c r="M48" s="9" t="str">
        <f>VLOOKUP(C48,CCLHistory!$A$6:$B84,2,FALSE)</f>
        <v>177,07</v>
      </c>
      <c r="N48" s="23">
        <f t="shared" si="23"/>
        <v>104.2892641</v>
      </c>
      <c r="O48" s="9">
        <f>if(B48=0,"...",$H48*(IF(D48="ABIERTA",K48,J48)*(1-VLOOKUP(A48,Config!$A$3:$B$5,2,FALSE))))</f>
        <v>21400.62992</v>
      </c>
      <c r="P48" s="9" t="str">
        <f>IF(D48="ABIERTA",Config!$D$4,VLOOKUP(E48,CCLHistory!$A$6:$B84,2,FALSE))</f>
        <v>211,85</v>
      </c>
      <c r="Q48" s="23">
        <f t="shared" si="24"/>
        <v>101.0178424</v>
      </c>
      <c r="R48" s="24">
        <f t="shared" si="5"/>
        <v>-0.03136872954</v>
      </c>
      <c r="S48" s="15">
        <f t="shared" si="6"/>
        <v>-3.271421721</v>
      </c>
      <c r="T48" s="10">
        <f t="shared" si="28"/>
        <v>0.1588893356</v>
      </c>
      <c r="U48" s="9">
        <f t="shared" si="29"/>
        <v>2934.129915</v>
      </c>
      <c r="V48" s="18"/>
      <c r="W48" s="9"/>
      <c r="X48" s="9" t="str">
        <f t="shared" si="15"/>
        <v>...</v>
      </c>
      <c r="Y48" s="10" t="str">
        <f t="shared" si="16"/>
        <v/>
      </c>
      <c r="Z48" s="9" t="str">
        <f t="shared" si="17"/>
        <v>...</v>
      </c>
      <c r="AA48" s="15" t="str">
        <f t="shared" si="18"/>
        <v>...</v>
      </c>
      <c r="AB48" s="10" t="str">
        <f t="shared" si="19"/>
        <v>...</v>
      </c>
      <c r="AC48" s="15" t="str">
        <f t="shared" si="20"/>
        <v>...</v>
      </c>
      <c r="AD48" s="18"/>
      <c r="AE48" s="26"/>
      <c r="AF48" s="34"/>
      <c r="AG48" s="18"/>
      <c r="AH48" s="18"/>
      <c r="AI48" s="18"/>
    </row>
    <row r="49" hidden="1">
      <c r="A49" s="5" t="s">
        <v>40</v>
      </c>
      <c r="B49" s="5" t="s">
        <v>49</v>
      </c>
      <c r="C49" s="11">
        <v>44459.0</v>
      </c>
      <c r="D49" s="5" t="s">
        <v>61</v>
      </c>
      <c r="E49" s="11">
        <v>44517.0</v>
      </c>
      <c r="F49" s="20">
        <f t="shared" si="26"/>
        <v>58</v>
      </c>
      <c r="G49" s="5" t="s">
        <v>43</v>
      </c>
      <c r="H49" s="5">
        <v>2.0</v>
      </c>
      <c r="I49" s="21">
        <v>5925.0</v>
      </c>
      <c r="J49" s="21">
        <v>7133.9</v>
      </c>
      <c r="K49" s="9">
        <f>IFERROR(__xludf.DUMMYFUNCTION("if(B49=0,""..."",GOOGLEFINANCE(""BCBA:""&amp;B49))"),20200.0)</f>
        <v>20200</v>
      </c>
      <c r="L49" s="9">
        <f t="shared" si="27"/>
        <v>11850</v>
      </c>
      <c r="M49" s="9" t="str">
        <f>VLOOKUP(C49,CCLHistory!$A$6:$B84,2,FALSE)</f>
        <v>185,38</v>
      </c>
      <c r="N49" s="23">
        <f t="shared" si="23"/>
        <v>63.92275326</v>
      </c>
      <c r="O49" s="9">
        <f>if(B49=0,"...",$H49*(IF(D49="ABIERTA",K49,J49)*(1-VLOOKUP(A49,Config!$A$3:$B$5,2,FALSE))))</f>
        <v>14267.08661</v>
      </c>
      <c r="P49" s="9" t="str">
        <f>IF(D49="ABIERTA",Config!$D$4,VLOOKUP(E49,CCLHistory!$A$6:$B84,2,FALSE))</f>
        <v>212,66</v>
      </c>
      <c r="Q49" s="23">
        <f t="shared" si="24"/>
        <v>67.08871725</v>
      </c>
      <c r="R49" s="24">
        <f t="shared" si="5"/>
        <v>0.04952796654</v>
      </c>
      <c r="S49" s="15">
        <f t="shared" si="6"/>
        <v>3.165963985</v>
      </c>
      <c r="T49" s="10">
        <f t="shared" si="28"/>
        <v>0.2039735536</v>
      </c>
      <c r="U49" s="9">
        <f t="shared" si="29"/>
        <v>2417.08661</v>
      </c>
      <c r="V49" s="18"/>
      <c r="W49" s="9"/>
      <c r="X49" s="9" t="str">
        <f t="shared" si="15"/>
        <v>...</v>
      </c>
      <c r="Y49" s="10" t="str">
        <f t="shared" si="16"/>
        <v/>
      </c>
      <c r="Z49" s="9" t="str">
        <f t="shared" si="17"/>
        <v>...</v>
      </c>
      <c r="AA49" s="15" t="str">
        <f t="shared" si="18"/>
        <v>...</v>
      </c>
      <c r="AB49" s="10" t="str">
        <f t="shared" si="19"/>
        <v>...</v>
      </c>
      <c r="AC49" s="15" t="str">
        <f t="shared" si="20"/>
        <v>...</v>
      </c>
      <c r="AD49" s="18"/>
      <c r="AE49" s="26"/>
      <c r="AF49" s="34"/>
      <c r="AG49" s="18"/>
      <c r="AH49" s="18"/>
      <c r="AI49" s="18"/>
    </row>
    <row r="50" hidden="1">
      <c r="A50" s="5" t="s">
        <v>40</v>
      </c>
      <c r="B50" s="5" t="s">
        <v>49</v>
      </c>
      <c r="C50" s="11">
        <v>44533.0</v>
      </c>
      <c r="D50" s="5" t="s">
        <v>61</v>
      </c>
      <c r="E50" s="11">
        <v>44578.0</v>
      </c>
      <c r="F50" s="20">
        <f t="shared" si="26"/>
        <v>45</v>
      </c>
      <c r="G50" s="5" t="s">
        <v>43</v>
      </c>
      <c r="H50" s="5">
        <v>5.0</v>
      </c>
      <c r="I50" s="21">
        <v>6865.0</v>
      </c>
      <c r="J50" s="21">
        <v>7090.0</v>
      </c>
      <c r="K50" s="9">
        <f>IFERROR(__xludf.DUMMYFUNCTION("if(B50=0,""..."",GOOGLEFINANCE(""BCBA:""&amp;B50))"),20200.0)</f>
        <v>20200</v>
      </c>
      <c r="L50" s="9">
        <f t="shared" si="27"/>
        <v>34325</v>
      </c>
      <c r="M50" s="9" t="str">
        <f>VLOOKUP(C50,CCLHistory!$A$6:$B84,2,FALSE)</f>
        <v>218,34</v>
      </c>
      <c r="N50" s="23">
        <f t="shared" si="23"/>
        <v>157.2089402</v>
      </c>
      <c r="O50" s="9">
        <f>if(B50=0,"...",$H50*(IF(D50="ABIERTA",K50,J50)*(1-VLOOKUP(A50,Config!$A$3:$B$5,2,FALSE))))</f>
        <v>35448.2275</v>
      </c>
      <c r="P50" s="9" t="str">
        <f>IF(D50="ABIERTA",Config!$D$4,VLOOKUP(E50,CCLHistory!$A$6:$B84,2,FALSE))</f>
        <v>210,25</v>
      </c>
      <c r="Q50" s="23">
        <f t="shared" si="24"/>
        <v>168.6003686</v>
      </c>
      <c r="R50" s="24">
        <f t="shared" si="5"/>
        <v>0.07246043648</v>
      </c>
      <c r="S50" s="15">
        <f t="shared" si="6"/>
        <v>11.39142842</v>
      </c>
      <c r="T50" s="10">
        <f t="shared" si="28"/>
        <v>0.03272330663</v>
      </c>
      <c r="U50" s="9">
        <f t="shared" si="29"/>
        <v>1123.2275</v>
      </c>
      <c r="V50" s="18"/>
      <c r="W50" s="9"/>
      <c r="X50" s="9" t="str">
        <f t="shared" si="15"/>
        <v>...</v>
      </c>
      <c r="Y50" s="10" t="str">
        <f t="shared" si="16"/>
        <v/>
      </c>
      <c r="Z50" s="9" t="str">
        <f t="shared" si="17"/>
        <v>...</v>
      </c>
      <c r="AA50" s="15" t="str">
        <f t="shared" si="18"/>
        <v>...</v>
      </c>
      <c r="AB50" s="10" t="str">
        <f t="shared" si="19"/>
        <v>...</v>
      </c>
      <c r="AC50" s="15" t="str">
        <f t="shared" si="20"/>
        <v>...</v>
      </c>
      <c r="AD50" s="18"/>
      <c r="AE50" s="26"/>
      <c r="AF50" s="34"/>
      <c r="AG50" s="18"/>
      <c r="AH50" s="18"/>
      <c r="AI50" s="18"/>
    </row>
    <row r="51" hidden="1">
      <c r="A51" s="5" t="s">
        <v>40</v>
      </c>
      <c r="B51" s="5" t="s">
        <v>50</v>
      </c>
      <c r="C51" s="11">
        <v>44582.0</v>
      </c>
      <c r="D51" s="5" t="s">
        <v>61</v>
      </c>
      <c r="E51" s="11">
        <v>44707.0</v>
      </c>
      <c r="F51" s="20">
        <f t="shared" si="26"/>
        <v>125</v>
      </c>
      <c r="G51" s="5" t="s">
        <v>43</v>
      </c>
      <c r="H51" s="5">
        <v>4.0</v>
      </c>
      <c r="I51" s="21">
        <v>3075.0</v>
      </c>
      <c r="J51" s="21">
        <v>2938.0</v>
      </c>
      <c r="K51" s="9">
        <f>IFERROR(__xludf.DUMMYFUNCTION("if(B51=0,""..."",GOOGLEFINANCE(""BCBA:""&amp;B51))"),34340.0)</f>
        <v>34340</v>
      </c>
      <c r="L51" s="9">
        <f t="shared" si="27"/>
        <v>12300</v>
      </c>
      <c r="M51" s="9" t="str">
        <f>VLOOKUP(C51,CCLHistory!$A$6:$B84,2,FALSE)</f>
        <v>225,1</v>
      </c>
      <c r="N51" s="23">
        <f t="shared" si="23"/>
        <v>54.64238116</v>
      </c>
      <c r="O51" s="9">
        <f>if(B51=0,"...",$H51*(IF(D51="ABIERTA",K51,J51)*(1-VLOOKUP(A51,Config!$A$3:$B$5,2,FALSE))))</f>
        <v>11751.4124</v>
      </c>
      <c r="P51" s="9" t="str">
        <f>IF(D51="ABIERTA",Config!$D$4,VLOOKUP(E51,CCLHistory!$A$6:$B84,2,FALSE))</f>
        <v>214,35</v>
      </c>
      <c r="Q51" s="23">
        <f t="shared" si="24"/>
        <v>54.82347749</v>
      </c>
      <c r="R51" s="24">
        <f t="shared" si="5"/>
        <v>0.003314210001</v>
      </c>
      <c r="S51" s="15">
        <f t="shared" si="6"/>
        <v>0.1810963262</v>
      </c>
      <c r="T51" s="10">
        <f t="shared" si="28"/>
        <v>-0.04460061789</v>
      </c>
      <c r="U51" s="9">
        <f t="shared" si="29"/>
        <v>-548.5876</v>
      </c>
      <c r="V51" s="18"/>
      <c r="W51" s="46"/>
      <c r="X51" s="46"/>
      <c r="Y51" s="7"/>
      <c r="Z51" s="46"/>
      <c r="AA51" s="47"/>
      <c r="AB51" s="7"/>
      <c r="AC51" s="47"/>
      <c r="AD51" s="18"/>
      <c r="AE51" s="26"/>
      <c r="AF51" s="34"/>
      <c r="AG51" s="18"/>
      <c r="AH51" s="18"/>
      <c r="AI51" s="18"/>
    </row>
    <row r="52" hidden="1">
      <c r="A52" s="5" t="s">
        <v>40</v>
      </c>
      <c r="B52" s="5" t="s">
        <v>50</v>
      </c>
      <c r="C52" s="11">
        <v>44582.0</v>
      </c>
      <c r="D52" s="5" t="s">
        <v>61</v>
      </c>
      <c r="E52" s="11">
        <v>44697.0</v>
      </c>
      <c r="F52" s="20">
        <f t="shared" si="26"/>
        <v>115</v>
      </c>
      <c r="G52" s="5" t="s">
        <v>43</v>
      </c>
      <c r="H52" s="5">
        <v>7.0</v>
      </c>
      <c r="I52" s="21">
        <v>3073.0</v>
      </c>
      <c r="J52" s="21">
        <v>2876.0</v>
      </c>
      <c r="K52" s="9">
        <f>IFERROR(__xludf.DUMMYFUNCTION("if(B52=0,""..."",GOOGLEFINANCE(""BCBA:""&amp;B52))"),34340.0)</f>
        <v>34340</v>
      </c>
      <c r="L52" s="9">
        <f t="shared" si="27"/>
        <v>21511</v>
      </c>
      <c r="M52" s="9" t="str">
        <f>VLOOKUP(C52,CCLHistory!$A$6:$B84,2,FALSE)</f>
        <v>225,1</v>
      </c>
      <c r="N52" s="23">
        <f t="shared" si="23"/>
        <v>95.56197246</v>
      </c>
      <c r="O52" s="9">
        <f>if(B52=0,"...",$H52*(IF(D52="ABIERTA",K52,J52)*(1-VLOOKUP(A52,Config!$A$3:$B$5,2,FALSE))))</f>
        <v>20130.9934</v>
      </c>
      <c r="P52" s="9" t="str">
        <f>IF(D52="ABIERTA",Config!$D$4,VLOOKUP(E52,CCLHistory!$A$6:$B84,2,FALSE))</f>
        <v>213,54</v>
      </c>
      <c r="Q52" s="23">
        <f t="shared" si="24"/>
        <v>94.27270488</v>
      </c>
      <c r="R52" s="24">
        <f t="shared" si="5"/>
        <v>-0.01349142911</v>
      </c>
      <c r="S52" s="15">
        <f t="shared" si="6"/>
        <v>-1.289267577</v>
      </c>
      <c r="T52" s="10">
        <f t="shared" si="28"/>
        <v>-0.06415353075</v>
      </c>
      <c r="U52" s="9">
        <f t="shared" si="29"/>
        <v>-1380.0066</v>
      </c>
      <c r="V52" s="18"/>
      <c r="W52" s="46"/>
      <c r="X52" s="46"/>
      <c r="Y52" s="7"/>
      <c r="Z52" s="46"/>
      <c r="AA52" s="47"/>
      <c r="AB52" s="7"/>
      <c r="AC52" s="47"/>
      <c r="AD52" s="18"/>
      <c r="AE52" s="26"/>
      <c r="AF52" s="34"/>
      <c r="AG52" s="18"/>
      <c r="AH52" s="18"/>
      <c r="AI52" s="18"/>
    </row>
    <row r="53" hidden="1">
      <c r="A53" s="5" t="s">
        <v>40</v>
      </c>
      <c r="B53" s="5" t="s">
        <v>50</v>
      </c>
      <c r="C53" s="11">
        <v>44649.0</v>
      </c>
      <c r="D53" s="5" t="s">
        <v>61</v>
      </c>
      <c r="E53" s="11">
        <v>44707.0</v>
      </c>
      <c r="F53" s="20">
        <f t="shared" si="26"/>
        <v>58</v>
      </c>
      <c r="G53" s="5" t="s">
        <v>43</v>
      </c>
      <c r="H53" s="5">
        <v>6.0</v>
      </c>
      <c r="I53" s="21">
        <v>3245.0</v>
      </c>
      <c r="J53" s="21">
        <v>2938.0</v>
      </c>
      <c r="K53" s="9">
        <f>IFERROR(__xludf.DUMMYFUNCTION("if(B53=0,""..."",GOOGLEFINANCE(""BCBA:""&amp;B53))"),34340.0)</f>
        <v>34340</v>
      </c>
      <c r="L53" s="9">
        <f t="shared" si="27"/>
        <v>19470</v>
      </c>
      <c r="M53" s="9" t="str">
        <f>VLOOKUP(C53,CCLHistory!$A$6:$B84,2,FALSE)</f>
        <v>191,52</v>
      </c>
      <c r="N53" s="23">
        <f t="shared" si="23"/>
        <v>101.660401</v>
      </c>
      <c r="O53" s="9">
        <f>if(B53=0,"...",$H53*(IF(D53="ABIERTA",K53,J53)*(1-VLOOKUP(A53,Config!$A$3:$B$5,2,FALSE))))</f>
        <v>17627.1186</v>
      </c>
      <c r="P53" s="9" t="str">
        <f>IF(D53="ABIERTA",Config!$D$4,VLOOKUP(E53,CCLHistory!$A$6:$B84,2,FALSE))</f>
        <v>214,35</v>
      </c>
      <c r="Q53" s="23">
        <f t="shared" si="24"/>
        <v>82.23521624</v>
      </c>
      <c r="R53" s="24">
        <f t="shared" si="5"/>
        <v>-0.1910791673</v>
      </c>
      <c r="S53" s="15">
        <f t="shared" si="6"/>
        <v>-19.42518477</v>
      </c>
      <c r="T53" s="10">
        <f t="shared" si="28"/>
        <v>-0.09465235747</v>
      </c>
      <c r="U53" s="9">
        <f t="shared" si="29"/>
        <v>-1842.8814</v>
      </c>
      <c r="V53" s="18"/>
      <c r="W53" s="46"/>
      <c r="X53" s="46"/>
      <c r="Y53" s="7"/>
      <c r="Z53" s="46"/>
      <c r="AA53" s="47"/>
      <c r="AB53" s="7"/>
      <c r="AC53" s="47"/>
      <c r="AD53" s="18"/>
      <c r="AE53" s="26"/>
      <c r="AF53" s="34"/>
      <c r="AG53" s="18"/>
      <c r="AH53" s="18"/>
      <c r="AI53" s="18"/>
    </row>
    <row r="54" hidden="1">
      <c r="A54" s="5" t="s">
        <v>40</v>
      </c>
      <c r="B54" s="5" t="s">
        <v>50</v>
      </c>
      <c r="C54" s="11">
        <v>44693.0</v>
      </c>
      <c r="D54" s="5" t="s">
        <v>61</v>
      </c>
      <c r="E54" s="11">
        <v>44697.0</v>
      </c>
      <c r="F54" s="20">
        <f t="shared" si="26"/>
        <v>4</v>
      </c>
      <c r="G54" s="5" t="s">
        <v>43</v>
      </c>
      <c r="H54" s="5">
        <v>2.0</v>
      </c>
      <c r="I54" s="21">
        <v>2948.0</v>
      </c>
      <c r="J54" s="21">
        <v>2876.0</v>
      </c>
      <c r="K54" s="9">
        <f>IFERROR(__xludf.DUMMYFUNCTION("if(B54=0,""..."",GOOGLEFINANCE(""BCBA:""&amp;B54))"),34340.0)</f>
        <v>34340</v>
      </c>
      <c r="L54" s="9">
        <f t="shared" si="27"/>
        <v>5896</v>
      </c>
      <c r="M54" s="9" t="str">
        <f>VLOOKUP(C54,CCLHistory!$A$6:$B84,2,FALSE)</f>
        <v>209,81</v>
      </c>
      <c r="N54" s="23">
        <f t="shared" si="23"/>
        <v>28.10161575</v>
      </c>
      <c r="O54" s="9">
        <f>if(B54=0,"...",$H54*(IF(D54="ABIERTA",K54,J54)*(1-VLOOKUP(A54,Config!$A$3:$B$5,2,FALSE))))</f>
        <v>5751.7124</v>
      </c>
      <c r="P54" s="9" t="str">
        <f>IF(D54="ABIERTA",Config!$D$4,VLOOKUP(E54,CCLHistory!$A$6:$B84,2,FALSE))</f>
        <v>213,54</v>
      </c>
      <c r="Q54" s="23">
        <f t="shared" si="24"/>
        <v>26.93505854</v>
      </c>
      <c r="R54" s="24">
        <f t="shared" si="5"/>
        <v>-0.04151210454</v>
      </c>
      <c r="S54" s="15">
        <f t="shared" si="6"/>
        <v>-1.166557211</v>
      </c>
      <c r="T54" s="10">
        <f t="shared" si="28"/>
        <v>-0.02447211669</v>
      </c>
      <c r="U54" s="9">
        <f t="shared" si="29"/>
        <v>-144.2876</v>
      </c>
      <c r="V54" s="18"/>
      <c r="W54" s="46"/>
      <c r="X54" s="46"/>
      <c r="Y54" s="7"/>
      <c r="Z54" s="46"/>
      <c r="AA54" s="47"/>
      <c r="AB54" s="7"/>
      <c r="AC54" s="47"/>
      <c r="AD54" s="18"/>
      <c r="AE54" s="26"/>
      <c r="AF54" s="34"/>
      <c r="AG54" s="18"/>
      <c r="AH54" s="18"/>
      <c r="AI54" s="18"/>
    </row>
    <row r="55" hidden="1">
      <c r="A55" s="5" t="s">
        <v>40</v>
      </c>
      <c r="B55" s="5" t="s">
        <v>51</v>
      </c>
      <c r="C55" s="11">
        <v>44600.0</v>
      </c>
      <c r="D55" s="5" t="s">
        <v>61</v>
      </c>
      <c r="E55" s="11">
        <v>45126.0</v>
      </c>
      <c r="F55" s="20">
        <f t="shared" si="26"/>
        <v>526</v>
      </c>
      <c r="G55" s="5" t="s">
        <v>43</v>
      </c>
      <c r="H55" s="5">
        <v>24.0</v>
      </c>
      <c r="I55" s="21">
        <v>804.4375</v>
      </c>
      <c r="J55" s="21">
        <v>2425.0</v>
      </c>
      <c r="K55" s="9">
        <f>IFERROR(__xludf.DUMMYFUNCTION("if(B55=0,""..."",GOOGLEFINANCE(""BCBA:""&amp;B55))"),29860.0)</f>
        <v>29860</v>
      </c>
      <c r="L55" s="9">
        <f t="shared" si="27"/>
        <v>19306.5</v>
      </c>
      <c r="M55" s="9" t="str">
        <f>VLOOKUP(C55,CCLHistory!$A$6:$B84,2,FALSE)</f>
        <v>215,04</v>
      </c>
      <c r="N55" s="23">
        <f t="shared" si="23"/>
        <v>89.78097098</v>
      </c>
      <c r="O55" s="9">
        <f>if(B55=0,"...",$H55*(IF(D55="ABIERTA",K55,J55)*(1-VLOOKUP(A55,Config!$A$3:$B$5,2,FALSE))))</f>
        <v>58197.09</v>
      </c>
      <c r="P55" s="9" t="str">
        <f>IF(D55="ABIERTA",Config!$D$4,VLOOKUP(E55,CCLHistory!$A$6:$B84,2,FALSE))</f>
        <v>528,27</v>
      </c>
      <c r="Q55" s="23">
        <f t="shared" si="24"/>
        <v>110.1654268</v>
      </c>
      <c r="R55" s="24">
        <f t="shared" si="5"/>
        <v>0.2270465062</v>
      </c>
      <c r="S55" s="15">
        <f t="shared" si="6"/>
        <v>20.38445579</v>
      </c>
      <c r="T55" s="10">
        <f t="shared" si="28"/>
        <v>2.014378059</v>
      </c>
      <c r="U55" s="9">
        <f t="shared" si="29"/>
        <v>38890.59</v>
      </c>
      <c r="V55" s="18"/>
      <c r="W55" s="46"/>
      <c r="X55" s="46"/>
      <c r="Y55" s="7"/>
      <c r="Z55" s="46"/>
      <c r="AA55" s="47"/>
      <c r="AB55" s="7"/>
      <c r="AC55" s="47"/>
      <c r="AD55" s="18"/>
      <c r="AE55" s="26"/>
      <c r="AF55" s="34"/>
      <c r="AG55" s="18"/>
      <c r="AH55" s="18"/>
      <c r="AI55" s="18"/>
    </row>
    <row r="56" hidden="1">
      <c r="A56" s="5" t="s">
        <v>40</v>
      </c>
      <c r="B56" s="5" t="s">
        <v>51</v>
      </c>
      <c r="C56" s="11">
        <v>44649.0</v>
      </c>
      <c r="D56" s="5" t="s">
        <v>61</v>
      </c>
      <c r="E56" s="11">
        <v>45126.0</v>
      </c>
      <c r="F56" s="20">
        <f t="shared" si="26"/>
        <v>477</v>
      </c>
      <c r="G56" s="5" t="s">
        <v>43</v>
      </c>
      <c r="H56" s="5">
        <v>11.0</v>
      </c>
      <c r="I56" s="21">
        <v>1038.0</v>
      </c>
      <c r="J56" s="21">
        <v>2425.0</v>
      </c>
      <c r="K56" s="9">
        <f>IFERROR(__xludf.DUMMYFUNCTION("if(B56=0,""..."",GOOGLEFINANCE(""BCBA:""&amp;B56))"),29860.0)</f>
        <v>29860</v>
      </c>
      <c r="L56" s="9">
        <f t="shared" si="27"/>
        <v>11418</v>
      </c>
      <c r="M56" s="9" t="str">
        <f>VLOOKUP(C56,CCLHistory!$A$6:$B84,2,FALSE)</f>
        <v>191,52</v>
      </c>
      <c r="N56" s="23">
        <f t="shared" si="23"/>
        <v>59.61779449</v>
      </c>
      <c r="O56" s="9">
        <f>if(B56=0,"...",$H56*(IF(D56="ABIERTA",K56,J56)*(1-VLOOKUP(A56,Config!$A$3:$B$5,2,FALSE))))</f>
        <v>26673.66625</v>
      </c>
      <c r="P56" s="9" t="str">
        <f>IF(D56="ABIERTA",Config!$D$4,VLOOKUP(E56,CCLHistory!$A$6:$B84,2,FALSE))</f>
        <v>528,27</v>
      </c>
      <c r="Q56" s="23">
        <f t="shared" si="24"/>
        <v>50.49248727</v>
      </c>
      <c r="R56" s="24">
        <f t="shared" si="5"/>
        <v>-0.1530634821</v>
      </c>
      <c r="S56" s="15">
        <f t="shared" si="6"/>
        <v>-9.125307216</v>
      </c>
      <c r="T56" s="10">
        <f t="shared" si="28"/>
        <v>1.336106696</v>
      </c>
      <c r="U56" s="9">
        <f t="shared" si="29"/>
        <v>15255.66625</v>
      </c>
      <c r="V56" s="18"/>
      <c r="W56" s="46"/>
      <c r="X56" s="46"/>
      <c r="Y56" s="7"/>
      <c r="Z56" s="46"/>
      <c r="AA56" s="47"/>
      <c r="AB56" s="7"/>
      <c r="AC56" s="47"/>
      <c r="AD56" s="18"/>
      <c r="AE56" s="26"/>
      <c r="AF56" s="34"/>
      <c r="AG56" s="18"/>
      <c r="AH56" s="18"/>
      <c r="AI56" s="18"/>
    </row>
    <row r="57" hidden="1">
      <c r="A57" s="5" t="s">
        <v>40</v>
      </c>
      <c r="B57" s="5" t="s">
        <v>51</v>
      </c>
      <c r="C57" s="11">
        <v>44701.0</v>
      </c>
      <c r="D57" s="5" t="s">
        <v>61</v>
      </c>
      <c r="E57" s="11">
        <v>45126.0</v>
      </c>
      <c r="F57" s="20">
        <f t="shared" si="26"/>
        <v>425</v>
      </c>
      <c r="G57" s="5" t="s">
        <v>43</v>
      </c>
      <c r="H57" s="5">
        <v>13.0</v>
      </c>
      <c r="I57" s="21">
        <v>760.0</v>
      </c>
      <c r="J57" s="21">
        <v>2425.0</v>
      </c>
      <c r="K57" s="9">
        <f>IFERROR(__xludf.DUMMYFUNCTION("if(B57=0,""..."",GOOGLEFINANCE(""BCBA:""&amp;B57))"),29860.0)</f>
        <v>29860</v>
      </c>
      <c r="L57" s="9">
        <f t="shared" si="27"/>
        <v>9880</v>
      </c>
      <c r="M57" s="9" t="str">
        <f>VLOOKUP(C57,CCLHistory!$A$6:$B84,2,FALSE)</f>
        <v>211,22</v>
      </c>
      <c r="N57" s="23">
        <f t="shared" si="23"/>
        <v>46.7758735</v>
      </c>
      <c r="O57" s="9">
        <f>if(B57=0,"...",$H57*(IF(D57="ABIERTA",K57,J57)*(1-VLOOKUP(A57,Config!$A$3:$B$5,2,FALSE))))</f>
        <v>31523.42375</v>
      </c>
      <c r="P57" s="9" t="str">
        <f>IF(D57="ABIERTA",Config!$D$4,VLOOKUP(E57,CCLHistory!$A$6:$B84,2,FALSE))</f>
        <v>528,27</v>
      </c>
      <c r="Q57" s="23">
        <f t="shared" si="24"/>
        <v>59.6729395</v>
      </c>
      <c r="R57" s="24">
        <f t="shared" si="5"/>
        <v>0.2757204738</v>
      </c>
      <c r="S57" s="15">
        <f t="shared" si="6"/>
        <v>12.897066</v>
      </c>
      <c r="T57" s="10">
        <f t="shared" si="28"/>
        <v>2.190629934</v>
      </c>
      <c r="U57" s="9">
        <f t="shared" si="29"/>
        <v>21643.42375</v>
      </c>
      <c r="V57" s="18"/>
      <c r="W57" s="46"/>
      <c r="X57" s="46"/>
      <c r="Y57" s="7"/>
      <c r="Z57" s="46"/>
      <c r="AA57" s="47"/>
      <c r="AB57" s="7"/>
      <c r="AC57" s="47"/>
      <c r="AD57" s="18"/>
      <c r="AE57" s="26"/>
      <c r="AF57" s="34"/>
      <c r="AG57" s="18"/>
      <c r="AH57" s="18"/>
      <c r="AI57" s="18"/>
    </row>
    <row r="58" hidden="1">
      <c r="A58" s="5" t="s">
        <v>40</v>
      </c>
      <c r="B58" s="5" t="s">
        <v>52</v>
      </c>
      <c r="C58" s="11">
        <v>44133.0</v>
      </c>
      <c r="D58" s="5" t="s">
        <v>61</v>
      </c>
      <c r="E58" s="11">
        <v>44425.0</v>
      </c>
      <c r="F58" s="20">
        <f t="shared" si="26"/>
        <v>292</v>
      </c>
      <c r="G58" s="5" t="s">
        <v>43</v>
      </c>
      <c r="H58" s="5">
        <v>2.0</v>
      </c>
      <c r="I58" s="21">
        <v>1530.0</v>
      </c>
      <c r="J58" s="21">
        <v>1896.5</v>
      </c>
      <c r="K58" s="9">
        <f>IFERROR(__xludf.DUMMYFUNCTION("if(B58=0,""..."",GOOGLEFINANCE(""BCBA:""&amp;B58))"),12660.0)</f>
        <v>12660</v>
      </c>
      <c r="L58" s="9">
        <f t="shared" si="27"/>
        <v>3060</v>
      </c>
      <c r="M58" s="9" t="str">
        <f>VLOOKUP(C58,CCLHistory!$A$6:$B84,2,FALSE)</f>
        <v>159,83</v>
      </c>
      <c r="N58" s="23">
        <f t="shared" si="23"/>
        <v>19.14534193</v>
      </c>
      <c r="O58" s="9">
        <f>if(B58=0,"...",$H58*(IF(D58="ABIERTA",K58,J58)*(1-VLOOKUP(A58,Config!$A$3:$B$5,2,FALSE))))</f>
        <v>3792.81035</v>
      </c>
      <c r="P58" s="9" t="str">
        <f>IF(D58="ABIERTA",Config!$D$4,VLOOKUP(E58,CCLHistory!$A$6:$B84,2,FALSE))</f>
        <v>177,07</v>
      </c>
      <c r="Q58" s="23">
        <f t="shared" si="24"/>
        <v>21.41983594</v>
      </c>
      <c r="R58" s="24">
        <f t="shared" si="5"/>
        <v>0.1188014308</v>
      </c>
      <c r="S58" s="15">
        <f t="shared" si="6"/>
        <v>2.274494015</v>
      </c>
      <c r="T58" s="10">
        <f t="shared" si="28"/>
        <v>0.2394805065</v>
      </c>
      <c r="U58" s="9">
        <f t="shared" si="29"/>
        <v>732.81035</v>
      </c>
      <c r="V58" s="18"/>
      <c r="W58" s="46"/>
      <c r="X58" s="46"/>
      <c r="Y58" s="7"/>
      <c r="Z58" s="46"/>
      <c r="AA58" s="47"/>
      <c r="AB58" s="7"/>
      <c r="AC58" s="47"/>
      <c r="AD58" s="18"/>
      <c r="AE58" s="26"/>
      <c r="AF58" s="34"/>
      <c r="AG58" s="18"/>
      <c r="AH58" s="18"/>
      <c r="AI58" s="18"/>
    </row>
    <row r="59" hidden="1">
      <c r="A59" s="5" t="s">
        <v>40</v>
      </c>
      <c r="B59" s="5" t="s">
        <v>52</v>
      </c>
      <c r="C59" s="11">
        <v>44138.0</v>
      </c>
      <c r="D59" s="5" t="s">
        <v>61</v>
      </c>
      <c r="E59" s="11">
        <v>44425.0</v>
      </c>
      <c r="F59" s="20">
        <f t="shared" si="26"/>
        <v>287</v>
      </c>
      <c r="G59" s="5" t="s">
        <v>43</v>
      </c>
      <c r="H59" s="5">
        <v>1.0</v>
      </c>
      <c r="I59" s="21">
        <v>1362.5</v>
      </c>
      <c r="J59" s="21">
        <v>1896.5</v>
      </c>
      <c r="K59" s="9">
        <f>IFERROR(__xludf.DUMMYFUNCTION("if(B59=0,""..."",GOOGLEFINANCE(""BCBA:""&amp;B59))"),12660.0)</f>
        <v>12660</v>
      </c>
      <c r="L59" s="9">
        <f t="shared" si="27"/>
        <v>1362.5</v>
      </c>
      <c r="M59" s="9" t="str">
        <f>VLOOKUP(C59,CCLHistory!$A$6:$B84,2,FALSE)</f>
        <v>153,9</v>
      </c>
      <c r="N59" s="23">
        <f t="shared" si="23"/>
        <v>8.853151397</v>
      </c>
      <c r="O59" s="9">
        <f>if(B59=0,"...",$H59*(IF(D59="ABIERTA",K59,J59)*(1-VLOOKUP(A59,Config!$A$3:$B$5,2,FALSE))))</f>
        <v>1896.405175</v>
      </c>
      <c r="P59" s="9" t="str">
        <f>IF(D59="ABIERTA",Config!$D$4,VLOOKUP(E59,CCLHistory!$A$6:$B84,2,FALSE))</f>
        <v>177,07</v>
      </c>
      <c r="Q59" s="23">
        <f t="shared" si="24"/>
        <v>10.70991797</v>
      </c>
      <c r="R59" s="24">
        <f t="shared" si="5"/>
        <v>0.20972945</v>
      </c>
      <c r="S59" s="15">
        <f t="shared" si="6"/>
        <v>1.856766573</v>
      </c>
      <c r="T59" s="10">
        <f t="shared" si="28"/>
        <v>0.3918570092</v>
      </c>
      <c r="U59" s="9">
        <f t="shared" si="29"/>
        <v>533.905175</v>
      </c>
      <c r="V59" s="18"/>
      <c r="W59" s="46"/>
      <c r="X59" s="46"/>
      <c r="Y59" s="7"/>
      <c r="Z59" s="46"/>
      <c r="AA59" s="47"/>
      <c r="AB59" s="7"/>
      <c r="AC59" s="47"/>
      <c r="AD59" s="18"/>
      <c r="AE59" s="26"/>
      <c r="AF59" s="34"/>
      <c r="AG59" s="18"/>
      <c r="AH59" s="18"/>
      <c r="AI59" s="18"/>
    </row>
    <row r="60" hidden="1">
      <c r="A60" s="5" t="s">
        <v>40</v>
      </c>
      <c r="B60" s="5" t="s">
        <v>52</v>
      </c>
      <c r="C60" s="11">
        <v>44322.0</v>
      </c>
      <c r="D60" s="5" t="s">
        <v>61</v>
      </c>
      <c r="E60" s="11">
        <v>44425.0</v>
      </c>
      <c r="F60" s="20">
        <f t="shared" si="26"/>
        <v>103</v>
      </c>
      <c r="G60" s="5" t="s">
        <v>43</v>
      </c>
      <c r="H60" s="5">
        <v>1.0</v>
      </c>
      <c r="I60" s="21">
        <v>1830.5</v>
      </c>
      <c r="J60" s="21">
        <v>1896.5</v>
      </c>
      <c r="K60" s="9">
        <f>IFERROR(__xludf.DUMMYFUNCTION("if(B60=0,""..."",GOOGLEFINANCE(""BCBA:""&amp;B60))"),12660.0)</f>
        <v>12660</v>
      </c>
      <c r="L60" s="9">
        <f t="shared" si="27"/>
        <v>1830.5</v>
      </c>
      <c r="M60" s="9" t="str">
        <f>VLOOKUP(C60,CCLHistory!$A$6:$B84,2,FALSE)</f>
        <v>158,55</v>
      </c>
      <c r="N60" s="23">
        <f t="shared" si="23"/>
        <v>11.54525386</v>
      </c>
      <c r="O60" s="9">
        <f>if(B60=0,"...",$H60*(IF(D60="ABIERTA",K60,J60)*(1-VLOOKUP(A60,Config!$A$3:$B$5,2,FALSE))))</f>
        <v>1896.405175</v>
      </c>
      <c r="P60" s="9" t="str">
        <f>IF(D60="ABIERTA",Config!$D$4,VLOOKUP(E60,CCLHistory!$A$6:$B84,2,FALSE))</f>
        <v>177,07</v>
      </c>
      <c r="Q60" s="23">
        <f t="shared" si="24"/>
        <v>10.70991797</v>
      </c>
      <c r="R60" s="24">
        <f t="shared" si="5"/>
        <v>-0.07235318536</v>
      </c>
      <c r="S60" s="15">
        <f t="shared" si="6"/>
        <v>-0.8353358928</v>
      </c>
      <c r="T60" s="10">
        <f t="shared" si="28"/>
        <v>0.03600391969</v>
      </c>
      <c r="U60" s="9">
        <f t="shared" si="29"/>
        <v>65.905175</v>
      </c>
      <c r="V60" s="18"/>
      <c r="W60" s="46"/>
      <c r="X60" s="46"/>
      <c r="Y60" s="7"/>
      <c r="Z60" s="46"/>
      <c r="AA60" s="47"/>
      <c r="AB60" s="7"/>
      <c r="AC60" s="47"/>
      <c r="AD60" s="18"/>
      <c r="AE60" s="26"/>
      <c r="AF60" s="34"/>
      <c r="AG60" s="18"/>
      <c r="AH60" s="18"/>
      <c r="AI60" s="18"/>
    </row>
    <row r="61" hidden="1">
      <c r="A61" s="5" t="s">
        <v>40</v>
      </c>
      <c r="B61" s="5" t="s">
        <v>52</v>
      </c>
      <c r="C61" s="11">
        <v>44323.0</v>
      </c>
      <c r="D61" s="5" t="s">
        <v>61</v>
      </c>
      <c r="E61" s="11">
        <v>44217.0</v>
      </c>
      <c r="F61" s="20">
        <f t="shared" si="26"/>
        <v>-106</v>
      </c>
      <c r="G61" s="5" t="s">
        <v>43</v>
      </c>
      <c r="H61" s="5">
        <v>1.0</v>
      </c>
      <c r="I61" s="21">
        <v>1830.5</v>
      </c>
      <c r="J61" s="21">
        <v>1735.5</v>
      </c>
      <c r="K61" s="9">
        <f>IFERROR(__xludf.DUMMYFUNCTION("if(B61=0,""..."",GOOGLEFINANCE(""BCBA:""&amp;B61))"),12660.0)</f>
        <v>12660</v>
      </c>
      <c r="L61" s="9">
        <f t="shared" si="27"/>
        <v>1830.5</v>
      </c>
      <c r="M61" s="9" t="str">
        <f>VLOOKUP(C61,CCLHistory!$A$6:$B84,2,FALSE)</f>
        <v>159,15</v>
      </c>
      <c r="N61" s="23">
        <f t="shared" si="23"/>
        <v>11.50172793</v>
      </c>
      <c r="O61" s="9">
        <f>if(B61=0,"...",$H61*(IF(D61="ABIERTA",K61,J61)*(1-VLOOKUP(A61,Config!$A$3:$B$5,2,FALSE))))</f>
        <v>1735.413225</v>
      </c>
      <c r="P61" s="9" t="str">
        <f>IF(D61="ABIERTA",Config!$D$4,VLOOKUP(E61,CCLHistory!$A$6:$B84,2,FALSE))</f>
        <v>152,55</v>
      </c>
      <c r="Q61" s="23">
        <f t="shared" si="24"/>
        <v>11.37602901</v>
      </c>
      <c r="R61" s="24">
        <f t="shared" si="5"/>
        <v>-0.01092869902</v>
      </c>
      <c r="S61" s="15">
        <f t="shared" si="6"/>
        <v>-0.1256989227</v>
      </c>
      <c r="T61" s="10">
        <f t="shared" si="28"/>
        <v>-0.0519457935</v>
      </c>
      <c r="U61" s="9">
        <f t="shared" si="29"/>
        <v>-95.086775</v>
      </c>
      <c r="V61" s="18"/>
      <c r="W61" s="46"/>
      <c r="X61" s="46"/>
      <c r="Y61" s="7"/>
      <c r="Z61" s="46"/>
      <c r="AA61" s="47"/>
      <c r="AB61" s="7"/>
      <c r="AC61" s="47"/>
      <c r="AD61" s="18"/>
      <c r="AE61" s="26"/>
      <c r="AF61" s="34"/>
      <c r="AG61" s="18"/>
      <c r="AH61" s="18"/>
      <c r="AI61" s="18"/>
    </row>
    <row r="62" hidden="1">
      <c r="A62" s="5" t="s">
        <v>40</v>
      </c>
      <c r="B62" s="5" t="s">
        <v>52</v>
      </c>
      <c r="C62" s="11">
        <v>44337.0</v>
      </c>
      <c r="D62" s="5" t="s">
        <v>61</v>
      </c>
      <c r="E62" s="11">
        <v>44217.0</v>
      </c>
      <c r="F62" s="20">
        <f t="shared" si="26"/>
        <v>-120</v>
      </c>
      <c r="G62" s="5" t="s">
        <v>43</v>
      </c>
      <c r="H62" s="5">
        <v>2.0</v>
      </c>
      <c r="I62" s="21">
        <v>1786.0</v>
      </c>
      <c r="J62" s="21">
        <v>1735.5</v>
      </c>
      <c r="K62" s="9">
        <f>IFERROR(__xludf.DUMMYFUNCTION("if(B62=0,""..."",GOOGLEFINANCE(""BCBA:""&amp;B62))"),12660.0)</f>
        <v>12660</v>
      </c>
      <c r="L62" s="9">
        <f t="shared" si="27"/>
        <v>3572</v>
      </c>
      <c r="M62" s="9" t="str">
        <f>VLOOKUP(C62,CCLHistory!$A$6:$B84,2,FALSE)</f>
        <v>165,32</v>
      </c>
      <c r="N62" s="23">
        <f t="shared" si="23"/>
        <v>21.60658118</v>
      </c>
      <c r="O62" s="9">
        <f>if(B62=0,"...",$H62*(IF(D62="ABIERTA",K62,J62)*(1-VLOOKUP(A62,Config!$A$3:$B$5,2,FALSE))))</f>
        <v>3470.82645</v>
      </c>
      <c r="P62" s="9" t="str">
        <f>IF(D62="ABIERTA",Config!$D$4,VLOOKUP(E62,CCLHistory!$A$6:$B84,2,FALSE))</f>
        <v>152,55</v>
      </c>
      <c r="Q62" s="23">
        <f t="shared" si="24"/>
        <v>22.75205801</v>
      </c>
      <c r="R62" s="24">
        <f t="shared" si="5"/>
        <v>0.0530151822</v>
      </c>
      <c r="S62" s="15">
        <f t="shared" si="6"/>
        <v>1.145476838</v>
      </c>
      <c r="T62" s="10">
        <f t="shared" si="28"/>
        <v>-0.02832406215</v>
      </c>
      <c r="U62" s="9">
        <f t="shared" si="29"/>
        <v>-101.17355</v>
      </c>
      <c r="V62" s="18"/>
      <c r="W62" s="46"/>
      <c r="X62" s="46"/>
      <c r="Y62" s="7"/>
      <c r="Z62" s="46"/>
      <c r="AA62" s="47"/>
      <c r="AB62" s="7"/>
      <c r="AC62" s="47"/>
      <c r="AD62" s="18"/>
      <c r="AE62" s="26"/>
      <c r="AF62" s="34"/>
      <c r="AG62" s="18"/>
      <c r="AH62" s="18"/>
      <c r="AI62" s="18"/>
    </row>
    <row r="63" hidden="1">
      <c r="A63" s="5" t="s">
        <v>40</v>
      </c>
      <c r="B63" s="5" t="s">
        <v>52</v>
      </c>
      <c r="C63" s="11">
        <v>44799.0</v>
      </c>
      <c r="D63" s="5" t="s">
        <v>61</v>
      </c>
      <c r="E63" s="11">
        <v>45126.0</v>
      </c>
      <c r="F63" s="20">
        <f t="shared" si="26"/>
        <v>327</v>
      </c>
      <c r="G63" s="5" t="s">
        <v>43</v>
      </c>
      <c r="H63" s="5">
        <v>19.0</v>
      </c>
      <c r="I63" s="21">
        <v>2032.0</v>
      </c>
      <c r="J63" s="21">
        <v>3623.0</v>
      </c>
      <c r="K63" s="9">
        <f>IFERROR(__xludf.DUMMYFUNCTION("if(B63=0,""..."",GOOGLEFINANCE(""BCBA:""&amp;B63))"),12660.0)</f>
        <v>12660</v>
      </c>
      <c r="L63" s="9">
        <f t="shared" si="27"/>
        <v>38608</v>
      </c>
      <c r="M63" s="9" t="str">
        <f>VLOOKUP(C63,CCLHistory!$A$6:$B84,2,FALSE)</f>
        <v>289,2</v>
      </c>
      <c r="N63" s="23">
        <f t="shared" si="23"/>
        <v>133.4993084</v>
      </c>
      <c r="O63" s="9">
        <f>if(B63=0,"...",$H63*(IF(D63="ABIERTA",K63,J63)*(1-VLOOKUP(A63,Config!$A$3:$B$5,2,FALSE))))</f>
        <v>68833.55815</v>
      </c>
      <c r="P63" s="9" t="str">
        <f>IF(D63="ABIERTA",Config!$D$4,VLOOKUP(E63,CCLHistory!$A$6:$B84,2,FALSE))</f>
        <v>528,27</v>
      </c>
      <c r="Q63" s="23">
        <f t="shared" si="24"/>
        <v>130.2999567</v>
      </c>
      <c r="R63" s="24">
        <f t="shared" si="5"/>
        <v>-0.02396530536</v>
      </c>
      <c r="S63" s="15">
        <f t="shared" si="6"/>
        <v>-3.199351691</v>
      </c>
      <c r="T63" s="10">
        <f t="shared" si="28"/>
        <v>0.7828832923</v>
      </c>
      <c r="U63" s="9">
        <f t="shared" si="29"/>
        <v>30225.55815</v>
      </c>
      <c r="V63" s="18"/>
      <c r="W63" s="46"/>
      <c r="X63" s="46"/>
      <c r="Y63" s="7"/>
      <c r="Z63" s="46"/>
      <c r="AA63" s="47"/>
      <c r="AB63" s="7"/>
      <c r="AC63" s="47"/>
      <c r="AD63" s="18"/>
      <c r="AE63" s="26"/>
      <c r="AF63" s="34"/>
      <c r="AG63" s="18"/>
      <c r="AH63" s="18"/>
      <c r="AI63" s="18"/>
    </row>
    <row r="64" hidden="1">
      <c r="A64" s="5" t="s">
        <v>40</v>
      </c>
      <c r="B64" s="5" t="s">
        <v>52</v>
      </c>
      <c r="C64" s="11">
        <v>44840.0</v>
      </c>
      <c r="D64" s="5" t="s">
        <v>61</v>
      </c>
      <c r="E64" s="11">
        <v>45126.0</v>
      </c>
      <c r="F64" s="20">
        <f t="shared" si="26"/>
        <v>286</v>
      </c>
      <c r="G64" s="5" t="s">
        <v>43</v>
      </c>
      <c r="H64" s="5">
        <v>4.0</v>
      </c>
      <c r="I64" s="21">
        <v>1706.5</v>
      </c>
      <c r="J64" s="21">
        <v>3623.0</v>
      </c>
      <c r="K64" s="9">
        <f>IFERROR(__xludf.DUMMYFUNCTION("if(B64=0,""..."",GOOGLEFINANCE(""BCBA:""&amp;B64))"),12660.0)</f>
        <v>12660</v>
      </c>
      <c r="L64" s="9">
        <f t="shared" si="27"/>
        <v>6826</v>
      </c>
      <c r="M64" s="9" t="str">
        <f>VLOOKUP(C64,CCLHistory!$A$6:$B84,2,FALSE)</f>
        <v>307,38</v>
      </c>
      <c r="N64" s="23">
        <f t="shared" si="23"/>
        <v>22.20704015</v>
      </c>
      <c r="O64" s="9">
        <f>if(B64=0,"...",$H64*(IF(D64="ABIERTA",K64,J64)*(1-VLOOKUP(A64,Config!$A$3:$B$5,2,FALSE))))</f>
        <v>14491.2754</v>
      </c>
      <c r="P64" s="9" t="str">
        <f>IF(D64="ABIERTA",Config!$D$4,VLOOKUP(E64,CCLHistory!$A$6:$B84,2,FALSE))</f>
        <v>528,27</v>
      </c>
      <c r="Q64" s="23">
        <f t="shared" si="24"/>
        <v>27.43156984</v>
      </c>
      <c r="R64" s="24">
        <f t="shared" si="5"/>
        <v>0.2352645675</v>
      </c>
      <c r="S64" s="15">
        <f t="shared" si="6"/>
        <v>5.224529695</v>
      </c>
      <c r="T64" s="10">
        <f t="shared" si="28"/>
        <v>1.12295274</v>
      </c>
      <c r="U64" s="9">
        <f t="shared" si="29"/>
        <v>7665.2754</v>
      </c>
      <c r="V64" s="18"/>
      <c r="W64" s="46"/>
      <c r="X64" s="46"/>
      <c r="Y64" s="7"/>
      <c r="Z64" s="46"/>
      <c r="AA64" s="47"/>
      <c r="AB64" s="7"/>
      <c r="AC64" s="47"/>
      <c r="AD64" s="18"/>
      <c r="AE64" s="26"/>
      <c r="AF64" s="34"/>
      <c r="AG64" s="18"/>
      <c r="AH64" s="18"/>
      <c r="AI64" s="18"/>
    </row>
    <row r="65" hidden="1">
      <c r="A65" s="5" t="s">
        <v>40</v>
      </c>
      <c r="B65" s="5" t="s">
        <v>53</v>
      </c>
      <c r="C65" s="11">
        <v>44144.0</v>
      </c>
      <c r="D65" s="5" t="s">
        <v>61</v>
      </c>
      <c r="E65" s="11">
        <v>44169.0</v>
      </c>
      <c r="F65" s="20">
        <f t="shared" si="26"/>
        <v>25</v>
      </c>
      <c r="G65" s="5" t="s">
        <v>43</v>
      </c>
      <c r="H65" s="5">
        <v>1.0</v>
      </c>
      <c r="I65" s="21">
        <v>3312.0</v>
      </c>
      <c r="J65" s="21">
        <v>3728.0</v>
      </c>
      <c r="K65" s="9">
        <f>IFERROR(__xludf.DUMMYFUNCTION("if(B65=0,""..."",GOOGLEFINANCE(""BCBA:""&amp;B65))"),27020.0)</f>
        <v>27020</v>
      </c>
      <c r="L65" s="9">
        <f t="shared" si="27"/>
        <v>3312</v>
      </c>
      <c r="M65" s="9" t="str">
        <f>VLOOKUP(C65,CCLHistory!$A$6:$B84,2,FALSE)</f>
        <v>149,8</v>
      </c>
      <c r="N65" s="23">
        <f t="shared" si="23"/>
        <v>22.10947931</v>
      </c>
      <c r="O65" s="9">
        <f>if(B65=0,"...",$H65*(IF(D65="ABIERTA",K65,J65)*(1-VLOOKUP(A65,Config!$A$3:$B$5,2,FALSE))))</f>
        <v>3727.8136</v>
      </c>
      <c r="P65" s="9" t="str">
        <f>IF(D65="ABIERTA",Config!$D$4,VLOOKUP(E65,CCLHistory!$A$6:$B84,2,FALSE))</f>
        <v>144,1</v>
      </c>
      <c r="Q65" s="23">
        <f t="shared" si="24"/>
        <v>25.86962942</v>
      </c>
      <c r="R65" s="24">
        <f t="shared" si="5"/>
        <v>0.1700695917</v>
      </c>
      <c r="S65" s="15">
        <f t="shared" si="6"/>
        <v>3.760150118</v>
      </c>
      <c r="T65" s="10">
        <f t="shared" si="28"/>
        <v>0.1255475845</v>
      </c>
      <c r="U65" s="9">
        <f t="shared" si="29"/>
        <v>415.8136</v>
      </c>
      <c r="V65" s="18"/>
      <c r="W65" s="46"/>
      <c r="X65" s="46"/>
      <c r="Y65" s="7"/>
      <c r="Z65" s="46"/>
      <c r="AA65" s="47"/>
      <c r="AB65" s="7"/>
      <c r="AC65" s="47"/>
      <c r="AD65" s="18"/>
      <c r="AE65" s="26"/>
      <c r="AF65" s="34"/>
      <c r="AG65" s="18"/>
      <c r="AH65" s="18"/>
      <c r="AI65" s="18"/>
    </row>
    <row r="66" hidden="1">
      <c r="A66" s="5" t="s">
        <v>40</v>
      </c>
      <c r="B66" s="5" t="s">
        <v>53</v>
      </c>
      <c r="C66" s="11">
        <v>44259.0</v>
      </c>
      <c r="D66" s="5" t="s">
        <v>61</v>
      </c>
      <c r="E66" s="11">
        <v>44356.0</v>
      </c>
      <c r="F66" s="20">
        <f t="shared" si="26"/>
        <v>97</v>
      </c>
      <c r="G66" s="5" t="s">
        <v>43</v>
      </c>
      <c r="H66" s="5">
        <v>1.0</v>
      </c>
      <c r="I66" s="21">
        <v>4100.0</v>
      </c>
      <c r="J66" s="21">
        <v>3666.0</v>
      </c>
      <c r="K66" s="9">
        <f>IFERROR(__xludf.DUMMYFUNCTION("if(B66=0,""..."",GOOGLEFINANCE(""BCBA:""&amp;B66))"),27020.0)</f>
        <v>27020</v>
      </c>
      <c r="L66" s="9">
        <f t="shared" si="27"/>
        <v>4100</v>
      </c>
      <c r="M66" s="9" t="str">
        <f>VLOOKUP(C66,CCLHistory!$A$6:$B84,2,FALSE)</f>
        <v>151,56</v>
      </c>
      <c r="N66" s="23">
        <f t="shared" si="23"/>
        <v>27.05199261</v>
      </c>
      <c r="O66" s="9">
        <f>if(B66=0,"...",$H66*(IF(D66="ABIERTA",K66,J66)*(1-VLOOKUP(A66,Config!$A$3:$B$5,2,FALSE))))</f>
        <v>3665.8167</v>
      </c>
      <c r="P66" s="9" t="str">
        <f>IF(D66="ABIERTA",Config!$D$4,VLOOKUP(E66,CCLHistory!$A$6:$B84,2,FALSE))</f>
        <v>166,49</v>
      </c>
      <c r="Q66" s="23">
        <f t="shared" si="24"/>
        <v>22.01823953</v>
      </c>
      <c r="R66" s="24">
        <f t="shared" si="5"/>
        <v>-0.1860769796</v>
      </c>
      <c r="S66" s="15">
        <f t="shared" si="6"/>
        <v>-5.033753076</v>
      </c>
      <c r="T66" s="10">
        <f t="shared" si="28"/>
        <v>-0.1058983659</v>
      </c>
      <c r="U66" s="9">
        <f t="shared" si="29"/>
        <v>-434.1833</v>
      </c>
      <c r="V66" s="18"/>
      <c r="W66" s="46"/>
      <c r="X66" s="46"/>
      <c r="Y66" s="7"/>
      <c r="Z66" s="46"/>
      <c r="AA66" s="47"/>
      <c r="AB66" s="7"/>
      <c r="AC66" s="47"/>
      <c r="AD66" s="18"/>
      <c r="AE66" s="26"/>
      <c r="AF66" s="34"/>
      <c r="AG66" s="18"/>
      <c r="AH66" s="18"/>
      <c r="AI66" s="18"/>
    </row>
    <row r="67" hidden="1">
      <c r="A67" s="5" t="s">
        <v>40</v>
      </c>
      <c r="B67" s="5" t="s">
        <v>53</v>
      </c>
      <c r="C67" s="11">
        <v>44270.0</v>
      </c>
      <c r="D67" s="5" t="s">
        <v>61</v>
      </c>
      <c r="E67" s="11">
        <v>44356.0</v>
      </c>
      <c r="F67" s="20">
        <f t="shared" si="26"/>
        <v>86</v>
      </c>
      <c r="G67" s="5" t="s">
        <v>43</v>
      </c>
      <c r="H67" s="5">
        <v>1.0</v>
      </c>
      <c r="I67" s="21">
        <v>3910.0</v>
      </c>
      <c r="J67" s="21">
        <v>3666.0</v>
      </c>
      <c r="K67" s="9">
        <f>IFERROR(__xludf.DUMMYFUNCTION("if(B67=0,""..."",GOOGLEFINANCE(""BCBA:""&amp;B67))"),27020.0)</f>
        <v>27020</v>
      </c>
      <c r="L67" s="9">
        <f t="shared" si="27"/>
        <v>3910</v>
      </c>
      <c r="M67" s="9" t="str">
        <f>VLOOKUP(C67,CCLHistory!$A$6:$B84,2,FALSE)</f>
        <v>151,48</v>
      </c>
      <c r="N67" s="23">
        <f t="shared" si="23"/>
        <v>25.81198838</v>
      </c>
      <c r="O67" s="9">
        <f>if(B67=0,"...",$H67*(IF(D67="ABIERTA",K67,J67)*(1-VLOOKUP(A67,Config!$A$3:$B$5,2,FALSE))))</f>
        <v>3665.8167</v>
      </c>
      <c r="P67" s="9" t="str">
        <f>IF(D67="ABIERTA",Config!$D$4,VLOOKUP(E67,CCLHistory!$A$6:$B84,2,FALSE))</f>
        <v>166,49</v>
      </c>
      <c r="Q67" s="23">
        <f t="shared" si="24"/>
        <v>22.01823953</v>
      </c>
      <c r="R67" s="24">
        <f t="shared" si="5"/>
        <v>-0.1469762341</v>
      </c>
      <c r="S67" s="15">
        <f t="shared" si="6"/>
        <v>-3.793748847</v>
      </c>
      <c r="T67" s="10">
        <f t="shared" si="28"/>
        <v>-0.06245097187</v>
      </c>
      <c r="U67" s="9">
        <f t="shared" si="29"/>
        <v>-244.1833</v>
      </c>
      <c r="V67" s="18"/>
      <c r="W67" s="46"/>
      <c r="X67" s="46"/>
      <c r="Y67" s="7"/>
      <c r="Z67" s="46"/>
      <c r="AA67" s="47"/>
      <c r="AB67" s="7"/>
      <c r="AC67" s="47"/>
      <c r="AD67" s="18"/>
      <c r="AE67" s="26"/>
      <c r="AF67" s="34"/>
      <c r="AG67" s="18"/>
      <c r="AH67" s="18"/>
      <c r="AI67" s="18"/>
    </row>
    <row r="68" hidden="1">
      <c r="A68" s="5" t="s">
        <v>40</v>
      </c>
      <c r="B68" s="5" t="s">
        <v>53</v>
      </c>
      <c r="C68" s="11">
        <v>44306.0</v>
      </c>
      <c r="D68" s="5" t="s">
        <v>61</v>
      </c>
      <c r="E68" s="11">
        <v>44356.0</v>
      </c>
      <c r="F68" s="20">
        <f t="shared" si="26"/>
        <v>50</v>
      </c>
      <c r="G68" s="5" t="s">
        <v>43</v>
      </c>
      <c r="H68" s="5">
        <v>2.0</v>
      </c>
      <c r="I68" s="21">
        <v>4015.0</v>
      </c>
      <c r="J68" s="21">
        <v>3666.0</v>
      </c>
      <c r="K68" s="9">
        <f>IFERROR(__xludf.DUMMYFUNCTION("if(B68=0,""..."",GOOGLEFINANCE(""BCBA:""&amp;B68))"),27020.0)</f>
        <v>27020</v>
      </c>
      <c r="L68" s="9">
        <f t="shared" si="27"/>
        <v>8030</v>
      </c>
      <c r="M68" s="9" t="str">
        <f>VLOOKUP(C68,CCLHistory!$A$6:$B84,2,FALSE)</f>
        <v>153,55</v>
      </c>
      <c r="N68" s="23">
        <f t="shared" si="23"/>
        <v>52.29566916</v>
      </c>
      <c r="O68" s="9">
        <f>if(B68=0,"...",$H68*(IF(D68="ABIERTA",K68,J68)*(1-VLOOKUP(A68,Config!$A$3:$B$5,2,FALSE))))</f>
        <v>7331.6334</v>
      </c>
      <c r="P68" s="9" t="str">
        <f>IF(D68="ABIERTA",Config!$D$4,VLOOKUP(E68,CCLHistory!$A$6:$B84,2,FALSE))</f>
        <v>166,49</v>
      </c>
      <c r="Q68" s="23">
        <f t="shared" si="24"/>
        <v>44.03647907</v>
      </c>
      <c r="R68" s="24">
        <f t="shared" si="5"/>
        <v>-0.1579325827</v>
      </c>
      <c r="S68" s="15">
        <f t="shared" si="6"/>
        <v>-8.259190095</v>
      </c>
      <c r="T68" s="10">
        <f t="shared" si="28"/>
        <v>-0.08696968867</v>
      </c>
      <c r="U68" s="9">
        <f t="shared" si="29"/>
        <v>-698.3666</v>
      </c>
      <c r="V68" s="18"/>
      <c r="W68" s="46"/>
      <c r="X68" s="46"/>
      <c r="Y68" s="7"/>
      <c r="Z68" s="46"/>
      <c r="AA68" s="47"/>
      <c r="AB68" s="7"/>
      <c r="AC68" s="47"/>
      <c r="AD68" s="18"/>
      <c r="AE68" s="26"/>
      <c r="AF68" s="34"/>
      <c r="AG68" s="18"/>
      <c r="AH68" s="18"/>
      <c r="AI68" s="18"/>
    </row>
    <row r="69" hidden="1">
      <c r="A69" s="5" t="s">
        <v>40</v>
      </c>
      <c r="B69" s="5" t="s">
        <v>53</v>
      </c>
      <c r="C69" s="11">
        <v>44337.0</v>
      </c>
      <c r="D69" s="5" t="s">
        <v>61</v>
      </c>
      <c r="E69" s="11">
        <v>44356.0</v>
      </c>
      <c r="F69" s="20">
        <f t="shared" si="26"/>
        <v>19</v>
      </c>
      <c r="G69" s="5" t="s">
        <v>43</v>
      </c>
      <c r="H69" s="5">
        <v>1.0</v>
      </c>
      <c r="I69" s="21">
        <v>3596.0</v>
      </c>
      <c r="J69" s="21">
        <v>3666.0</v>
      </c>
      <c r="K69" s="9">
        <f>IFERROR(__xludf.DUMMYFUNCTION("if(B69=0,""..."",GOOGLEFINANCE(""BCBA:""&amp;B69))"),27020.0)</f>
        <v>27020</v>
      </c>
      <c r="L69" s="9">
        <f t="shared" si="27"/>
        <v>3596</v>
      </c>
      <c r="M69" s="9" t="str">
        <f>VLOOKUP(C69,CCLHistory!$A$6:$B84,2,FALSE)</f>
        <v>165,32</v>
      </c>
      <c r="N69" s="23">
        <f t="shared" si="23"/>
        <v>21.75175417</v>
      </c>
      <c r="O69" s="9">
        <f>if(B69=0,"...",$H69*(IF(D69="ABIERTA",K69,J69)*(1-VLOOKUP(A69,Config!$A$3:$B$5,2,FALSE))))</f>
        <v>3665.8167</v>
      </c>
      <c r="P69" s="9" t="str">
        <f>IF(D69="ABIERTA",Config!$D$4,VLOOKUP(E69,CCLHistory!$A$6:$B84,2,FALSE))</f>
        <v>166,49</v>
      </c>
      <c r="Q69" s="23">
        <f t="shared" si="24"/>
        <v>22.01823953</v>
      </c>
      <c r="R69" s="24">
        <f t="shared" si="5"/>
        <v>0.01225121239</v>
      </c>
      <c r="S69" s="15">
        <f t="shared" si="6"/>
        <v>0.2664853602</v>
      </c>
      <c r="T69" s="10">
        <f t="shared" si="28"/>
        <v>0.01941510011</v>
      </c>
      <c r="U69" s="9">
        <f t="shared" si="29"/>
        <v>69.8167</v>
      </c>
      <c r="V69" s="18"/>
      <c r="W69" s="46"/>
      <c r="X69" s="46"/>
      <c r="Y69" s="7"/>
      <c r="Z69" s="46"/>
      <c r="AA69" s="47"/>
      <c r="AB69" s="7"/>
      <c r="AC69" s="47"/>
      <c r="AD69" s="18"/>
      <c r="AE69" s="26"/>
      <c r="AF69" s="34"/>
      <c r="AG69" s="18"/>
      <c r="AH69" s="18"/>
      <c r="AI69" s="18"/>
    </row>
    <row r="70" hidden="1">
      <c r="A70" s="5" t="s">
        <v>40</v>
      </c>
      <c r="B70" s="5" t="s">
        <v>53</v>
      </c>
      <c r="C70" s="11">
        <v>44365.0</v>
      </c>
      <c r="D70" s="5" t="s">
        <v>61</v>
      </c>
      <c r="E70" s="11">
        <v>44425.0</v>
      </c>
      <c r="F70" s="20">
        <f t="shared" si="26"/>
        <v>60</v>
      </c>
      <c r="G70" s="5" t="s">
        <v>43</v>
      </c>
      <c r="H70" s="5">
        <v>3.0</v>
      </c>
      <c r="I70" s="21">
        <v>3947.0</v>
      </c>
      <c r="J70" s="21">
        <v>5501.0</v>
      </c>
      <c r="K70" s="9">
        <f>IFERROR(__xludf.DUMMYFUNCTION("if(B70=0,""..."",GOOGLEFINANCE(""BCBA:""&amp;B70))"),27020.0)</f>
        <v>27020</v>
      </c>
      <c r="L70" s="9">
        <f t="shared" si="27"/>
        <v>11841</v>
      </c>
      <c r="M70" s="9" t="str">
        <f>VLOOKUP(C70,CCLHistory!$A$6:$B84,2,FALSE)</f>
        <v>167,24</v>
      </c>
      <c r="N70" s="23">
        <f t="shared" si="23"/>
        <v>70.80243961</v>
      </c>
      <c r="O70" s="9">
        <f>if(B70=0,"...",$H70*(IF(D70="ABIERTA",K70,J70)*(1-VLOOKUP(A70,Config!$A$3:$B$5,2,FALSE))))</f>
        <v>16502.17485</v>
      </c>
      <c r="P70" s="9" t="str">
        <f>IF(D70="ABIERTA",Config!$D$4,VLOOKUP(E70,CCLHistory!$A$6:$B84,2,FALSE))</f>
        <v>177,07</v>
      </c>
      <c r="Q70" s="23">
        <f t="shared" si="24"/>
        <v>93.19576919</v>
      </c>
      <c r="R70" s="24">
        <f t="shared" si="5"/>
        <v>0.3162790676</v>
      </c>
      <c r="S70" s="15">
        <f t="shared" si="6"/>
        <v>22.39332958</v>
      </c>
      <c r="T70" s="10">
        <f t="shared" si="28"/>
        <v>0.3936470611</v>
      </c>
      <c r="U70" s="9">
        <f t="shared" si="29"/>
        <v>4661.17485</v>
      </c>
      <c r="V70" s="18"/>
      <c r="W70" s="46"/>
      <c r="X70" s="46"/>
      <c r="Y70" s="7"/>
      <c r="Z70" s="46"/>
      <c r="AA70" s="47"/>
      <c r="AB70" s="7"/>
      <c r="AC70" s="47"/>
      <c r="AD70" s="18"/>
      <c r="AE70" s="26"/>
      <c r="AF70" s="34"/>
      <c r="AG70" s="18"/>
      <c r="AH70" s="18"/>
      <c r="AI70" s="18"/>
    </row>
    <row r="71" hidden="1">
      <c r="A71" s="5" t="s">
        <v>40</v>
      </c>
      <c r="B71" s="5" t="s">
        <v>53</v>
      </c>
      <c r="C71" s="11">
        <v>44365.0</v>
      </c>
      <c r="D71" s="5" t="s">
        <v>61</v>
      </c>
      <c r="E71" s="11">
        <v>44447.0</v>
      </c>
      <c r="F71" s="20">
        <f t="shared" si="26"/>
        <v>82</v>
      </c>
      <c r="G71" s="5" t="s">
        <v>43</v>
      </c>
      <c r="H71" s="5">
        <v>2.0</v>
      </c>
      <c r="I71" s="21">
        <v>3947.0</v>
      </c>
      <c r="J71" s="21">
        <v>5720.0</v>
      </c>
      <c r="K71" s="9">
        <f>IFERROR(__xludf.DUMMYFUNCTION("if(B71=0,""..."",GOOGLEFINANCE(""BCBA:""&amp;B71))"),27020.0)</f>
        <v>27020</v>
      </c>
      <c r="L71" s="9">
        <f t="shared" si="27"/>
        <v>7894</v>
      </c>
      <c r="M71" s="9" t="str">
        <f>VLOOKUP(C71,CCLHistory!$A$6:$B84,2,FALSE)</f>
        <v>167,24</v>
      </c>
      <c r="N71" s="23">
        <f t="shared" si="23"/>
        <v>47.20162641</v>
      </c>
      <c r="O71" s="9">
        <f>if(B71=0,"...",$H71*(IF(D71="ABIERTA",K71,J71)*(1-VLOOKUP(A71,Config!$A$3:$B$5,2,FALSE))))</f>
        <v>11439.428</v>
      </c>
      <c r="P71" s="9" t="str">
        <f>IF(D71="ABIERTA",Config!$D$4,VLOOKUP(E71,CCLHistory!$A$6:$B84,2,FALSE))</f>
        <v>178,48</v>
      </c>
      <c r="Q71" s="23">
        <f t="shared" si="24"/>
        <v>64.09361273</v>
      </c>
      <c r="R71" s="24">
        <f t="shared" si="5"/>
        <v>0.3578687349</v>
      </c>
      <c r="S71" s="15">
        <f t="shared" si="6"/>
        <v>16.89198632</v>
      </c>
      <c r="T71" s="10">
        <f t="shared" si="28"/>
        <v>0.4491294654</v>
      </c>
      <c r="U71" s="9">
        <f t="shared" si="29"/>
        <v>3545.428</v>
      </c>
      <c r="V71" s="18"/>
      <c r="W71" s="46"/>
      <c r="X71" s="46"/>
      <c r="Y71" s="7"/>
      <c r="Z71" s="46"/>
      <c r="AA71" s="47"/>
      <c r="AB71" s="7"/>
      <c r="AC71" s="47"/>
      <c r="AD71" s="18"/>
      <c r="AE71" s="26"/>
      <c r="AF71" s="34"/>
      <c r="AG71" s="18"/>
      <c r="AH71" s="18"/>
      <c r="AI71" s="18"/>
    </row>
    <row r="72" hidden="1">
      <c r="A72" s="5" t="s">
        <v>40</v>
      </c>
      <c r="B72" s="5" t="s">
        <v>53</v>
      </c>
      <c r="C72" s="11">
        <v>44365.0</v>
      </c>
      <c r="D72" s="5" t="s">
        <v>61</v>
      </c>
      <c r="E72" s="11">
        <v>44578.0</v>
      </c>
      <c r="F72" s="20">
        <f t="shared" si="26"/>
        <v>213</v>
      </c>
      <c r="G72" s="5" t="s">
        <v>43</v>
      </c>
      <c r="H72" s="5">
        <v>1.0</v>
      </c>
      <c r="I72" s="21">
        <v>3947.0</v>
      </c>
      <c r="J72" s="21">
        <v>4199.5</v>
      </c>
      <c r="K72" s="9">
        <f>IFERROR(__xludf.DUMMYFUNCTION("if(B72=0,""..."",GOOGLEFINANCE(""BCBA:""&amp;B72))"),27020.0)</f>
        <v>27020</v>
      </c>
      <c r="L72" s="9">
        <f t="shared" si="27"/>
        <v>3947</v>
      </c>
      <c r="M72" s="9" t="str">
        <f>VLOOKUP(C72,CCLHistory!$A$6:$B84,2,FALSE)</f>
        <v>167,24</v>
      </c>
      <c r="N72" s="23">
        <f t="shared" si="23"/>
        <v>23.6008132</v>
      </c>
      <c r="O72" s="9">
        <f>if(B72=0,"...",$H72*(IF(D72="ABIERTA",K72,J72)*(1-VLOOKUP(A72,Config!$A$3:$B$5,2,FALSE))))</f>
        <v>4199.290025</v>
      </c>
      <c r="P72" s="9" t="str">
        <f>IF(D72="ABIERTA",Config!$D$4,VLOOKUP(E72,CCLHistory!$A$6:$B84,2,FALSE))</f>
        <v>210,25</v>
      </c>
      <c r="Q72" s="23">
        <f t="shared" si="24"/>
        <v>19.97284197</v>
      </c>
      <c r="R72" s="24">
        <f t="shared" si="5"/>
        <v>-0.1537222975</v>
      </c>
      <c r="S72" s="15">
        <f t="shared" si="6"/>
        <v>-3.627971229</v>
      </c>
      <c r="T72" s="10">
        <f t="shared" si="28"/>
        <v>0.06391943881</v>
      </c>
      <c r="U72" s="9">
        <f t="shared" si="29"/>
        <v>252.290025</v>
      </c>
      <c r="V72" s="18"/>
      <c r="W72" s="46"/>
      <c r="X72" s="46"/>
      <c r="Y72" s="7"/>
      <c r="Z72" s="46"/>
      <c r="AA72" s="47"/>
      <c r="AB72" s="7"/>
      <c r="AC72" s="47"/>
      <c r="AD72" s="18"/>
      <c r="AE72" s="26"/>
      <c r="AF72" s="34"/>
      <c r="AG72" s="18"/>
      <c r="AH72" s="18"/>
      <c r="AI72" s="18"/>
    </row>
    <row r="73" hidden="1">
      <c r="A73" s="5" t="s">
        <v>40</v>
      </c>
      <c r="B73" s="5" t="s">
        <v>53</v>
      </c>
      <c r="C73" s="11">
        <v>44516.0</v>
      </c>
      <c r="D73" s="5" t="s">
        <v>61</v>
      </c>
      <c r="E73" s="11">
        <v>44578.0</v>
      </c>
      <c r="F73" s="20">
        <f t="shared" si="26"/>
        <v>62</v>
      </c>
      <c r="G73" s="5" t="s">
        <v>43</v>
      </c>
      <c r="H73" s="5">
        <v>4.0</v>
      </c>
      <c r="I73" s="21">
        <v>5750.0</v>
      </c>
      <c r="J73" s="21">
        <v>4199.5</v>
      </c>
      <c r="K73" s="9">
        <f>IFERROR(__xludf.DUMMYFUNCTION("if(B73=0,""..."",GOOGLEFINANCE(""BCBA:""&amp;B73))"),27020.0)</f>
        <v>27020</v>
      </c>
      <c r="L73" s="9">
        <f t="shared" si="27"/>
        <v>23000</v>
      </c>
      <c r="M73" s="9" t="str">
        <f>VLOOKUP(C73,CCLHistory!$A$6:$B84,2,FALSE)</f>
        <v>211,85</v>
      </c>
      <c r="N73" s="23">
        <f t="shared" si="23"/>
        <v>108.5673826</v>
      </c>
      <c r="O73" s="9">
        <f>if(B73=0,"...",$H73*(IF(D73="ABIERTA",K73,J73)*(1-VLOOKUP(A73,Config!$A$3:$B$5,2,FALSE))))</f>
        <v>16797.1601</v>
      </c>
      <c r="P73" s="9" t="str">
        <f>IF(D73="ABIERTA",Config!$D$4,VLOOKUP(E73,CCLHistory!$A$6:$B84,2,FALSE))</f>
        <v>210,25</v>
      </c>
      <c r="Q73" s="23">
        <f t="shared" si="24"/>
        <v>79.8913679</v>
      </c>
      <c r="R73" s="24">
        <f t="shared" si="5"/>
        <v>-0.2641310309</v>
      </c>
      <c r="S73" s="15">
        <f t="shared" si="6"/>
        <v>-28.67601469</v>
      </c>
      <c r="T73" s="10">
        <f t="shared" si="28"/>
        <v>-0.2696886913</v>
      </c>
      <c r="U73" s="9">
        <f t="shared" si="29"/>
        <v>-6202.8399</v>
      </c>
      <c r="V73" s="18"/>
      <c r="W73" s="46"/>
      <c r="X73" s="46"/>
      <c r="Y73" s="7"/>
      <c r="Z73" s="46"/>
      <c r="AA73" s="47"/>
      <c r="AB73" s="7"/>
      <c r="AC73" s="47"/>
      <c r="AD73" s="18"/>
      <c r="AE73" s="26"/>
      <c r="AF73" s="34"/>
      <c r="AG73" s="18"/>
      <c r="AH73" s="18"/>
      <c r="AI73" s="18"/>
    </row>
    <row r="74" hidden="1">
      <c r="A74" s="5" t="s">
        <v>40</v>
      </c>
      <c r="B74" s="5" t="s">
        <v>53</v>
      </c>
      <c r="C74" s="11">
        <v>44517.0</v>
      </c>
      <c r="D74" s="5" t="s">
        <v>61</v>
      </c>
      <c r="E74" s="11">
        <v>44600.0</v>
      </c>
      <c r="F74" s="20">
        <f t="shared" si="26"/>
        <v>83</v>
      </c>
      <c r="G74" s="5" t="s">
        <v>43</v>
      </c>
      <c r="H74" s="5">
        <v>1.0</v>
      </c>
      <c r="I74" s="21">
        <v>5750.0</v>
      </c>
      <c r="J74" s="21">
        <v>3753.8</v>
      </c>
      <c r="K74" s="9">
        <f>IFERROR(__xludf.DUMMYFUNCTION("if(B74=0,""..."",GOOGLEFINANCE(""BCBA:""&amp;B74))"),27020.0)</f>
        <v>27020</v>
      </c>
      <c r="L74" s="9">
        <f t="shared" si="27"/>
        <v>5750</v>
      </c>
      <c r="M74" s="9" t="str">
        <f>VLOOKUP(C74,CCLHistory!$A$6:$B84,2,FALSE)</f>
        <v>212,66</v>
      </c>
      <c r="N74" s="23">
        <f t="shared" si="23"/>
        <v>27.03846516</v>
      </c>
      <c r="O74" s="9">
        <f>if(B74=0,"...",$H74*(IF(D74="ABIERTA",K74,J74)*(1-VLOOKUP(A74,Config!$A$3:$B$5,2,FALSE))))</f>
        <v>3753.61231</v>
      </c>
      <c r="P74" s="9" t="str">
        <f>IF(D74="ABIERTA",Config!$D$4,VLOOKUP(E74,CCLHistory!$A$6:$B84,2,FALSE))</f>
        <v>215,04</v>
      </c>
      <c r="Q74" s="23">
        <f t="shared" si="24"/>
        <v>17.45541439</v>
      </c>
      <c r="R74" s="24">
        <f t="shared" si="5"/>
        <v>-0.3544228828</v>
      </c>
      <c r="S74" s="15">
        <f t="shared" si="6"/>
        <v>-9.583050768</v>
      </c>
      <c r="T74" s="10">
        <f t="shared" si="28"/>
        <v>-0.3471978591</v>
      </c>
      <c r="U74" s="9">
        <f t="shared" si="29"/>
        <v>-1996.38769</v>
      </c>
      <c r="V74" s="18"/>
      <c r="W74" s="46"/>
      <c r="X74" s="46"/>
      <c r="Y74" s="7"/>
      <c r="Z74" s="46"/>
      <c r="AA74" s="47"/>
      <c r="AB74" s="7"/>
      <c r="AC74" s="47"/>
      <c r="AD74" s="18"/>
      <c r="AE74" s="26"/>
      <c r="AF74" s="34"/>
      <c r="AG74" s="18"/>
      <c r="AH74" s="18"/>
      <c r="AI74" s="18"/>
    </row>
    <row r="75" hidden="1">
      <c r="A75" s="5" t="s">
        <v>40</v>
      </c>
      <c r="B75" s="5" t="s">
        <v>53</v>
      </c>
      <c r="C75" s="11">
        <v>44516.0</v>
      </c>
      <c r="D75" s="5" t="s">
        <v>61</v>
      </c>
      <c r="E75" s="11">
        <v>44600.0</v>
      </c>
      <c r="F75" s="20">
        <f t="shared" si="26"/>
        <v>84</v>
      </c>
      <c r="G75" s="5" t="s">
        <v>43</v>
      </c>
      <c r="H75" s="5">
        <v>4.0</v>
      </c>
      <c r="I75" s="21">
        <v>5750.0</v>
      </c>
      <c r="J75" s="21">
        <v>3753.8</v>
      </c>
      <c r="K75" s="9">
        <f>IFERROR(__xludf.DUMMYFUNCTION("if(B75=0,""..."",GOOGLEFINANCE(""BCBA:""&amp;B75))"),27020.0)</f>
        <v>27020</v>
      </c>
      <c r="L75" s="9">
        <f t="shared" si="27"/>
        <v>23000</v>
      </c>
      <c r="M75" s="9" t="str">
        <f>VLOOKUP(C75,CCLHistory!$A$6:$B84,2,FALSE)</f>
        <v>211,85</v>
      </c>
      <c r="N75" s="23">
        <f t="shared" si="23"/>
        <v>108.5673826</v>
      </c>
      <c r="O75" s="9">
        <f>if(B75=0,"...",$H75*(IF(D75="ABIERTA",K75,J75)*(1-VLOOKUP(A75,Config!$A$3:$B$5,2,FALSE))))</f>
        <v>15014.44924</v>
      </c>
      <c r="P75" s="9" t="str">
        <f>IF(D75="ABIERTA",Config!$D$4,VLOOKUP(E75,CCLHistory!$A$6:$B84,2,FALSE))</f>
        <v>215,04</v>
      </c>
      <c r="Q75" s="23">
        <f t="shared" si="24"/>
        <v>69.82165755</v>
      </c>
      <c r="R75" s="24">
        <f t="shared" si="5"/>
        <v>-0.3568818195</v>
      </c>
      <c r="S75" s="15">
        <f t="shared" si="6"/>
        <v>-38.74572503</v>
      </c>
      <c r="T75" s="10">
        <f t="shared" si="28"/>
        <v>-0.3471978591</v>
      </c>
      <c r="U75" s="9">
        <f t="shared" si="29"/>
        <v>-7985.55076</v>
      </c>
      <c r="V75" s="18"/>
      <c r="W75" s="46"/>
      <c r="X75" s="46"/>
      <c r="Y75" s="7"/>
      <c r="Z75" s="46"/>
      <c r="AA75" s="47"/>
      <c r="AB75" s="7"/>
      <c r="AC75" s="47"/>
      <c r="AD75" s="18"/>
      <c r="AE75" s="26"/>
      <c r="AF75" s="34"/>
      <c r="AG75" s="18"/>
      <c r="AH75" s="18"/>
      <c r="AI75" s="18"/>
    </row>
    <row r="76" hidden="1">
      <c r="A76" s="5" t="s">
        <v>40</v>
      </c>
      <c r="B76" s="5" t="s">
        <v>54</v>
      </c>
      <c r="C76" s="11">
        <v>44582.0</v>
      </c>
      <c r="D76" s="5" t="s">
        <v>61</v>
      </c>
      <c r="E76" s="11">
        <v>44692.0</v>
      </c>
      <c r="F76" s="20">
        <f t="shared" si="26"/>
        <v>110</v>
      </c>
      <c r="G76" s="5" t="s">
        <v>43</v>
      </c>
      <c r="H76" s="5">
        <v>4.0</v>
      </c>
      <c r="I76" s="21">
        <v>6610.0</v>
      </c>
      <c r="J76" s="21">
        <v>5581.3333</v>
      </c>
      <c r="K76" s="9">
        <f>IFERROR(__xludf.DUMMYFUNCTION("if(B76=0,""..."",GOOGLEFINANCE(""BCBA:""&amp;B76))"),24150.0)</f>
        <v>24150</v>
      </c>
      <c r="L76" s="9">
        <f t="shared" si="27"/>
        <v>26440</v>
      </c>
      <c r="M76" s="9" t="str">
        <f>VLOOKUP(C76,CCLHistory!$A$6:$B84,2,FALSE)</f>
        <v>225,1</v>
      </c>
      <c r="N76" s="23">
        <f t="shared" si="23"/>
        <v>117.4589072</v>
      </c>
      <c r="O76" s="9">
        <f>if(B76=0,"...",$H76*(IF(D76="ABIERTA",K76,J76)*(1-VLOOKUP(A76,Config!$A$3:$B$5,2,FALSE))))</f>
        <v>22324.21693</v>
      </c>
      <c r="P76" s="9" t="str">
        <f>IF(D76="ABIERTA",Config!$D$4,VLOOKUP(E76,CCLHistory!$A$6:$B84,2,FALSE))</f>
        <v>207,94</v>
      </c>
      <c r="Q76" s="23">
        <f t="shared" si="24"/>
        <v>107.3589349</v>
      </c>
      <c r="R76" s="24">
        <f t="shared" si="5"/>
        <v>-0.08598728226</v>
      </c>
      <c r="S76" s="15">
        <f t="shared" si="6"/>
        <v>-10.0999722</v>
      </c>
      <c r="T76" s="10">
        <f t="shared" si="28"/>
        <v>-0.1556650176</v>
      </c>
      <c r="U76" s="9">
        <f t="shared" si="29"/>
        <v>-4115.783067</v>
      </c>
      <c r="V76" s="18"/>
      <c r="W76" s="46"/>
      <c r="X76" s="46"/>
      <c r="Y76" s="7"/>
      <c r="Z76" s="46"/>
      <c r="AA76" s="47"/>
      <c r="AB76" s="7"/>
      <c r="AC76" s="47"/>
      <c r="AD76" s="18"/>
      <c r="AE76" s="26"/>
      <c r="AF76" s="34"/>
      <c r="AG76" s="18"/>
      <c r="AH76" s="18"/>
      <c r="AI76" s="18"/>
    </row>
    <row r="77" hidden="1">
      <c r="A77" s="5" t="s">
        <v>40</v>
      </c>
      <c r="B77" s="5" t="s">
        <v>54</v>
      </c>
      <c r="C77" s="11">
        <v>44582.0</v>
      </c>
      <c r="D77" s="5" t="s">
        <v>61</v>
      </c>
      <c r="E77" s="11">
        <v>44692.0</v>
      </c>
      <c r="F77" s="20">
        <f t="shared" si="26"/>
        <v>110</v>
      </c>
      <c r="G77" s="5" t="s">
        <v>43</v>
      </c>
      <c r="H77" s="5">
        <v>1.0</v>
      </c>
      <c r="I77" s="21">
        <v>6480.0</v>
      </c>
      <c r="J77" s="21">
        <v>5581.3333</v>
      </c>
      <c r="K77" s="9">
        <f>IFERROR(__xludf.DUMMYFUNCTION("if(B77=0,""..."",GOOGLEFINANCE(""BCBA:""&amp;B77))"),24150.0)</f>
        <v>24150</v>
      </c>
      <c r="L77" s="9">
        <f t="shared" si="27"/>
        <v>6480</v>
      </c>
      <c r="M77" s="9" t="str">
        <f>VLOOKUP(C77,CCLHistory!$A$6:$B84,2,FALSE)</f>
        <v>225,1</v>
      </c>
      <c r="N77" s="23">
        <f t="shared" si="23"/>
        <v>28.78720569</v>
      </c>
      <c r="O77" s="9">
        <f>if(B77=0,"...",$H77*(IF(D77="ABIERTA",K77,J77)*(1-VLOOKUP(A77,Config!$A$3:$B$5,2,FALSE))))</f>
        <v>5581.054233</v>
      </c>
      <c r="P77" s="9" t="str">
        <f>IF(D77="ABIERTA",Config!$D$4,VLOOKUP(E77,CCLHistory!$A$6:$B84,2,FALSE))</f>
        <v>207,94</v>
      </c>
      <c r="Q77" s="23">
        <f t="shared" si="24"/>
        <v>26.83973374</v>
      </c>
      <c r="R77" s="24">
        <f t="shared" si="5"/>
        <v>-0.06765060737</v>
      </c>
      <c r="S77" s="15">
        <f t="shared" si="6"/>
        <v>-1.947471949</v>
      </c>
      <c r="T77" s="10">
        <f t="shared" si="28"/>
        <v>-0.1387261986</v>
      </c>
      <c r="U77" s="9">
        <f t="shared" si="29"/>
        <v>-898.9457667</v>
      </c>
      <c r="V77" s="18"/>
      <c r="W77" s="46"/>
      <c r="X77" s="46"/>
      <c r="Y77" s="7"/>
      <c r="Z77" s="46"/>
      <c r="AA77" s="47"/>
      <c r="AB77" s="7"/>
      <c r="AC77" s="47"/>
      <c r="AD77" s="18"/>
      <c r="AE77" s="26"/>
      <c r="AF77" s="34"/>
      <c r="AG77" s="18"/>
      <c r="AH77" s="18"/>
      <c r="AI77" s="18"/>
    </row>
    <row r="78" hidden="1">
      <c r="A78" s="5" t="s">
        <v>40</v>
      </c>
      <c r="B78" s="5" t="s">
        <v>54</v>
      </c>
      <c r="C78" s="11">
        <v>44649.0</v>
      </c>
      <c r="D78" s="5" t="s">
        <v>61</v>
      </c>
      <c r="E78" s="11">
        <v>44692.0</v>
      </c>
      <c r="F78" s="20">
        <f t="shared" si="26"/>
        <v>43</v>
      </c>
      <c r="G78" s="5" t="s">
        <v>43</v>
      </c>
      <c r="H78" s="5">
        <v>3.0</v>
      </c>
      <c r="I78" s="21">
        <v>6053.5</v>
      </c>
      <c r="J78" s="21">
        <v>5581.3333</v>
      </c>
      <c r="K78" s="9">
        <f>IFERROR(__xludf.DUMMYFUNCTION("if(B78=0,""..."",GOOGLEFINANCE(""BCBA:""&amp;B78))"),24150.0)</f>
        <v>24150</v>
      </c>
      <c r="L78" s="9">
        <f t="shared" si="27"/>
        <v>18160.5</v>
      </c>
      <c r="M78" s="9" t="str">
        <f>VLOOKUP(C78,CCLHistory!$A$6:$B84,2,FALSE)</f>
        <v>191,52</v>
      </c>
      <c r="N78" s="23">
        <f t="shared" si="23"/>
        <v>94.82299499</v>
      </c>
      <c r="O78" s="9">
        <f>if(B78=0,"...",$H78*(IF(D78="ABIERTA",K78,J78)*(1-VLOOKUP(A78,Config!$A$3:$B$5,2,FALSE))))</f>
        <v>16743.1627</v>
      </c>
      <c r="P78" s="9" t="str">
        <f>IF(D78="ABIERTA",Config!$D$4,VLOOKUP(E78,CCLHistory!$A$6:$B84,2,FALSE))</f>
        <v>207,94</v>
      </c>
      <c r="Q78" s="23">
        <f t="shared" si="24"/>
        <v>80.51920121</v>
      </c>
      <c r="R78" s="24">
        <f t="shared" si="5"/>
        <v>-0.1508473106</v>
      </c>
      <c r="S78" s="15">
        <f t="shared" si="6"/>
        <v>-14.30379378</v>
      </c>
      <c r="T78" s="10">
        <f t="shared" si="28"/>
        <v>-0.07804505933</v>
      </c>
      <c r="U78" s="9">
        <f t="shared" si="29"/>
        <v>-1417.3373</v>
      </c>
      <c r="V78" s="18"/>
      <c r="W78" s="46"/>
      <c r="X78" s="46"/>
      <c r="Y78" s="7"/>
      <c r="Z78" s="46"/>
      <c r="AA78" s="47"/>
      <c r="AB78" s="7"/>
      <c r="AC78" s="47"/>
      <c r="AD78" s="18"/>
      <c r="AE78" s="26"/>
      <c r="AF78" s="34"/>
      <c r="AG78" s="18"/>
      <c r="AH78" s="18"/>
      <c r="AI78" s="18"/>
    </row>
    <row r="79" hidden="1">
      <c r="A79" s="5" t="s">
        <v>40</v>
      </c>
      <c r="B79" s="5" t="s">
        <v>54</v>
      </c>
      <c r="C79" s="11">
        <v>44687.0</v>
      </c>
      <c r="D79" s="5" t="s">
        <v>61</v>
      </c>
      <c r="E79" s="11">
        <v>44692.0</v>
      </c>
      <c r="F79" s="20">
        <f t="shared" si="26"/>
        <v>5</v>
      </c>
      <c r="G79" s="5" t="s">
        <v>43</v>
      </c>
      <c r="H79" s="5">
        <v>1.0</v>
      </c>
      <c r="I79" s="21">
        <v>5823.5</v>
      </c>
      <c r="J79" s="21">
        <v>5581.3333</v>
      </c>
      <c r="K79" s="9">
        <f>IFERROR(__xludf.DUMMYFUNCTION("if(B79=0,""..."",GOOGLEFINANCE(""BCBA:""&amp;B79))"),24150.0)</f>
        <v>24150</v>
      </c>
      <c r="L79" s="9">
        <f t="shared" si="27"/>
        <v>5823.5</v>
      </c>
      <c r="M79" s="9" t="str">
        <f>VLOOKUP(C79,CCLHistory!$A$6:$B84,2,FALSE)</f>
        <v>208,84</v>
      </c>
      <c r="N79" s="23">
        <f t="shared" si="23"/>
        <v>27.88498372</v>
      </c>
      <c r="O79" s="9">
        <f>if(B79=0,"...",$H79*(IF(D79="ABIERTA",K79,J79)*(1-VLOOKUP(A79,Config!$A$3:$B$5,2,FALSE))))</f>
        <v>5581.054233</v>
      </c>
      <c r="P79" s="9" t="str">
        <f>IF(D79="ABIERTA",Config!$D$4,VLOOKUP(E79,CCLHistory!$A$6:$B84,2,FALSE))</f>
        <v>207,94</v>
      </c>
      <c r="Q79" s="23">
        <f t="shared" si="24"/>
        <v>26.83973374</v>
      </c>
      <c r="R79" s="24">
        <f t="shared" si="5"/>
        <v>-0.03748433181</v>
      </c>
      <c r="S79" s="15">
        <f t="shared" si="6"/>
        <v>-1.045249982</v>
      </c>
      <c r="T79" s="10">
        <f t="shared" si="28"/>
        <v>-0.04163231161</v>
      </c>
      <c r="U79" s="9">
        <f t="shared" si="29"/>
        <v>-242.4457667</v>
      </c>
      <c r="V79" s="18"/>
      <c r="W79" s="46"/>
      <c r="X79" s="46"/>
      <c r="Y79" s="7"/>
      <c r="Z79" s="46"/>
      <c r="AA79" s="47"/>
      <c r="AB79" s="7"/>
      <c r="AC79" s="47"/>
      <c r="AD79" s="18"/>
      <c r="AE79" s="26"/>
      <c r="AF79" s="34"/>
      <c r="AG79" s="18"/>
      <c r="AH79" s="18"/>
      <c r="AI79" s="18"/>
    </row>
    <row r="80" hidden="1">
      <c r="A80" s="5" t="s">
        <v>40</v>
      </c>
      <c r="B80" s="5" t="s">
        <v>55</v>
      </c>
      <c r="C80" s="11">
        <v>44425.0</v>
      </c>
      <c r="D80" s="5" t="s">
        <v>61</v>
      </c>
      <c r="E80" s="11">
        <v>44473.0</v>
      </c>
      <c r="F80" s="20">
        <f t="shared" si="26"/>
        <v>48</v>
      </c>
      <c r="G80" s="5" t="s">
        <v>43</v>
      </c>
      <c r="H80" s="5">
        <v>5.0</v>
      </c>
      <c r="I80" s="21">
        <v>1339.3</v>
      </c>
      <c r="J80" s="21">
        <v>1512.0</v>
      </c>
      <c r="K80" s="9">
        <f>IFERROR(__xludf.DUMMYFUNCTION("if(B80=0,""..."",GOOGLEFINANCE(""BCBA:""&amp;B80))"),30700.0)</f>
        <v>30700</v>
      </c>
      <c r="L80" s="9">
        <f t="shared" si="27"/>
        <v>6696.5</v>
      </c>
      <c r="M80" s="9" t="str">
        <f>VLOOKUP(C80,CCLHistory!$A$6:$B84,2,FALSE)</f>
        <v>177,07</v>
      </c>
      <c r="N80" s="23">
        <f t="shared" si="23"/>
        <v>37.81837691</v>
      </c>
      <c r="O80" s="9">
        <f>if(B80=0,"...",$H80*(IF(D80="ABIERTA",K80,J80)*(1-VLOOKUP(A80,Config!$A$3:$B$5,2,FALSE))))</f>
        <v>7559.622</v>
      </c>
      <c r="P80" s="9" t="str">
        <f>IF(D80="ABIERTA",Config!$D$4,VLOOKUP(E80,CCLHistory!$A$6:$B84,2,FALSE))</f>
        <v>192,82</v>
      </c>
      <c r="Q80" s="23">
        <f t="shared" si="24"/>
        <v>39.20559071</v>
      </c>
      <c r="R80" s="24">
        <f t="shared" si="5"/>
        <v>0.03668094473</v>
      </c>
      <c r="S80" s="15">
        <f t="shared" si="6"/>
        <v>1.387213793</v>
      </c>
      <c r="T80" s="10">
        <f t="shared" si="28"/>
        <v>0.1288915105</v>
      </c>
      <c r="U80" s="9">
        <f t="shared" si="29"/>
        <v>863.122</v>
      </c>
      <c r="V80" s="18"/>
      <c r="W80" s="46"/>
      <c r="X80" s="46"/>
      <c r="Y80" s="7"/>
      <c r="Z80" s="46"/>
      <c r="AA80" s="47"/>
      <c r="AB80" s="7"/>
      <c r="AC80" s="47"/>
      <c r="AD80" s="18"/>
      <c r="AE80" s="26"/>
      <c r="AF80" s="34"/>
      <c r="AG80" s="18"/>
      <c r="AH80" s="18"/>
      <c r="AI80" s="18"/>
    </row>
    <row r="81" hidden="1">
      <c r="A81" s="5" t="s">
        <v>40</v>
      </c>
      <c r="B81" s="5" t="s">
        <v>56</v>
      </c>
      <c r="C81" s="11">
        <v>44580.0</v>
      </c>
      <c r="D81" s="5" t="s">
        <v>61</v>
      </c>
      <c r="E81" s="11">
        <v>44603.0</v>
      </c>
      <c r="F81" s="20">
        <f t="shared" si="26"/>
        <v>23</v>
      </c>
      <c r="G81" s="5" t="s">
        <v>43</v>
      </c>
      <c r="H81" s="5">
        <v>2.0</v>
      </c>
      <c r="I81" s="21">
        <v>5050.0</v>
      </c>
      <c r="J81" s="21">
        <v>4930.0</v>
      </c>
      <c r="K81" s="9">
        <f>IFERROR(__xludf.DUMMYFUNCTION("if(B81=0,""..."",GOOGLEFINANCE(""BCBA:""&amp;B81))"),9650.0)</f>
        <v>9650</v>
      </c>
      <c r="L81" s="9">
        <f t="shared" si="27"/>
        <v>10100</v>
      </c>
      <c r="M81" s="9" t="str">
        <f>VLOOKUP(C81,CCLHistory!$A$6:$B84,2,FALSE)</f>
        <v>214,34</v>
      </c>
      <c r="N81" s="23">
        <f t="shared" si="23"/>
        <v>47.12139591</v>
      </c>
      <c r="O81" s="9">
        <f>if(B81=0,"...",$H81*(IF(D81="ABIERTA",K81,J81)*(1-VLOOKUP(A81,Config!$A$3:$B$5,2,FALSE))))</f>
        <v>9859.507</v>
      </c>
      <c r="P81" s="9" t="str">
        <f>IF(D81="ABIERTA",Config!$D$4,VLOOKUP(E81,CCLHistory!$A$6:$B84,2,FALSE))</f>
        <v>215,83</v>
      </c>
      <c r="Q81" s="23">
        <f t="shared" si="24"/>
        <v>45.68181902</v>
      </c>
      <c r="R81" s="24">
        <f t="shared" si="5"/>
        <v>-0.03055038716</v>
      </c>
      <c r="S81" s="15">
        <f t="shared" si="6"/>
        <v>-1.439576889</v>
      </c>
      <c r="T81" s="10">
        <f t="shared" si="28"/>
        <v>-0.02381118812</v>
      </c>
      <c r="U81" s="9">
        <f t="shared" si="29"/>
        <v>-240.493</v>
      </c>
      <c r="V81" s="18"/>
      <c r="W81" s="46"/>
      <c r="X81" s="46"/>
      <c r="Y81" s="7"/>
      <c r="Z81" s="46"/>
      <c r="AA81" s="47"/>
      <c r="AB81" s="7"/>
      <c r="AC81" s="47"/>
      <c r="AD81" s="18"/>
      <c r="AE81" s="26"/>
      <c r="AF81" s="34"/>
      <c r="AG81" s="18"/>
      <c r="AH81" s="18"/>
      <c r="AI81" s="18"/>
    </row>
    <row r="82" hidden="1">
      <c r="A82" s="5" t="s">
        <v>40</v>
      </c>
      <c r="B82" s="5" t="s">
        <v>56</v>
      </c>
      <c r="C82" s="11">
        <v>44581.0</v>
      </c>
      <c r="D82" s="5" t="s">
        <v>61</v>
      </c>
      <c r="E82" s="11">
        <v>44701.0</v>
      </c>
      <c r="F82" s="20">
        <f t="shared" si="26"/>
        <v>120</v>
      </c>
      <c r="G82" s="5" t="s">
        <v>43</v>
      </c>
      <c r="H82" s="5">
        <v>5.0</v>
      </c>
      <c r="I82" s="21">
        <v>5050.0</v>
      </c>
      <c r="J82" s="21">
        <v>4930.0</v>
      </c>
      <c r="K82" s="9">
        <f>IFERROR(__xludf.DUMMYFUNCTION("if(B82=0,""..."",GOOGLEFINANCE(""BCBA:""&amp;B82))"),9650.0)</f>
        <v>9650</v>
      </c>
      <c r="L82" s="9">
        <f t="shared" si="27"/>
        <v>25250</v>
      </c>
      <c r="M82" s="9" t="str">
        <f>VLOOKUP(C82,CCLHistory!$A$6:$B84,2,FALSE)</f>
        <v>222,3</v>
      </c>
      <c r="N82" s="23">
        <f t="shared" si="23"/>
        <v>113.5852452</v>
      </c>
      <c r="O82" s="9">
        <f>if(B82=0,"...",$H82*(IF(D82="ABIERTA",K82,J82)*(1-VLOOKUP(A82,Config!$A$3:$B$5,2,FALSE))))</f>
        <v>24648.7675</v>
      </c>
      <c r="P82" s="9" t="str">
        <f>IF(D82="ABIERTA",Config!$D$4,VLOOKUP(E82,CCLHistory!$A$6:$B84,2,FALSE))</f>
        <v>211,22</v>
      </c>
      <c r="Q82" s="23">
        <f t="shared" si="24"/>
        <v>116.6971286</v>
      </c>
      <c r="R82" s="24">
        <f t="shared" si="5"/>
        <v>0.02739689841</v>
      </c>
      <c r="S82" s="15">
        <f t="shared" si="6"/>
        <v>3.111883422</v>
      </c>
      <c r="T82" s="10">
        <f t="shared" si="28"/>
        <v>-0.02381118812</v>
      </c>
      <c r="U82" s="9">
        <f t="shared" si="29"/>
        <v>-601.2325</v>
      </c>
      <c r="V82" s="18"/>
      <c r="W82" s="46"/>
      <c r="X82" s="46"/>
      <c r="Y82" s="7"/>
      <c r="Z82" s="46"/>
      <c r="AA82" s="47"/>
      <c r="AB82" s="7"/>
      <c r="AC82" s="47"/>
      <c r="AD82" s="18"/>
      <c r="AE82" s="26"/>
      <c r="AF82" s="34"/>
      <c r="AG82" s="18"/>
      <c r="AH82" s="18"/>
      <c r="AI82" s="18"/>
    </row>
    <row r="83" hidden="1">
      <c r="A83" s="5" t="s">
        <v>40</v>
      </c>
      <c r="B83" s="5" t="s">
        <v>56</v>
      </c>
      <c r="C83" s="11">
        <v>44596.0</v>
      </c>
      <c r="D83" s="5" t="s">
        <v>61</v>
      </c>
      <c r="E83" s="11">
        <v>44701.0</v>
      </c>
      <c r="F83" s="20">
        <f t="shared" si="26"/>
        <v>105</v>
      </c>
      <c r="G83" s="5" t="s">
        <v>43</v>
      </c>
      <c r="H83" s="5">
        <v>2.0</v>
      </c>
      <c r="I83" s="21">
        <v>5153.5</v>
      </c>
      <c r="J83" s="21">
        <v>4668.0</v>
      </c>
      <c r="K83" s="9">
        <f>IFERROR(__xludf.DUMMYFUNCTION("if(B83=0,""..."",GOOGLEFINANCE(""BCBA:""&amp;B83))"),9650.0)</f>
        <v>9650</v>
      </c>
      <c r="L83" s="9">
        <f t="shared" si="27"/>
        <v>10307</v>
      </c>
      <c r="M83" s="9" t="str">
        <f>VLOOKUP(C83,CCLHistory!$A$6:$B84,2,FALSE)</f>
        <v>220,47</v>
      </c>
      <c r="N83" s="23">
        <f t="shared" si="23"/>
        <v>46.75012473</v>
      </c>
      <c r="O83" s="9">
        <f>if(B83=0,"...",$H83*(IF(D83="ABIERTA",K83,J83)*(1-VLOOKUP(A83,Config!$A$3:$B$5,2,FALSE))))</f>
        <v>9335.5332</v>
      </c>
      <c r="P83" s="9" t="str">
        <f>IF(D83="ABIERTA",Config!$D$4,VLOOKUP(E83,CCLHistory!$A$6:$B84,2,FALSE))</f>
        <v>211,22</v>
      </c>
      <c r="Q83" s="23">
        <f t="shared" si="24"/>
        <v>44.1981498</v>
      </c>
      <c r="R83" s="24">
        <f t="shared" si="5"/>
        <v>-0.05458755354</v>
      </c>
      <c r="S83" s="15">
        <f t="shared" si="6"/>
        <v>-2.551974937</v>
      </c>
      <c r="T83" s="10">
        <f t="shared" si="28"/>
        <v>-0.09425310954</v>
      </c>
      <c r="U83" s="9">
        <f t="shared" si="29"/>
        <v>-971.4668</v>
      </c>
      <c r="V83" s="18"/>
      <c r="W83" s="46"/>
      <c r="X83" s="46"/>
      <c r="Y83" s="7"/>
      <c r="Z83" s="46"/>
      <c r="AA83" s="47"/>
      <c r="AB83" s="7"/>
      <c r="AC83" s="47"/>
      <c r="AD83" s="18"/>
      <c r="AE83" s="26"/>
      <c r="AF83" s="34"/>
      <c r="AG83" s="18"/>
      <c r="AH83" s="18"/>
      <c r="AI83" s="18"/>
    </row>
    <row r="84" hidden="1">
      <c r="A84" s="5" t="s">
        <v>40</v>
      </c>
      <c r="B84" s="5" t="s">
        <v>56</v>
      </c>
      <c r="C84" s="11">
        <v>44645.0</v>
      </c>
      <c r="D84" s="5" t="s">
        <v>61</v>
      </c>
      <c r="E84" s="11">
        <v>44701.0</v>
      </c>
      <c r="F84" s="20">
        <f t="shared" si="26"/>
        <v>56</v>
      </c>
      <c r="G84" s="5" t="s">
        <v>43</v>
      </c>
      <c r="H84" s="5">
        <v>4.0</v>
      </c>
      <c r="I84" s="21">
        <v>4770.0</v>
      </c>
      <c r="J84" s="21">
        <v>4668.0</v>
      </c>
      <c r="K84" s="9">
        <f>IFERROR(__xludf.DUMMYFUNCTION("if(B84=0,""..."",GOOGLEFINANCE(""BCBA:""&amp;B84))"),9650.0)</f>
        <v>9650</v>
      </c>
      <c r="L84" s="9">
        <f t="shared" si="27"/>
        <v>19080</v>
      </c>
      <c r="M84" s="9" t="str">
        <f>VLOOKUP(C84,CCLHistory!$A$6:$B84,2,FALSE)</f>
        <v>199,5</v>
      </c>
      <c r="N84" s="23">
        <f t="shared" si="23"/>
        <v>95.63909774</v>
      </c>
      <c r="O84" s="9">
        <f>if(B84=0,"...",$H84*(IF(D84="ABIERTA",K84,J84)*(1-VLOOKUP(A84,Config!$A$3:$B$5,2,FALSE))))</f>
        <v>18671.0664</v>
      </c>
      <c r="P84" s="9" t="str">
        <f>IF(D84="ABIERTA",Config!$D$4,VLOOKUP(E84,CCLHistory!$A$6:$B84,2,FALSE))</f>
        <v>211,22</v>
      </c>
      <c r="Q84" s="23">
        <f t="shared" si="24"/>
        <v>88.39629959</v>
      </c>
      <c r="R84" s="24">
        <f t="shared" si="5"/>
        <v>-0.07573051526</v>
      </c>
      <c r="S84" s="15">
        <f t="shared" si="6"/>
        <v>-7.242798152</v>
      </c>
      <c r="T84" s="10">
        <f t="shared" si="28"/>
        <v>-0.02143257862</v>
      </c>
      <c r="U84" s="9">
        <f t="shared" si="29"/>
        <v>-408.9336</v>
      </c>
      <c r="V84" s="18"/>
      <c r="W84" s="46"/>
      <c r="X84" s="46"/>
      <c r="Y84" s="7"/>
      <c r="Z84" s="46"/>
      <c r="AA84" s="47"/>
      <c r="AB84" s="7"/>
      <c r="AC84" s="47"/>
      <c r="AD84" s="18"/>
      <c r="AE84" s="26"/>
      <c r="AF84" s="34"/>
      <c r="AG84" s="18"/>
      <c r="AH84" s="18"/>
      <c r="AI84" s="18"/>
    </row>
  </sheetData>
  <autoFilter ref="$A$1:$U$84">
    <filterColumn colId="3">
      <filters>
        <filter val="ABIERTA"/>
      </filters>
    </filterColumn>
  </autoFilter>
  <mergeCells count="13">
    <mergeCell ref="AE22:AE23"/>
    <mergeCell ref="AE26:AE27"/>
    <mergeCell ref="AF26:AF27"/>
    <mergeCell ref="AG26:AG27"/>
    <mergeCell ref="AH26:AH27"/>
    <mergeCell ref="AE30:AE31"/>
    <mergeCell ref="AE20:AE21"/>
    <mergeCell ref="AF20:AF21"/>
    <mergeCell ref="AG20:AG21"/>
    <mergeCell ref="AH20:AH21"/>
    <mergeCell ref="AF22:AF23"/>
    <mergeCell ref="AG22:AG23"/>
    <mergeCell ref="AH22:AH23"/>
  </mergeCells>
  <conditionalFormatting sqref="R1:R84 T2:T84">
    <cfRule type="cellIs" dxfId="0" priority="1" operator="greaterThanOrEqual">
      <formula>"10%"</formula>
    </cfRule>
  </conditionalFormatting>
  <conditionalFormatting sqref="R1:R84 T2:T84">
    <cfRule type="cellIs" dxfId="1" priority="2" operator="between">
      <formula>"1%"</formula>
      <formula>"10%"</formula>
    </cfRule>
  </conditionalFormatting>
  <conditionalFormatting sqref="R1:R84 T2:T84">
    <cfRule type="cellIs" dxfId="2" priority="3" operator="lessThanOrEqual">
      <formula>"-10%"</formula>
    </cfRule>
  </conditionalFormatting>
  <conditionalFormatting sqref="R1:R84 T2:T84">
    <cfRule type="cellIs" dxfId="3" priority="4" operator="between">
      <formula>"-1%"</formula>
      <formula>"-10%"</formula>
    </cfRule>
  </conditionalFormatting>
  <conditionalFormatting sqref="R1:R84 T2:T84">
    <cfRule type="cellIs" dxfId="4" priority="5" operator="between">
      <formula>"-1%"</formula>
      <formula>"1%"</formula>
    </cfRule>
  </conditionalFormatting>
  <conditionalFormatting sqref="K2:K84">
    <cfRule type="expression" dxfId="5" priority="6">
      <formula>K2&gt;I2</formula>
    </cfRule>
  </conditionalFormatting>
  <conditionalFormatting sqref="K2:K84">
    <cfRule type="expression" dxfId="6" priority="7">
      <formula>K2&lt;I2</formula>
    </cfRule>
  </conditionalFormatting>
  <conditionalFormatting sqref="D2:D84">
    <cfRule type="containsText" dxfId="7" priority="8" operator="containsText" text="ABIERTA">
      <formula>NOT(ISERROR(SEARCH(("ABIERTA"),(D2))))</formula>
    </cfRule>
  </conditionalFormatting>
  <conditionalFormatting sqref="D2:D84">
    <cfRule type="containsText" dxfId="8" priority="9" operator="containsText" text="CERRADA">
      <formula>NOT(ISERROR(SEARCH(("CERRADA"),(D2))))</formula>
    </cfRule>
  </conditionalFormatting>
  <conditionalFormatting sqref="R6">
    <cfRule type="notContainsBlanks" dxfId="9" priority="10">
      <formula>LEN(TRIM(R6))&gt;0</formula>
    </cfRule>
  </conditionalFormatting>
  <dataValidations>
    <dataValidation type="list" allowBlank="1" sqref="D2:D84">
      <formula1>"ABIERTA,CERRADA"</formula1>
    </dataValidation>
    <dataValidation type="list" allowBlank="1" sqref="A2:A84">
      <formula1>Config!$A$3:$A$5</formula1>
    </dataValidation>
    <dataValidation type="list" allowBlank="1" sqref="AG31">
      <formula1>"7,14,28,365"</formula1>
    </dataValidation>
    <dataValidation type="list" allowBlank="1" showErrorMessage="1" sqref="G2:G84">
      <formula1>Config!$J$3:$J84</formula1>
    </dataValidation>
    <dataValidation type="list" allowBlank="1" sqref="AG30">
      <formula1>"line,column"</formula1>
    </dataValidation>
    <dataValidation type="custom" allowBlank="1" showDropDown="1" sqref="C2:C84 E2:E84">
      <formula1>OR(NOT(ISERROR(DATEVALUE(C2))), AND(ISNUMBER(C2), LEFT(CELL("format", C2))="D"))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75"/>
    <col customWidth="1" min="2" max="2" width="17.13"/>
    <col customWidth="1" min="3" max="5" width="10.75"/>
    <col customWidth="1" min="6" max="6" width="6.38"/>
    <col customWidth="1" min="7" max="10" width="10.75"/>
    <col customWidth="1" min="11" max="11" width="17.38"/>
    <col customWidth="1" min="12" max="12" width="12.63"/>
    <col customWidth="1" min="13" max="13" width="14.88"/>
    <col customWidth="1" min="14" max="14" width="11.88"/>
    <col customWidth="1" min="15" max="15" width="12.63"/>
    <col customWidth="1" min="16" max="16" width="12.0"/>
    <col customWidth="1" min="17" max="18" width="16.25"/>
    <col customWidth="1" min="19" max="19" width="12.0"/>
    <col customWidth="1" min="20" max="20" width="15.5"/>
    <col customWidth="1" min="21" max="21" width="10.63"/>
    <col customWidth="1" min="22" max="22" width="12.0"/>
    <col customWidth="1" min="23" max="23" width="3.0"/>
    <col customWidth="1" min="24" max="25" width="14.5"/>
    <col customWidth="1" min="26" max="26" width="10.13"/>
    <col customWidth="1" min="32" max="32" width="3.0"/>
    <col customWidth="1" min="37" max="37" width="3.88"/>
    <col customWidth="1" min="38" max="38" width="19.88"/>
    <col customWidth="1" min="39" max="39" width="12.88"/>
    <col customWidth="1" min="40" max="40" width="9.25"/>
    <col customWidth="1" min="41" max="48" width="12.25"/>
    <col customWidth="1" min="49" max="49" width="16.88"/>
    <col customWidth="1" min="50" max="53" width="12.25"/>
  </cols>
  <sheetData>
    <row r="1">
      <c r="A1" s="3"/>
      <c r="B1" s="3" t="s">
        <v>63</v>
      </c>
      <c r="C1" s="3" t="s">
        <v>16</v>
      </c>
      <c r="D1" s="3" t="s">
        <v>17</v>
      </c>
      <c r="E1" s="16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64</v>
      </c>
      <c r="M1" s="13" t="s">
        <v>25</v>
      </c>
      <c r="N1" s="3" t="s">
        <v>65</v>
      </c>
      <c r="O1" s="3" t="s">
        <v>27</v>
      </c>
      <c r="P1" s="3" t="s">
        <v>28</v>
      </c>
      <c r="Q1" s="3" t="s">
        <v>66</v>
      </c>
      <c r="R1" s="3" t="s">
        <v>30</v>
      </c>
      <c r="S1" s="3" t="s">
        <v>33</v>
      </c>
      <c r="T1" s="3" t="s">
        <v>34</v>
      </c>
      <c r="U1" s="17" t="s">
        <v>31</v>
      </c>
      <c r="V1" s="13" t="s">
        <v>32</v>
      </c>
      <c r="W1" s="18"/>
      <c r="X1" s="3" t="s">
        <v>15</v>
      </c>
      <c r="Y1" s="3" t="s">
        <v>24</v>
      </c>
      <c r="Z1" s="3" t="s">
        <v>21</v>
      </c>
      <c r="AA1" s="3" t="s">
        <v>36</v>
      </c>
      <c r="AB1" s="3" t="s">
        <v>37</v>
      </c>
      <c r="AC1" s="13" t="s">
        <v>38</v>
      </c>
      <c r="AD1" s="3" t="s">
        <v>33</v>
      </c>
      <c r="AE1" s="13" t="s">
        <v>39</v>
      </c>
      <c r="AF1" s="18"/>
      <c r="AG1" s="18"/>
      <c r="AH1" s="18"/>
      <c r="AI1" s="18"/>
      <c r="AJ1" s="18"/>
      <c r="AK1" s="48"/>
      <c r="AL1" s="26" t="s">
        <v>67</v>
      </c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</row>
    <row r="2">
      <c r="A2" s="5" t="s">
        <v>40</v>
      </c>
      <c r="B2" s="5" t="s">
        <v>68</v>
      </c>
      <c r="C2" s="50">
        <v>45126.0</v>
      </c>
      <c r="D2" s="5" t="s">
        <v>42</v>
      </c>
      <c r="E2" s="19"/>
      <c r="F2" s="20">
        <f t="shared" ref="F2:F8" si="1">if(B2=0,"...", IF(E2=0,today()-C2,E2-C2))</f>
        <v>870</v>
      </c>
      <c r="G2" s="5" t="s">
        <v>43</v>
      </c>
      <c r="H2" s="5">
        <v>362.0</v>
      </c>
      <c r="I2" s="21">
        <v>54149.9033</v>
      </c>
      <c r="J2" s="21"/>
      <c r="K2" s="9">
        <f t="shared" ref="K2:K28" si="2">if(B2=0,"...",VLOOKUP(B2,$X$2:$Y1095,2,false))</f>
        <v>153140</v>
      </c>
      <c r="L2" s="9">
        <f t="shared" ref="L2:L28" si="3">if(B2=0,"...",K2/IF(G2="DOLARES",1,Q2))</f>
        <v>120.925458</v>
      </c>
      <c r="M2" s="15">
        <f t="shared" ref="M2:M8" si="4">if(B2=0,"...",$H2*I2/IF(G2="DOLARES",1,100))</f>
        <v>196022.6499</v>
      </c>
      <c r="N2" s="9" t="str">
        <f>IF($F3=0,Config!$D$3,VLOOKUP(C3,MEPHistory!$A$3:$B1095,2,FALSE))</f>
        <v>505,75</v>
      </c>
      <c r="O2" s="23">
        <f t="shared" ref="O2:O8" si="5">M2/IF(G2="DOLARES",1,N2)</f>
        <v>387.5880375</v>
      </c>
      <c r="P2" s="9">
        <f>if(B2=0,"...",$H2*(IF(D2="ABIERTA",K2,J2)*(1-VLOOKUP(A2,Config!$A$3:$B$5,2,FALSE)))/IF(G2="DOLARES",1,100))</f>
        <v>554339.0817</v>
      </c>
      <c r="Q2" s="9">
        <f>IF(D2="ABIERTA",Config!$D$3,VLOOKUP(E2,CCLHistory!$A$6:$B1095,2,FALSE))</f>
        <v>1266.4</v>
      </c>
      <c r="R2" s="23">
        <f t="shared" ref="R2:R8" si="6">P2/IF(G2="DOLARES",1,Q2)</f>
        <v>437.7282704</v>
      </c>
      <c r="S2" s="10">
        <f t="shared" ref="S2:S28" si="7">if(B2=0,"...",P2/M2-1)</f>
        <v>1.827933822</v>
      </c>
      <c r="T2" s="9">
        <f t="shared" ref="T2:T28" si="8">if(B2=0,"...",P2-M2)</f>
        <v>358316.4317</v>
      </c>
      <c r="U2" s="24">
        <f t="shared" ref="U2:U28" si="9">if(B2=0,"...",R2/O2-1)</f>
        <v>0.1293647587</v>
      </c>
      <c r="V2" s="15">
        <f t="shared" ref="V2:V28" si="10">if(B2=0,"...",R2-O2)</f>
        <v>50.14023296</v>
      </c>
      <c r="W2" s="18"/>
      <c r="X2" s="9" t="str">
        <f t="array" ref="X2:X6">Unique(B2:B1095)</f>
        <v>MTCGO</v>
      </c>
      <c r="Y2" s="9">
        <f t="shared" ref="Y2:Y28" si="11">if(X2=0,"...",VLOOKUP("*"&amp;X2&amp;"*",$AL$2:$AM1095,2,false))</f>
        <v>153140</v>
      </c>
      <c r="Z2" s="9">
        <f t="shared" ref="Z2:Z28" si="12">if(X2=0,"...",sumifs($H$2:$H1095,$B$2:$B1095,X2,$D$2:$D1095,"ABIERTA"))</f>
        <v>362</v>
      </c>
      <c r="AA2" s="10">
        <f t="shared" ref="AA2:AA28" si="13">if(X2=0,"",AC2/$AH$18)</f>
        <v>0.2853769225</v>
      </c>
      <c r="AB2" s="9">
        <f t="shared" ref="AB2:AB28" si="14">if(Z2=0,"...",if(X2=0,"...",sumifs($O$2:$O1095,$B$2:$B1095,X2,$D$2:$D1095,"ABIERTA")/Z2))</f>
        <v>1.070685186</v>
      </c>
      <c r="AC2" s="15">
        <f t="shared" ref="AC2:AC28" si="15">if(X2=0,"...",sumifs($R$2:$R1095,$B$2:$B1095,X2,$D$2:$D1095,"ABIERTA"))</f>
        <v>437.7282704</v>
      </c>
      <c r="AD2" s="10">
        <f t="shared" ref="AD2:AD28" si="16">if(Z2=0,"...",if(X2=0,"...",AE2/(AC2-AE2)))</f>
        <v>0.1293647587</v>
      </c>
      <c r="AE2" s="15">
        <f t="shared" ref="AE2:AE28" si="17">if(Z2=0,"...",if(X2=0,"...",sumifs($V$2:$V1095,$B$2:$B1095,X2,$D$2:$D1095,"ABIERTA")))</f>
        <v>50.14023296</v>
      </c>
      <c r="AF2" s="18"/>
      <c r="AG2" s="18"/>
      <c r="AH2" s="18"/>
      <c r="AI2" s="18"/>
      <c r="AJ2" s="18"/>
      <c r="AK2" s="48"/>
      <c r="AL2" s="26" t="str">
        <f>IFERROR(__xludf.DUMMYFUNCTION("QUERY(IMPORTHTML(DataImports!B6,DataImports!D6,1),""select Col1, Col2"",1)"),"Símbolo")</f>
        <v>Símbolo</v>
      </c>
      <c r="AM2" s="26" t="str">
        <f>IFERROR(__xludf.DUMMYFUNCTION("""COMPUTED_VALUE"""),"Último
Operado")</f>
        <v>Último
Operado</v>
      </c>
      <c r="AN2" s="49"/>
      <c r="AO2" s="49"/>
      <c r="AP2" s="49"/>
      <c r="AQ2" s="49"/>
      <c r="AR2" s="49"/>
      <c r="AS2" s="49"/>
      <c r="AT2" s="49"/>
      <c r="AU2" s="49"/>
      <c r="AV2" s="49"/>
    </row>
    <row r="3">
      <c r="A3" s="5" t="s">
        <v>40</v>
      </c>
      <c r="B3" s="5" t="s">
        <v>69</v>
      </c>
      <c r="C3" s="11">
        <v>45134.0</v>
      </c>
      <c r="D3" s="5" t="s">
        <v>42</v>
      </c>
      <c r="E3" s="11"/>
      <c r="F3" s="20">
        <f t="shared" si="1"/>
        <v>862</v>
      </c>
      <c r="G3" s="5" t="s">
        <v>43</v>
      </c>
      <c r="H3" s="5">
        <v>363.0</v>
      </c>
      <c r="I3" s="21">
        <v>53888.5675</v>
      </c>
      <c r="J3" s="21"/>
      <c r="K3" s="9">
        <f t="shared" si="2"/>
        <v>103540</v>
      </c>
      <c r="L3" s="9">
        <f t="shared" si="3"/>
        <v>81.75931775</v>
      </c>
      <c r="M3" s="15">
        <f t="shared" si="4"/>
        <v>195615.5</v>
      </c>
      <c r="N3" s="9" t="str">
        <f>IF($F4=0,Config!$D$3,VLOOKUP(C4,MEPHistory!$A$3:$B1095,2,FALSE))</f>
        <v>509,94</v>
      </c>
      <c r="O3" s="23">
        <f t="shared" si="5"/>
        <v>383.604934</v>
      </c>
      <c r="P3" s="9">
        <f>if(B3=0,"...",$H3*(IF(D3="ABIERTA",K3,J3)*(1-VLOOKUP(A3,Config!$A$3:$B$5,2,FALSE)))/IF(G3="DOLARES",1,100))</f>
        <v>375831.4075</v>
      </c>
      <c r="Q3" s="9">
        <f>IF(D3="ABIERTA",Config!$D$3,VLOOKUP(E3,CCLHistory!$A$6:$B1095,2,FALSE))</f>
        <v>1266.4</v>
      </c>
      <c r="R3" s="23">
        <f t="shared" si="6"/>
        <v>296.7714841</v>
      </c>
      <c r="S3" s="10">
        <f t="shared" si="7"/>
        <v>0.921276215</v>
      </c>
      <c r="T3" s="9">
        <f t="shared" si="8"/>
        <v>180215.9075</v>
      </c>
      <c r="U3" s="24">
        <f t="shared" si="9"/>
        <v>-0.2263616605</v>
      </c>
      <c r="V3" s="15">
        <f t="shared" si="10"/>
        <v>-86.83344984</v>
      </c>
      <c r="W3" s="18"/>
      <c r="X3" s="9" t="s">
        <v>69</v>
      </c>
      <c r="Y3" s="9">
        <f t="shared" si="11"/>
        <v>103540</v>
      </c>
      <c r="Z3" s="9">
        <f t="shared" si="12"/>
        <v>418</v>
      </c>
      <c r="AA3" s="10">
        <f t="shared" si="13"/>
        <v>0.2227953279</v>
      </c>
      <c r="AB3" s="9">
        <f t="shared" si="14"/>
        <v>1.009900419</v>
      </c>
      <c r="AC3" s="15">
        <f t="shared" si="15"/>
        <v>341.7368605</v>
      </c>
      <c r="AD3" s="10">
        <f t="shared" si="16"/>
        <v>-0.1904624631</v>
      </c>
      <c r="AE3" s="15">
        <f t="shared" si="17"/>
        <v>-80.40151471</v>
      </c>
      <c r="AF3" s="18"/>
      <c r="AG3" s="18"/>
      <c r="AH3" s="18"/>
      <c r="AI3" s="18"/>
      <c r="AJ3" s="18"/>
      <c r="AK3" s="48"/>
      <c r="AL3" s="9" t="str">
        <f>IFERROR(__xludf.DUMMYFUNCTION("""COMPUTED_VALUE"""),"* AER1O *")</f>
        <v>* AER1O *</v>
      </c>
      <c r="AM3" s="9">
        <f>IFERROR(__xludf.DUMMYFUNCTION("""COMPUTED_VALUE"""),15390.4)</f>
        <v>15390.4</v>
      </c>
    </row>
    <row r="4">
      <c r="A4" s="5" t="s">
        <v>40</v>
      </c>
      <c r="B4" s="5" t="s">
        <v>70</v>
      </c>
      <c r="C4" s="11">
        <v>45135.0</v>
      </c>
      <c r="D4" s="5" t="s">
        <v>42</v>
      </c>
      <c r="E4" s="11"/>
      <c r="F4" s="20">
        <f t="shared" si="1"/>
        <v>861</v>
      </c>
      <c r="G4" s="5" t="s">
        <v>43</v>
      </c>
      <c r="H4" s="5">
        <v>375.0</v>
      </c>
      <c r="I4" s="21">
        <v>53229.0</v>
      </c>
      <c r="J4" s="21"/>
      <c r="K4" s="9">
        <f t="shared" si="2"/>
        <v>161330</v>
      </c>
      <c r="L4" s="9">
        <f t="shared" si="3"/>
        <v>127.392609</v>
      </c>
      <c r="M4" s="15">
        <f t="shared" si="4"/>
        <v>199608.75</v>
      </c>
      <c r="N4" s="9" t="str">
        <f>IF($F5=0,Config!$D$3,VLOOKUP(C5,MEPHistory!$A$3:$B1095,2,FALSE))</f>
        <v>899,33</v>
      </c>
      <c r="O4" s="23">
        <f t="shared" si="5"/>
        <v>221.9527315</v>
      </c>
      <c r="P4" s="9">
        <f>if(B4=0,"...",$H4*(IF(D4="ABIERTA",K4,J4)*(1-VLOOKUP(A4,Config!$A$3:$B$5,2,FALSE)))/IF(G4="DOLARES",1,100))</f>
        <v>604957.2506</v>
      </c>
      <c r="Q4" s="9">
        <f>IF(D4="ABIERTA",Config!$D$3,VLOOKUP(E4,CCLHistory!$A$6:$B1095,2,FALSE))</f>
        <v>1266.4</v>
      </c>
      <c r="R4" s="23">
        <f t="shared" si="6"/>
        <v>477.6983975</v>
      </c>
      <c r="S4" s="10">
        <f t="shared" si="7"/>
        <v>2.03071509</v>
      </c>
      <c r="T4" s="9">
        <f t="shared" si="8"/>
        <v>405348.5006</v>
      </c>
      <c r="U4" s="24">
        <f t="shared" si="9"/>
        <v>1.152252844</v>
      </c>
      <c r="V4" s="15">
        <f t="shared" si="10"/>
        <v>255.745666</v>
      </c>
      <c r="W4" s="18"/>
      <c r="X4" s="9" t="s">
        <v>70</v>
      </c>
      <c r="Y4" s="9">
        <f t="shared" si="11"/>
        <v>161330</v>
      </c>
      <c r="Z4" s="9">
        <f t="shared" si="12"/>
        <v>505</v>
      </c>
      <c r="AA4" s="10">
        <f t="shared" si="13"/>
        <v>0.4193997322</v>
      </c>
      <c r="AB4" s="9">
        <f t="shared" si="14"/>
        <v>0.6777955047</v>
      </c>
      <c r="AC4" s="15">
        <f t="shared" si="15"/>
        <v>643.3005087</v>
      </c>
      <c r="AD4" s="10">
        <f t="shared" si="16"/>
        <v>0.8794199499</v>
      </c>
      <c r="AE4" s="15">
        <f t="shared" si="17"/>
        <v>301.0137788</v>
      </c>
      <c r="AF4" s="18"/>
      <c r="AG4" s="18"/>
      <c r="AH4" s="18"/>
      <c r="AI4" s="18"/>
      <c r="AJ4" s="18"/>
      <c r="AK4" s="48"/>
      <c r="AL4" s="9" t="str">
        <f>IFERROR(__xludf.DUMMYFUNCTION("""COMPUTED_VALUE"""),"* AER9O *")</f>
        <v>* AER9O *</v>
      </c>
      <c r="AM4" s="9">
        <f>IFERROR(__xludf.DUMMYFUNCTION("""COMPUTED_VALUE"""),150000.0)</f>
        <v>150000</v>
      </c>
    </row>
    <row r="5">
      <c r="A5" s="5" t="s">
        <v>40</v>
      </c>
      <c r="B5" s="5" t="s">
        <v>71</v>
      </c>
      <c r="C5" s="11">
        <v>45222.0</v>
      </c>
      <c r="D5" s="5" t="s">
        <v>42</v>
      </c>
      <c r="E5" s="11"/>
      <c r="F5" s="20">
        <f t="shared" si="1"/>
        <v>774</v>
      </c>
      <c r="G5" s="5" t="s">
        <v>72</v>
      </c>
      <c r="H5" s="5">
        <v>1.0</v>
      </c>
      <c r="I5" s="21">
        <v>97.9</v>
      </c>
      <c r="J5" s="21"/>
      <c r="K5" s="9">
        <f t="shared" si="2"/>
        <v>111.1</v>
      </c>
      <c r="L5" s="9">
        <f t="shared" si="3"/>
        <v>111.1</v>
      </c>
      <c r="M5" s="15">
        <f t="shared" si="4"/>
        <v>97.9</v>
      </c>
      <c r="N5" s="9" t="str">
        <f>IF($F6=0,Config!$D$3,VLOOKUP(C6,MEPHistory!$A$3:$B1095,2,FALSE))</f>
        <v>857,14</v>
      </c>
      <c r="O5" s="23">
        <f t="shared" si="5"/>
        <v>97.9</v>
      </c>
      <c r="P5" s="9">
        <f>if(B5=0,"...",$H5*(IF(D5="ABIERTA",K5,J5)*(1-VLOOKUP(A5,Config!$A$3:$B$5,2,FALSE)))/IF(G5="DOLARES",1,100))</f>
        <v>111.094445</v>
      </c>
      <c r="Q5" s="9">
        <f>IF(D5="ABIERTA",Config!$D$3,VLOOKUP(E5,CCLHistory!$A$6:$B1095,2,FALSE))</f>
        <v>1266.4</v>
      </c>
      <c r="R5" s="23">
        <f t="shared" si="6"/>
        <v>111.094445</v>
      </c>
      <c r="S5" s="10">
        <f t="shared" si="7"/>
        <v>0.1347747191</v>
      </c>
      <c r="T5" s="9">
        <f t="shared" si="8"/>
        <v>13.194445</v>
      </c>
      <c r="U5" s="24">
        <f t="shared" si="9"/>
        <v>0.1347747191</v>
      </c>
      <c r="V5" s="15">
        <f t="shared" si="10"/>
        <v>13.194445</v>
      </c>
      <c r="W5" s="18"/>
      <c r="X5" s="9" t="s">
        <v>71</v>
      </c>
      <c r="Y5" s="9">
        <f t="shared" si="11"/>
        <v>111.1</v>
      </c>
      <c r="Z5" s="9">
        <f t="shared" si="12"/>
        <v>1</v>
      </c>
      <c r="AA5" s="10">
        <f t="shared" si="13"/>
        <v>0.07242801747</v>
      </c>
      <c r="AB5" s="9">
        <f t="shared" si="14"/>
        <v>97.9</v>
      </c>
      <c r="AC5" s="15">
        <f t="shared" si="15"/>
        <v>111.094445</v>
      </c>
      <c r="AD5" s="10">
        <f t="shared" si="16"/>
        <v>0.1347747191</v>
      </c>
      <c r="AE5" s="15">
        <f t="shared" si="17"/>
        <v>13.194445</v>
      </c>
      <c r="AF5" s="18"/>
      <c r="AG5" s="18"/>
      <c r="AH5" s="18"/>
      <c r="AI5" s="18"/>
      <c r="AJ5" s="18"/>
      <c r="AK5" s="48"/>
      <c r="AL5" s="9" t="str">
        <f>IFERROR(__xludf.DUMMYFUNCTION("""COMPUTED_VALUE"""),"* AERBD *")</f>
        <v>* AERBD *</v>
      </c>
      <c r="AM5" s="9">
        <f>IFERROR(__xludf.DUMMYFUNCTION("""COMPUTED_VALUE"""),102.0)</f>
        <v>102</v>
      </c>
    </row>
    <row r="6">
      <c r="A6" s="5" t="s">
        <v>40</v>
      </c>
      <c r="B6" s="5" t="s">
        <v>70</v>
      </c>
      <c r="C6" s="11">
        <v>45246.0</v>
      </c>
      <c r="D6" s="5" t="s">
        <v>42</v>
      </c>
      <c r="E6" s="11"/>
      <c r="F6" s="20">
        <f t="shared" si="1"/>
        <v>750</v>
      </c>
      <c r="G6" s="5" t="s">
        <v>43</v>
      </c>
      <c r="H6" s="5">
        <v>71.0</v>
      </c>
      <c r="I6" s="21">
        <v>82500.0</v>
      </c>
      <c r="J6" s="21"/>
      <c r="K6" s="9">
        <f t="shared" si="2"/>
        <v>161330</v>
      </c>
      <c r="L6" s="9">
        <f t="shared" si="3"/>
        <v>127.392609</v>
      </c>
      <c r="M6" s="15">
        <f t="shared" si="4"/>
        <v>58575</v>
      </c>
      <c r="N6" s="9" t="str">
        <f>IF($F7=0,Config!$D$3,VLOOKUP(C6,MEPHistory!$A$3:$B1095,2,FALSE))</f>
        <v>857,14</v>
      </c>
      <c r="O6" s="23">
        <f t="shared" si="5"/>
        <v>68.33772779</v>
      </c>
      <c r="P6" s="9">
        <f>if(B6=0,"...",$H6*(IF(D6="ABIERTA",K6,J6)*(1-VLOOKUP(A6,Config!$A$3:$B$5,2,FALSE)))/IF(G6="DOLARES",1,100))</f>
        <v>114538.5728</v>
      </c>
      <c r="Q6" s="9">
        <f>IF(D6="ABIERTA",Config!$D$3,VLOOKUP(E6,CCLHistory!$A$6:$B1095,2,FALSE))</f>
        <v>1266.4</v>
      </c>
      <c r="R6" s="23">
        <f t="shared" si="6"/>
        <v>90.44422993</v>
      </c>
      <c r="S6" s="10">
        <f t="shared" si="7"/>
        <v>0.9554173758</v>
      </c>
      <c r="T6" s="9">
        <f t="shared" si="8"/>
        <v>55963.57279</v>
      </c>
      <c r="U6" s="24">
        <f t="shared" si="9"/>
        <v>0.3234889841</v>
      </c>
      <c r="V6" s="15">
        <f t="shared" si="10"/>
        <v>22.10650214</v>
      </c>
      <c r="W6" s="18"/>
      <c r="X6" s="9"/>
      <c r="Y6" s="9" t="str">
        <f t="shared" si="11"/>
        <v>...</v>
      </c>
      <c r="Z6" s="9" t="str">
        <f t="shared" si="12"/>
        <v>...</v>
      </c>
      <c r="AA6" s="10" t="str">
        <f t="shared" si="13"/>
        <v/>
      </c>
      <c r="AB6" s="9" t="str">
        <f t="shared" si="14"/>
        <v>...</v>
      </c>
      <c r="AC6" s="15" t="str">
        <f t="shared" si="15"/>
        <v>...</v>
      </c>
      <c r="AD6" s="10" t="str">
        <f t="shared" si="16"/>
        <v>...</v>
      </c>
      <c r="AE6" s="15" t="str">
        <f t="shared" si="17"/>
        <v>...</v>
      </c>
      <c r="AF6" s="18"/>
      <c r="AG6" s="18"/>
      <c r="AH6" s="18"/>
      <c r="AI6" s="18"/>
      <c r="AJ6" s="18"/>
      <c r="AK6" s="48"/>
      <c r="AL6" s="9" t="str">
        <f>IFERROR(__xludf.DUMMYFUNCTION("""COMPUTED_VALUE"""),"* AERBO *")</f>
        <v>* AERBO *</v>
      </c>
      <c r="AM6" s="9">
        <f>IFERROR(__xludf.DUMMYFUNCTION("""COMPUTED_VALUE"""),151990.0)</f>
        <v>151990</v>
      </c>
    </row>
    <row r="7">
      <c r="A7" s="5" t="s">
        <v>40</v>
      </c>
      <c r="B7" s="5" t="s">
        <v>70</v>
      </c>
      <c r="C7" s="11">
        <v>45251.0</v>
      </c>
      <c r="D7" s="5" t="s">
        <v>42</v>
      </c>
      <c r="E7" s="11"/>
      <c r="F7" s="20">
        <f t="shared" si="1"/>
        <v>745</v>
      </c>
      <c r="G7" s="5" t="s">
        <v>43</v>
      </c>
      <c r="H7" s="5">
        <v>59.0</v>
      </c>
      <c r="I7" s="21">
        <v>81999.0</v>
      </c>
      <c r="J7" s="21"/>
      <c r="K7" s="9">
        <f t="shared" si="2"/>
        <v>161330</v>
      </c>
      <c r="L7" s="9">
        <f t="shared" si="3"/>
        <v>127.392609</v>
      </c>
      <c r="M7" s="15">
        <f t="shared" si="4"/>
        <v>48379.41</v>
      </c>
      <c r="N7" s="9" t="str">
        <f>IF($F8=0,Config!$D$3,VLOOKUP(C7,MEPHistory!$A$3:$B1095,2,FALSE))</f>
        <v>930,44</v>
      </c>
      <c r="O7" s="23">
        <f t="shared" si="5"/>
        <v>51.99627058</v>
      </c>
      <c r="P7" s="9">
        <f>if(B7=0,"...",$H7*(IF(D7="ABIERTA",K7,J7)*(1-VLOOKUP(A7,Config!$A$3:$B$5,2,FALSE)))/IF(G7="DOLARES",1,100))</f>
        <v>95179.94077</v>
      </c>
      <c r="Q7" s="9">
        <f>IF(D7="ABIERTA",Config!$D$3,VLOOKUP(E7,CCLHistory!$A$6:$B1095,2,FALSE))</f>
        <v>1266.4</v>
      </c>
      <c r="R7" s="23">
        <f t="shared" si="6"/>
        <v>75.15788121</v>
      </c>
      <c r="S7" s="10">
        <f t="shared" si="7"/>
        <v>0.9673646447</v>
      </c>
      <c r="T7" s="9">
        <f t="shared" si="8"/>
        <v>46800.53077</v>
      </c>
      <c r="U7" s="24">
        <f t="shared" si="9"/>
        <v>0.4454475363</v>
      </c>
      <c r="V7" s="15">
        <f t="shared" si="10"/>
        <v>23.16161063</v>
      </c>
      <c r="W7" s="18"/>
      <c r="X7" s="9"/>
      <c r="Y7" s="9" t="str">
        <f t="shared" si="11"/>
        <v>...</v>
      </c>
      <c r="Z7" s="9" t="str">
        <f t="shared" si="12"/>
        <v>...</v>
      </c>
      <c r="AA7" s="10" t="str">
        <f t="shared" si="13"/>
        <v/>
      </c>
      <c r="AB7" s="9" t="str">
        <f t="shared" si="14"/>
        <v>...</v>
      </c>
      <c r="AC7" s="15" t="str">
        <f t="shared" si="15"/>
        <v>...</v>
      </c>
      <c r="AD7" s="10" t="str">
        <f t="shared" si="16"/>
        <v>...</v>
      </c>
      <c r="AE7" s="15" t="str">
        <f t="shared" si="17"/>
        <v>...</v>
      </c>
      <c r="AF7" s="18"/>
      <c r="AG7" s="18"/>
      <c r="AH7" s="18"/>
      <c r="AI7" s="18"/>
      <c r="AJ7" s="18"/>
      <c r="AK7" s="48"/>
      <c r="AL7" s="9" t="str">
        <f>IFERROR(__xludf.DUMMYFUNCTION("""COMPUTED_VALUE"""),"* AFCID *")</f>
        <v>* AFCID *</v>
      </c>
      <c r="AM7" s="9">
        <f>IFERROR(__xludf.DUMMYFUNCTION("""COMPUTED_VALUE"""),100.15)</f>
        <v>100.15</v>
      </c>
    </row>
    <row r="8">
      <c r="A8" s="5" t="s">
        <v>40</v>
      </c>
      <c r="B8" s="5" t="s">
        <v>69</v>
      </c>
      <c r="C8" s="11">
        <v>45251.0</v>
      </c>
      <c r="D8" s="5" t="s">
        <v>42</v>
      </c>
      <c r="E8" s="11"/>
      <c r="F8" s="20">
        <f t="shared" si="1"/>
        <v>745</v>
      </c>
      <c r="G8" s="5" t="s">
        <v>43</v>
      </c>
      <c r="H8" s="5">
        <v>55.0</v>
      </c>
      <c r="I8" s="21">
        <v>88725.0</v>
      </c>
      <c r="J8" s="21"/>
      <c r="K8" s="9">
        <f t="shared" si="2"/>
        <v>103540</v>
      </c>
      <c r="L8" s="9">
        <f t="shared" si="3"/>
        <v>81.75931775</v>
      </c>
      <c r="M8" s="15">
        <f t="shared" si="4"/>
        <v>48798.75</v>
      </c>
      <c r="N8" s="9">
        <f>IF($F9=0,Config!$D$3,VLOOKUP(C8,MEPHistory!$A$3:$B1095,2,FALSE))</f>
        <v>1266.4</v>
      </c>
      <c r="O8" s="23">
        <f t="shared" si="5"/>
        <v>38.53344125</v>
      </c>
      <c r="P8" s="9">
        <f>if(B8=0,"...",$H8*(IF(D8="ABIERTA",K8,J8)*(1-VLOOKUP(A8,Config!$A$3:$B$5,2,FALSE)))/IF(G8="DOLARES",1,100))</f>
        <v>56944.15265</v>
      </c>
      <c r="Q8" s="9">
        <f>IF(D8="ABIERTA",Config!$D$3,VLOOKUP(E8,CCLHistory!$A$6:$B1095,2,FALSE))</f>
        <v>1266.4</v>
      </c>
      <c r="R8" s="23">
        <f t="shared" si="6"/>
        <v>44.96537638</v>
      </c>
      <c r="S8" s="10">
        <f t="shared" si="7"/>
        <v>0.1669182643</v>
      </c>
      <c r="T8" s="9">
        <f t="shared" si="8"/>
        <v>8145.40265</v>
      </c>
      <c r="U8" s="24">
        <f t="shared" si="9"/>
        <v>0.1669182643</v>
      </c>
      <c r="V8" s="15">
        <f t="shared" si="10"/>
        <v>6.431935131</v>
      </c>
      <c r="W8" s="18"/>
      <c r="X8" s="9"/>
      <c r="Y8" s="9" t="str">
        <f t="shared" si="11"/>
        <v>...</v>
      </c>
      <c r="Z8" s="9" t="str">
        <f t="shared" si="12"/>
        <v>...</v>
      </c>
      <c r="AA8" s="10" t="str">
        <f t="shared" si="13"/>
        <v/>
      </c>
      <c r="AB8" s="9" t="str">
        <f t="shared" si="14"/>
        <v>...</v>
      </c>
      <c r="AC8" s="15" t="str">
        <f t="shared" si="15"/>
        <v>...</v>
      </c>
      <c r="AD8" s="10" t="str">
        <f t="shared" si="16"/>
        <v>...</v>
      </c>
      <c r="AE8" s="15" t="str">
        <f t="shared" si="17"/>
        <v>...</v>
      </c>
      <c r="AF8" s="18"/>
      <c r="AG8" s="18"/>
      <c r="AH8" s="18"/>
      <c r="AI8" s="18"/>
      <c r="AJ8" s="18"/>
      <c r="AK8" s="48"/>
      <c r="AL8" s="9" t="str">
        <f>IFERROR(__xludf.DUMMYFUNCTION("""COMPUTED_VALUE"""),"* AFCIO *")</f>
        <v>* AFCIO *</v>
      </c>
      <c r="AM8" s="9">
        <f>IFERROR(__xludf.DUMMYFUNCTION("""COMPUTED_VALUE"""),147000.0)</f>
        <v>147000</v>
      </c>
    </row>
    <row r="9">
      <c r="A9" s="5"/>
      <c r="B9" s="5"/>
      <c r="C9" s="11"/>
      <c r="D9" s="5"/>
      <c r="E9" s="11"/>
      <c r="F9" s="20"/>
      <c r="G9" s="5"/>
      <c r="H9" s="5"/>
      <c r="I9" s="21"/>
      <c r="J9" s="21"/>
      <c r="K9" s="9" t="str">
        <f t="shared" si="2"/>
        <v>...</v>
      </c>
      <c r="L9" s="9" t="str">
        <f t="shared" si="3"/>
        <v>...</v>
      </c>
      <c r="M9" s="15"/>
      <c r="N9" s="9"/>
      <c r="O9" s="23"/>
      <c r="P9" s="9" t="str">
        <f>if(B9=0,"...",$H9*(IF(D9="ABIERTA",K9,J9)*(1-VLOOKUP(A9,Config!$A$3:$B$5,2,FALSE)))/100)</f>
        <v>...</v>
      </c>
      <c r="Q9" s="9"/>
      <c r="R9" s="23"/>
      <c r="S9" s="10" t="str">
        <f t="shared" si="7"/>
        <v>...</v>
      </c>
      <c r="T9" s="20" t="str">
        <f t="shared" si="8"/>
        <v>...</v>
      </c>
      <c r="U9" s="24" t="str">
        <f t="shared" si="9"/>
        <v>...</v>
      </c>
      <c r="V9" s="15" t="str">
        <f t="shared" si="10"/>
        <v>...</v>
      </c>
      <c r="W9" s="18"/>
      <c r="X9" s="9"/>
      <c r="Y9" s="9" t="str">
        <f t="shared" si="11"/>
        <v>...</v>
      </c>
      <c r="Z9" s="9" t="str">
        <f t="shared" si="12"/>
        <v>...</v>
      </c>
      <c r="AA9" s="10" t="str">
        <f t="shared" si="13"/>
        <v/>
      </c>
      <c r="AB9" s="9" t="str">
        <f t="shared" si="14"/>
        <v>...</v>
      </c>
      <c r="AC9" s="15" t="str">
        <f t="shared" si="15"/>
        <v>...</v>
      </c>
      <c r="AD9" s="10" t="str">
        <f t="shared" si="16"/>
        <v>...</v>
      </c>
      <c r="AE9" s="15" t="str">
        <f t="shared" si="17"/>
        <v>...</v>
      </c>
      <c r="AF9" s="18"/>
      <c r="AG9" s="18"/>
      <c r="AH9" s="18"/>
      <c r="AI9" s="18"/>
      <c r="AJ9" s="18"/>
      <c r="AK9" s="48"/>
      <c r="AL9" s="9" t="str">
        <f>IFERROR(__xludf.DUMMYFUNCTION("""COMPUTED_VALUE"""),"* ARC1C *")</f>
        <v>* ARC1C *</v>
      </c>
      <c r="AM9" s="9">
        <f>IFERROR(__xludf.DUMMYFUNCTION("""COMPUTED_VALUE"""),106.0)</f>
        <v>106</v>
      </c>
    </row>
    <row r="10">
      <c r="A10" s="5"/>
      <c r="B10" s="5"/>
      <c r="C10" s="11"/>
      <c r="D10" s="5"/>
      <c r="E10" s="11"/>
      <c r="F10" s="20"/>
      <c r="G10" s="5"/>
      <c r="H10" s="5"/>
      <c r="I10" s="21"/>
      <c r="J10" s="21"/>
      <c r="K10" s="9" t="str">
        <f t="shared" si="2"/>
        <v>...</v>
      </c>
      <c r="L10" s="9" t="str">
        <f t="shared" si="3"/>
        <v>...</v>
      </c>
      <c r="M10" s="15"/>
      <c r="N10" s="9"/>
      <c r="O10" s="23"/>
      <c r="P10" s="9" t="str">
        <f>if(B10=0,"...",$H10*(IF(D10="ABIERTA",K10,J10)*(1-VLOOKUP(A10,Config!$A$3:$B$5,2,FALSE)))/100)</f>
        <v>...</v>
      </c>
      <c r="Q10" s="9"/>
      <c r="R10" s="23"/>
      <c r="S10" s="10" t="str">
        <f t="shared" si="7"/>
        <v>...</v>
      </c>
      <c r="T10" s="20" t="str">
        <f t="shared" si="8"/>
        <v>...</v>
      </c>
      <c r="U10" s="24" t="str">
        <f t="shared" si="9"/>
        <v>...</v>
      </c>
      <c r="V10" s="15" t="str">
        <f t="shared" si="10"/>
        <v>...</v>
      </c>
      <c r="W10" s="18"/>
      <c r="X10" s="9"/>
      <c r="Y10" s="9" t="str">
        <f t="shared" si="11"/>
        <v>...</v>
      </c>
      <c r="Z10" s="9" t="str">
        <f t="shared" si="12"/>
        <v>...</v>
      </c>
      <c r="AA10" s="10" t="str">
        <f t="shared" si="13"/>
        <v/>
      </c>
      <c r="AB10" s="9" t="str">
        <f t="shared" si="14"/>
        <v>...</v>
      </c>
      <c r="AC10" s="15" t="str">
        <f t="shared" si="15"/>
        <v>...</v>
      </c>
      <c r="AD10" s="10" t="str">
        <f t="shared" si="16"/>
        <v>...</v>
      </c>
      <c r="AE10" s="15" t="str">
        <f t="shared" si="17"/>
        <v>...</v>
      </c>
      <c r="AF10" s="18"/>
      <c r="AG10" s="18"/>
      <c r="AH10" s="18"/>
      <c r="AI10" s="18"/>
      <c r="AJ10" s="18"/>
      <c r="AK10" s="48"/>
      <c r="AL10" s="9" t="str">
        <f>IFERROR(__xludf.DUMMYFUNCTION("""COMPUTED_VALUE"""),"* ARC1D *")</f>
        <v>* ARC1D *</v>
      </c>
      <c r="AM10" s="9">
        <f>IFERROR(__xludf.DUMMYFUNCTION("""COMPUTED_VALUE"""),106.9)</f>
        <v>106.9</v>
      </c>
    </row>
    <row r="11">
      <c r="A11" s="5"/>
      <c r="B11" s="5"/>
      <c r="C11" s="11"/>
      <c r="D11" s="5"/>
      <c r="E11" s="11"/>
      <c r="F11" s="20"/>
      <c r="G11" s="5"/>
      <c r="H11" s="5"/>
      <c r="I11" s="21"/>
      <c r="J11" s="21"/>
      <c r="K11" s="9" t="str">
        <f t="shared" si="2"/>
        <v>...</v>
      </c>
      <c r="L11" s="9" t="str">
        <f t="shared" si="3"/>
        <v>...</v>
      </c>
      <c r="M11" s="15"/>
      <c r="N11" s="9"/>
      <c r="O11" s="23"/>
      <c r="P11" s="9" t="str">
        <f>if(B11=0,"...",$H11*(IF(D11="ABIERTA",K11,J11)*(1-VLOOKUP(A11,Config!$A$3:$B$5,2,FALSE)))/100)</f>
        <v>...</v>
      </c>
      <c r="Q11" s="9"/>
      <c r="R11" s="23"/>
      <c r="S11" s="10" t="str">
        <f t="shared" si="7"/>
        <v>...</v>
      </c>
      <c r="T11" s="20" t="str">
        <f t="shared" si="8"/>
        <v>...</v>
      </c>
      <c r="U11" s="24" t="str">
        <f t="shared" si="9"/>
        <v>...</v>
      </c>
      <c r="V11" s="15" t="str">
        <f t="shared" si="10"/>
        <v>...</v>
      </c>
      <c r="W11" s="18"/>
      <c r="X11" s="9"/>
      <c r="Y11" s="9" t="str">
        <f t="shared" si="11"/>
        <v>...</v>
      </c>
      <c r="Z11" s="9" t="str">
        <f t="shared" si="12"/>
        <v>...</v>
      </c>
      <c r="AA11" s="10" t="str">
        <f t="shared" si="13"/>
        <v/>
      </c>
      <c r="AB11" s="9" t="str">
        <f t="shared" si="14"/>
        <v>...</v>
      </c>
      <c r="AC11" s="15" t="str">
        <f t="shared" si="15"/>
        <v>...</v>
      </c>
      <c r="AD11" s="10" t="str">
        <f t="shared" si="16"/>
        <v>...</v>
      </c>
      <c r="AE11" s="15" t="str">
        <f t="shared" si="17"/>
        <v>...</v>
      </c>
      <c r="AF11" s="18"/>
      <c r="AG11" s="18"/>
      <c r="AH11" s="18"/>
      <c r="AI11" s="18"/>
      <c r="AJ11" s="18"/>
      <c r="AK11" s="48"/>
      <c r="AL11" s="9" t="str">
        <f>IFERROR(__xludf.DUMMYFUNCTION("""COMPUTED_VALUE"""),"* ARC1O *")</f>
        <v>* ARC1O *</v>
      </c>
      <c r="AM11" s="9">
        <f>IFERROR(__xludf.DUMMYFUNCTION("""COMPUTED_VALUE"""),155840.0)</f>
        <v>155840</v>
      </c>
    </row>
    <row r="12">
      <c r="A12" s="5"/>
      <c r="B12" s="5"/>
      <c r="C12" s="11"/>
      <c r="D12" s="5"/>
      <c r="E12" s="11"/>
      <c r="F12" s="20"/>
      <c r="G12" s="5"/>
      <c r="H12" s="5"/>
      <c r="I12" s="21"/>
      <c r="J12" s="21"/>
      <c r="K12" s="9" t="str">
        <f t="shared" si="2"/>
        <v>...</v>
      </c>
      <c r="L12" s="9" t="str">
        <f t="shared" si="3"/>
        <v>...</v>
      </c>
      <c r="M12" s="15"/>
      <c r="N12" s="9"/>
      <c r="O12" s="23"/>
      <c r="P12" s="9" t="str">
        <f>if(B12=0,"...",$H12*(IF(D12="ABIERTA",K12,J12)*(1-VLOOKUP(A12,Config!$A$3:$B$5,2,FALSE)))/100)</f>
        <v>...</v>
      </c>
      <c r="Q12" s="9"/>
      <c r="R12" s="23"/>
      <c r="S12" s="10" t="str">
        <f t="shared" si="7"/>
        <v>...</v>
      </c>
      <c r="T12" s="20" t="str">
        <f t="shared" si="8"/>
        <v>...</v>
      </c>
      <c r="U12" s="24" t="str">
        <f t="shared" si="9"/>
        <v>...</v>
      </c>
      <c r="V12" s="15" t="str">
        <f t="shared" si="10"/>
        <v>...</v>
      </c>
      <c r="W12" s="18"/>
      <c r="X12" s="9"/>
      <c r="Y12" s="9" t="str">
        <f t="shared" si="11"/>
        <v>...</v>
      </c>
      <c r="Z12" s="9" t="str">
        <f t="shared" si="12"/>
        <v>...</v>
      </c>
      <c r="AA12" s="10" t="str">
        <f t="shared" si="13"/>
        <v/>
      </c>
      <c r="AB12" s="9" t="str">
        <f t="shared" si="14"/>
        <v>...</v>
      </c>
      <c r="AC12" s="15" t="str">
        <f t="shared" si="15"/>
        <v>...</v>
      </c>
      <c r="AD12" s="10" t="str">
        <f t="shared" si="16"/>
        <v>...</v>
      </c>
      <c r="AE12" s="15" t="str">
        <f t="shared" si="17"/>
        <v>...</v>
      </c>
      <c r="AF12" s="18"/>
      <c r="AG12" s="18"/>
      <c r="AH12" s="18"/>
      <c r="AI12" s="18"/>
      <c r="AJ12" s="18"/>
      <c r="AK12" s="48"/>
      <c r="AL12" s="9" t="str">
        <f>IFERROR(__xludf.DUMMYFUNCTION("""COMPUTED_VALUE"""),"* BACAD *")</f>
        <v>* BACAD *</v>
      </c>
      <c r="AM12" s="9">
        <f>IFERROR(__xludf.DUMMYFUNCTION("""COMPUTED_VALUE"""),101.4)</f>
        <v>101.4</v>
      </c>
    </row>
    <row r="13">
      <c r="A13" s="5"/>
      <c r="B13" s="5"/>
      <c r="C13" s="11"/>
      <c r="D13" s="5"/>
      <c r="E13" s="19"/>
      <c r="F13" s="20"/>
      <c r="G13" s="5"/>
      <c r="H13" s="5"/>
      <c r="I13" s="21"/>
      <c r="J13" s="22"/>
      <c r="K13" s="9" t="str">
        <f t="shared" si="2"/>
        <v>...</v>
      </c>
      <c r="L13" s="9" t="str">
        <f t="shared" si="3"/>
        <v>...</v>
      </c>
      <c r="M13" s="15"/>
      <c r="N13" s="9"/>
      <c r="O13" s="23"/>
      <c r="P13" s="9" t="str">
        <f>if(B13=0,"...",$H13*(IF(D13="ABIERTA",K13,J13)*(1-VLOOKUP(A13,Config!$A$3:$B$5,2,FALSE)))/100)</f>
        <v>...</v>
      </c>
      <c r="Q13" s="9"/>
      <c r="R13" s="23"/>
      <c r="S13" s="10" t="str">
        <f t="shared" si="7"/>
        <v>...</v>
      </c>
      <c r="T13" s="20" t="str">
        <f t="shared" si="8"/>
        <v>...</v>
      </c>
      <c r="U13" s="24" t="str">
        <f t="shared" si="9"/>
        <v>...</v>
      </c>
      <c r="V13" s="15" t="str">
        <f t="shared" si="10"/>
        <v>...</v>
      </c>
      <c r="W13" s="18"/>
      <c r="X13" s="9"/>
      <c r="Y13" s="9" t="str">
        <f t="shared" si="11"/>
        <v>...</v>
      </c>
      <c r="Z13" s="9" t="str">
        <f t="shared" si="12"/>
        <v>...</v>
      </c>
      <c r="AA13" s="10" t="str">
        <f t="shared" si="13"/>
        <v/>
      </c>
      <c r="AB13" s="9" t="str">
        <f t="shared" si="14"/>
        <v>...</v>
      </c>
      <c r="AC13" s="15" t="str">
        <f t="shared" si="15"/>
        <v>...</v>
      </c>
      <c r="AD13" s="10" t="str">
        <f t="shared" si="16"/>
        <v>...</v>
      </c>
      <c r="AE13" s="15" t="str">
        <f t="shared" si="17"/>
        <v>...</v>
      </c>
      <c r="AF13" s="18"/>
      <c r="AG13" s="18"/>
      <c r="AH13" s="18"/>
      <c r="AI13" s="18"/>
      <c r="AJ13" s="18"/>
      <c r="AK13" s="48"/>
      <c r="AL13" s="9" t="str">
        <f>IFERROR(__xludf.DUMMYFUNCTION("""COMPUTED_VALUE"""),"* BACAO *")</f>
        <v>* BACAO *</v>
      </c>
      <c r="AM13" s="9">
        <f>IFERROR(__xludf.DUMMYFUNCTION("""COMPUTED_VALUE"""),147630.0)</f>
        <v>147630</v>
      </c>
    </row>
    <row r="14">
      <c r="A14" s="5"/>
      <c r="B14" s="5"/>
      <c r="C14" s="11"/>
      <c r="D14" s="5"/>
      <c r="E14" s="25"/>
      <c r="F14" s="20"/>
      <c r="G14" s="5"/>
      <c r="H14" s="5"/>
      <c r="I14" s="21"/>
      <c r="J14" s="22"/>
      <c r="K14" s="9" t="str">
        <f t="shared" si="2"/>
        <v>...</v>
      </c>
      <c r="L14" s="9" t="str">
        <f t="shared" si="3"/>
        <v>...</v>
      </c>
      <c r="M14" s="15"/>
      <c r="N14" s="9"/>
      <c r="O14" s="23"/>
      <c r="P14" s="9" t="str">
        <f>if(B14=0,"...",$H14*(IF(D14="ABIERTA",K14,J14)*(1-VLOOKUP(A14,Config!$A$3:$B$5,2,FALSE)))/100)</f>
        <v>...</v>
      </c>
      <c r="Q14" s="9"/>
      <c r="R14" s="23"/>
      <c r="S14" s="10" t="str">
        <f t="shared" si="7"/>
        <v>...</v>
      </c>
      <c r="T14" s="20" t="str">
        <f t="shared" si="8"/>
        <v>...</v>
      </c>
      <c r="U14" s="24" t="str">
        <f t="shared" si="9"/>
        <v>...</v>
      </c>
      <c r="V14" s="15" t="str">
        <f t="shared" si="10"/>
        <v>...</v>
      </c>
      <c r="W14" s="18"/>
      <c r="X14" s="9"/>
      <c r="Y14" s="9" t="str">
        <f t="shared" si="11"/>
        <v>...</v>
      </c>
      <c r="Z14" s="9" t="str">
        <f t="shared" si="12"/>
        <v>...</v>
      </c>
      <c r="AA14" s="10" t="str">
        <f t="shared" si="13"/>
        <v/>
      </c>
      <c r="AB14" s="9" t="str">
        <f t="shared" si="14"/>
        <v>...</v>
      </c>
      <c r="AC14" s="15" t="str">
        <f t="shared" si="15"/>
        <v>...</v>
      </c>
      <c r="AD14" s="10" t="str">
        <f t="shared" si="16"/>
        <v>...</v>
      </c>
      <c r="AE14" s="15" t="str">
        <f t="shared" si="17"/>
        <v>...</v>
      </c>
      <c r="AF14" s="18"/>
      <c r="AG14" s="18"/>
      <c r="AH14" s="18"/>
      <c r="AI14" s="18"/>
      <c r="AJ14" s="18"/>
      <c r="AK14" s="48"/>
      <c r="AL14" s="9" t="str">
        <f>IFERROR(__xludf.DUMMYFUNCTION("""COMPUTED_VALUE"""),"* BACGD *")</f>
        <v>* BACGD *</v>
      </c>
      <c r="AM14" s="9">
        <f>IFERROR(__xludf.DUMMYFUNCTION("""COMPUTED_VALUE"""),106.6)</f>
        <v>106.6</v>
      </c>
    </row>
    <row r="15">
      <c r="A15" s="5"/>
      <c r="B15" s="5"/>
      <c r="C15" s="11"/>
      <c r="D15" s="5"/>
      <c r="E15" s="25"/>
      <c r="F15" s="20"/>
      <c r="G15" s="5"/>
      <c r="H15" s="5"/>
      <c r="I15" s="21"/>
      <c r="J15" s="22"/>
      <c r="K15" s="9" t="str">
        <f t="shared" si="2"/>
        <v>...</v>
      </c>
      <c r="L15" s="9" t="str">
        <f t="shared" si="3"/>
        <v>...</v>
      </c>
      <c r="M15" s="15"/>
      <c r="N15" s="9"/>
      <c r="O15" s="23"/>
      <c r="P15" s="9" t="str">
        <f>if(B15=0,"...",$H15*(IF(D15="ABIERTA",K15,J15)*(1-VLOOKUP(A15,Config!$A$3:$B$5,2,FALSE)))/100)</f>
        <v>...</v>
      </c>
      <c r="Q15" s="9"/>
      <c r="R15" s="23"/>
      <c r="S15" s="10" t="str">
        <f t="shared" si="7"/>
        <v>...</v>
      </c>
      <c r="T15" s="20" t="str">
        <f t="shared" si="8"/>
        <v>...</v>
      </c>
      <c r="U15" s="24" t="str">
        <f t="shared" si="9"/>
        <v>...</v>
      </c>
      <c r="V15" s="15" t="str">
        <f t="shared" si="10"/>
        <v>...</v>
      </c>
      <c r="W15" s="18"/>
      <c r="X15" s="9"/>
      <c r="Y15" s="9" t="str">
        <f t="shared" si="11"/>
        <v>...</v>
      </c>
      <c r="Z15" s="9" t="str">
        <f t="shared" si="12"/>
        <v>...</v>
      </c>
      <c r="AA15" s="10" t="str">
        <f t="shared" si="13"/>
        <v/>
      </c>
      <c r="AB15" s="9" t="str">
        <f t="shared" si="14"/>
        <v>...</v>
      </c>
      <c r="AC15" s="15" t="str">
        <f t="shared" si="15"/>
        <v>...</v>
      </c>
      <c r="AD15" s="10" t="str">
        <f t="shared" si="16"/>
        <v>...</v>
      </c>
      <c r="AE15" s="15" t="str">
        <f t="shared" si="17"/>
        <v>...</v>
      </c>
      <c r="AF15" s="18"/>
      <c r="AG15" s="18"/>
      <c r="AH15" s="18"/>
      <c r="AI15" s="18"/>
      <c r="AJ15" s="18"/>
      <c r="AK15" s="48"/>
      <c r="AL15" s="9" t="str">
        <f>IFERROR(__xludf.DUMMYFUNCTION("""COMPUTED_VALUE"""),"* BACGO *")</f>
        <v>* BACGO *</v>
      </c>
      <c r="AM15" s="9">
        <f>IFERROR(__xludf.DUMMYFUNCTION("""COMPUTED_VALUE"""),155560.0)</f>
        <v>155560</v>
      </c>
    </row>
    <row r="16">
      <c r="A16" s="5"/>
      <c r="B16" s="5"/>
      <c r="C16" s="11"/>
      <c r="D16" s="5"/>
      <c r="E16" s="25"/>
      <c r="F16" s="20"/>
      <c r="G16" s="5"/>
      <c r="H16" s="5"/>
      <c r="I16" s="21"/>
      <c r="J16" s="22"/>
      <c r="K16" s="9" t="str">
        <f t="shared" si="2"/>
        <v>...</v>
      </c>
      <c r="L16" s="9" t="str">
        <f t="shared" si="3"/>
        <v>...</v>
      </c>
      <c r="M16" s="15"/>
      <c r="N16" s="9"/>
      <c r="O16" s="23"/>
      <c r="P16" s="9" t="str">
        <f>if(B16=0,"...",$H16*(IF(D16="ABIERTA",K16,J16)*(1-VLOOKUP(A16,Config!$A$3:$B$5,2,FALSE)))/100)</f>
        <v>...</v>
      </c>
      <c r="Q16" s="9"/>
      <c r="R16" s="23"/>
      <c r="S16" s="10" t="str">
        <f t="shared" si="7"/>
        <v>...</v>
      </c>
      <c r="T16" s="20" t="str">
        <f t="shared" si="8"/>
        <v>...</v>
      </c>
      <c r="U16" s="24" t="str">
        <f t="shared" si="9"/>
        <v>...</v>
      </c>
      <c r="V16" s="15" t="str">
        <f t="shared" si="10"/>
        <v>...</v>
      </c>
      <c r="W16" s="18"/>
      <c r="X16" s="9"/>
      <c r="Y16" s="9" t="str">
        <f t="shared" si="11"/>
        <v>...</v>
      </c>
      <c r="Z16" s="9" t="str">
        <f t="shared" si="12"/>
        <v>...</v>
      </c>
      <c r="AA16" s="10" t="str">
        <f t="shared" si="13"/>
        <v/>
      </c>
      <c r="AB16" s="9" t="str">
        <f t="shared" si="14"/>
        <v>...</v>
      </c>
      <c r="AC16" s="15" t="str">
        <f t="shared" si="15"/>
        <v>...</v>
      </c>
      <c r="AD16" s="10" t="str">
        <f t="shared" si="16"/>
        <v>...</v>
      </c>
      <c r="AE16" s="15" t="str">
        <f t="shared" si="17"/>
        <v>...</v>
      </c>
      <c r="AF16" s="18"/>
      <c r="AG16" s="18"/>
      <c r="AH16" s="18"/>
      <c r="AI16" s="18"/>
      <c r="AJ16" s="18"/>
      <c r="AK16" s="48"/>
      <c r="AL16" s="9" t="str">
        <f>IFERROR(__xludf.DUMMYFUNCTION("""COMPUTED_VALUE"""),"* BF35D *")</f>
        <v>* BF35D *</v>
      </c>
      <c r="AM16" s="9">
        <f>IFERROR(__xludf.DUMMYFUNCTION("""COMPUTED_VALUE"""),98.95)</f>
        <v>98.95</v>
      </c>
    </row>
    <row r="17">
      <c r="A17" s="5"/>
      <c r="B17" s="5"/>
      <c r="C17" s="11"/>
      <c r="D17" s="5"/>
      <c r="E17" s="25"/>
      <c r="F17" s="20"/>
      <c r="G17" s="5"/>
      <c r="H17" s="5"/>
      <c r="I17" s="21"/>
      <c r="J17" s="22"/>
      <c r="K17" s="9" t="str">
        <f t="shared" si="2"/>
        <v>...</v>
      </c>
      <c r="L17" s="9" t="str">
        <f t="shared" si="3"/>
        <v>...</v>
      </c>
      <c r="M17" s="15"/>
      <c r="N17" s="9"/>
      <c r="O17" s="23"/>
      <c r="P17" s="9" t="str">
        <f>if(B17=0,"...",$H17*(IF(D17="ABIERTA",K17,J17)*(1-VLOOKUP(A17,Config!$A$3:$B$5,2,FALSE)))/100)</f>
        <v>...</v>
      </c>
      <c r="Q17" s="9"/>
      <c r="R17" s="23"/>
      <c r="S17" s="10" t="str">
        <f t="shared" si="7"/>
        <v>...</v>
      </c>
      <c r="T17" s="20" t="str">
        <f t="shared" si="8"/>
        <v>...</v>
      </c>
      <c r="U17" s="24" t="str">
        <f t="shared" si="9"/>
        <v>...</v>
      </c>
      <c r="V17" s="15" t="str">
        <f t="shared" si="10"/>
        <v>...</v>
      </c>
      <c r="W17" s="18"/>
      <c r="X17" s="9"/>
      <c r="Y17" s="9" t="str">
        <f t="shared" si="11"/>
        <v>...</v>
      </c>
      <c r="Z17" s="9" t="str">
        <f t="shared" si="12"/>
        <v>...</v>
      </c>
      <c r="AA17" s="10" t="str">
        <f t="shared" si="13"/>
        <v/>
      </c>
      <c r="AB17" s="9" t="str">
        <f t="shared" si="14"/>
        <v>...</v>
      </c>
      <c r="AC17" s="15" t="str">
        <f t="shared" si="15"/>
        <v>...</v>
      </c>
      <c r="AD17" s="10" t="str">
        <f t="shared" si="16"/>
        <v>...</v>
      </c>
      <c r="AE17" s="15" t="str">
        <f t="shared" si="17"/>
        <v>...</v>
      </c>
      <c r="AF17" s="18"/>
      <c r="AG17" s="18"/>
      <c r="AH17" s="18"/>
      <c r="AI17" s="18"/>
      <c r="AJ17" s="18"/>
      <c r="AK17" s="48"/>
      <c r="AL17" s="9" t="str">
        <f>IFERROR(__xludf.DUMMYFUNCTION("""COMPUTED_VALUE"""),"* BF35O *")</f>
        <v>* BF35O *</v>
      </c>
      <c r="AM17" s="9">
        <f>IFERROR(__xludf.DUMMYFUNCTION("""COMPUTED_VALUE"""),146000.0)</f>
        <v>146000</v>
      </c>
    </row>
    <row r="18">
      <c r="A18" s="5"/>
      <c r="B18" s="5"/>
      <c r="C18" s="11"/>
      <c r="D18" s="5"/>
      <c r="E18" s="25"/>
      <c r="F18" s="20"/>
      <c r="G18" s="5"/>
      <c r="H18" s="5"/>
      <c r="I18" s="21"/>
      <c r="J18" s="22"/>
      <c r="K18" s="9" t="str">
        <f t="shared" si="2"/>
        <v>...</v>
      </c>
      <c r="L18" s="9" t="str">
        <f t="shared" si="3"/>
        <v>...</v>
      </c>
      <c r="M18" s="15"/>
      <c r="N18" s="9"/>
      <c r="O18" s="23"/>
      <c r="P18" s="9" t="str">
        <f>if(B18=0,"...",$H18*(IF(D18="ABIERTA",K18,J18)*(1-VLOOKUP(A18,Config!$A$3:$B$5,2,FALSE)))/100)</f>
        <v>...</v>
      </c>
      <c r="Q18" s="9"/>
      <c r="R18" s="23"/>
      <c r="S18" s="10" t="str">
        <f t="shared" si="7"/>
        <v>...</v>
      </c>
      <c r="T18" s="20" t="str">
        <f t="shared" si="8"/>
        <v>...</v>
      </c>
      <c r="U18" s="24" t="str">
        <f t="shared" si="9"/>
        <v>...</v>
      </c>
      <c r="V18" s="15" t="str">
        <f t="shared" si="10"/>
        <v>...</v>
      </c>
      <c r="W18" s="18"/>
      <c r="X18" s="9"/>
      <c r="Y18" s="9" t="str">
        <f t="shared" si="11"/>
        <v>...</v>
      </c>
      <c r="Z18" s="9" t="str">
        <f t="shared" si="12"/>
        <v>...</v>
      </c>
      <c r="AA18" s="10" t="str">
        <f t="shared" si="13"/>
        <v/>
      </c>
      <c r="AB18" s="9" t="str">
        <f t="shared" si="14"/>
        <v>...</v>
      </c>
      <c r="AC18" s="15" t="str">
        <f t="shared" si="15"/>
        <v>...</v>
      </c>
      <c r="AD18" s="10" t="str">
        <f t="shared" si="16"/>
        <v>...</v>
      </c>
      <c r="AE18" s="15" t="str">
        <f t="shared" si="17"/>
        <v>...</v>
      </c>
      <c r="AF18" s="18"/>
      <c r="AG18" s="26" t="s">
        <v>57</v>
      </c>
      <c r="AH18" s="27">
        <f>sumifs(R2:R1095,D2:D1095,"ABIERTA")</f>
        <v>1533.860085</v>
      </c>
      <c r="AI18" s="26" t="s">
        <v>58</v>
      </c>
      <c r="AJ18" s="27">
        <f>sum(R2:R1095)</f>
        <v>1533.860085</v>
      </c>
      <c r="AK18" s="48"/>
      <c r="AL18" s="9" t="str">
        <f>IFERROR(__xludf.DUMMYFUNCTION("""COMPUTED_VALUE"""),"* BF37C *")</f>
        <v>* BF37C *</v>
      </c>
      <c r="AM18" s="9">
        <f>IFERROR(__xludf.DUMMYFUNCTION("""COMPUTED_VALUE"""),102.0)</f>
        <v>102</v>
      </c>
    </row>
    <row r="19">
      <c r="A19" s="5"/>
      <c r="B19" s="5"/>
      <c r="C19" s="11"/>
      <c r="D19" s="5"/>
      <c r="E19" s="25"/>
      <c r="F19" s="20"/>
      <c r="G19" s="5"/>
      <c r="H19" s="5"/>
      <c r="I19" s="21"/>
      <c r="J19" s="22"/>
      <c r="K19" s="9" t="str">
        <f t="shared" si="2"/>
        <v>...</v>
      </c>
      <c r="L19" s="9" t="str">
        <f t="shared" si="3"/>
        <v>...</v>
      </c>
      <c r="M19" s="15"/>
      <c r="N19" s="9"/>
      <c r="O19" s="23"/>
      <c r="P19" s="9" t="str">
        <f>if(B19=0,"...",$H19*(IF(D19="ABIERTA",K19,J19)*(1-VLOOKUP(A19,Config!$A$3:$B$5,2,FALSE)))/100)</f>
        <v>...</v>
      </c>
      <c r="Q19" s="9"/>
      <c r="R19" s="23"/>
      <c r="S19" s="10" t="str">
        <f t="shared" si="7"/>
        <v>...</v>
      </c>
      <c r="T19" s="20" t="str">
        <f t="shared" si="8"/>
        <v>...</v>
      </c>
      <c r="U19" s="24" t="str">
        <f t="shared" si="9"/>
        <v>...</v>
      </c>
      <c r="V19" s="15" t="str">
        <f t="shared" si="10"/>
        <v>...</v>
      </c>
      <c r="W19" s="18"/>
      <c r="X19" s="9"/>
      <c r="Y19" s="9" t="str">
        <f t="shared" si="11"/>
        <v>...</v>
      </c>
      <c r="Z19" s="9" t="str">
        <f t="shared" si="12"/>
        <v>...</v>
      </c>
      <c r="AA19" s="10" t="str">
        <f t="shared" si="13"/>
        <v/>
      </c>
      <c r="AB19" s="9" t="str">
        <f t="shared" si="14"/>
        <v>...</v>
      </c>
      <c r="AC19" s="15" t="str">
        <f t="shared" si="15"/>
        <v>...</v>
      </c>
      <c r="AD19" s="10" t="str">
        <f t="shared" si="16"/>
        <v>...</v>
      </c>
      <c r="AE19" s="15" t="str">
        <f t="shared" si="17"/>
        <v>...</v>
      </c>
      <c r="AF19" s="18"/>
      <c r="AG19" s="26"/>
      <c r="AH19" s="27"/>
      <c r="AI19" s="26"/>
      <c r="AJ19" s="27"/>
      <c r="AK19" s="48"/>
      <c r="AL19" s="9" t="str">
        <f>IFERROR(__xludf.DUMMYFUNCTION("""COMPUTED_VALUE"""),"* BF37D *")</f>
        <v>* BF37D *</v>
      </c>
      <c r="AM19" s="9">
        <f>IFERROR(__xludf.DUMMYFUNCTION("""COMPUTED_VALUE"""),100.45)</f>
        <v>100.45</v>
      </c>
    </row>
    <row r="20">
      <c r="A20" s="5"/>
      <c r="B20" s="5"/>
      <c r="C20" s="11"/>
      <c r="D20" s="5"/>
      <c r="E20" s="25"/>
      <c r="F20" s="20"/>
      <c r="G20" s="5"/>
      <c r="H20" s="5"/>
      <c r="I20" s="21"/>
      <c r="J20" s="22"/>
      <c r="K20" s="9" t="str">
        <f t="shared" si="2"/>
        <v>...</v>
      </c>
      <c r="L20" s="9" t="str">
        <f t="shared" si="3"/>
        <v>...</v>
      </c>
      <c r="M20" s="15"/>
      <c r="N20" s="9"/>
      <c r="O20" s="23"/>
      <c r="P20" s="9" t="str">
        <f>if(B20=0,"...",$H20*(IF(D20="ABIERTA",K20,J20)*(1-VLOOKUP(A20,Config!$A$3:$B$5,2,FALSE)))/100)</f>
        <v>...</v>
      </c>
      <c r="Q20" s="9"/>
      <c r="R20" s="23"/>
      <c r="S20" s="10" t="str">
        <f t="shared" si="7"/>
        <v>...</v>
      </c>
      <c r="T20" s="20" t="str">
        <f t="shared" si="8"/>
        <v>...</v>
      </c>
      <c r="U20" s="24" t="str">
        <f t="shared" si="9"/>
        <v>...</v>
      </c>
      <c r="V20" s="15" t="str">
        <f t="shared" si="10"/>
        <v>...</v>
      </c>
      <c r="W20" s="18"/>
      <c r="X20" s="9"/>
      <c r="Y20" s="9" t="str">
        <f t="shared" si="11"/>
        <v>...</v>
      </c>
      <c r="Z20" s="9" t="str">
        <f t="shared" si="12"/>
        <v>...</v>
      </c>
      <c r="AA20" s="10" t="str">
        <f t="shared" si="13"/>
        <v/>
      </c>
      <c r="AB20" s="9" t="str">
        <f t="shared" si="14"/>
        <v>...</v>
      </c>
      <c r="AC20" s="15" t="str">
        <f t="shared" si="15"/>
        <v>...</v>
      </c>
      <c r="AD20" s="10" t="str">
        <f t="shared" si="16"/>
        <v>...</v>
      </c>
      <c r="AE20" s="15" t="str">
        <f t="shared" si="17"/>
        <v>...</v>
      </c>
      <c r="AF20" s="18"/>
      <c r="AG20" s="26" t="s">
        <v>59</v>
      </c>
      <c r="AH20" s="27">
        <f>sumifs(V2:V1095,D2:D1095,"ABIERTA")</f>
        <v>283.9469421</v>
      </c>
      <c r="AI20" s="26" t="s">
        <v>60</v>
      </c>
      <c r="AJ20" s="27">
        <f>sum(V2:V1095)</f>
        <v>283.9469421</v>
      </c>
      <c r="AK20" s="48"/>
      <c r="AL20" s="9" t="str">
        <f>IFERROR(__xludf.DUMMYFUNCTION("""COMPUTED_VALUE"""),"* BF37O *")</f>
        <v>* BF37O *</v>
      </c>
      <c r="AM20" s="9">
        <f>IFERROR(__xludf.DUMMYFUNCTION("""COMPUTED_VALUE"""),147100.0)</f>
        <v>147100</v>
      </c>
    </row>
    <row r="21">
      <c r="A21" s="5"/>
      <c r="B21" s="5"/>
      <c r="C21" s="11"/>
      <c r="D21" s="5"/>
      <c r="E21" s="25"/>
      <c r="F21" s="20"/>
      <c r="G21" s="5"/>
      <c r="H21" s="5"/>
      <c r="I21" s="21"/>
      <c r="J21" s="22"/>
      <c r="K21" s="9" t="str">
        <f t="shared" si="2"/>
        <v>...</v>
      </c>
      <c r="L21" s="9" t="str">
        <f t="shared" si="3"/>
        <v>...</v>
      </c>
      <c r="M21" s="15"/>
      <c r="N21" s="9"/>
      <c r="O21" s="23"/>
      <c r="P21" s="9" t="str">
        <f>if(B21=0,"...",$H21*(IF(D21="ABIERTA",K21,J21)*(1-VLOOKUP(A21,Config!$A$3:$B$5,2,FALSE)))/100)</f>
        <v>...</v>
      </c>
      <c r="Q21" s="9"/>
      <c r="R21" s="23"/>
      <c r="S21" s="10" t="str">
        <f t="shared" si="7"/>
        <v>...</v>
      </c>
      <c r="T21" s="20" t="str">
        <f t="shared" si="8"/>
        <v>...</v>
      </c>
      <c r="U21" s="24" t="str">
        <f t="shared" si="9"/>
        <v>...</v>
      </c>
      <c r="V21" s="15" t="str">
        <f t="shared" si="10"/>
        <v>...</v>
      </c>
      <c r="W21" s="18"/>
      <c r="X21" s="9"/>
      <c r="Y21" s="9" t="str">
        <f t="shared" si="11"/>
        <v>...</v>
      </c>
      <c r="Z21" s="9" t="str">
        <f t="shared" si="12"/>
        <v>...</v>
      </c>
      <c r="AA21" s="10" t="str">
        <f t="shared" si="13"/>
        <v/>
      </c>
      <c r="AB21" s="9" t="str">
        <f t="shared" si="14"/>
        <v>...</v>
      </c>
      <c r="AC21" s="15" t="str">
        <f t="shared" si="15"/>
        <v>...</v>
      </c>
      <c r="AD21" s="10" t="str">
        <f t="shared" si="16"/>
        <v>...</v>
      </c>
      <c r="AE21" s="15" t="str">
        <f t="shared" si="17"/>
        <v>...</v>
      </c>
      <c r="AF21" s="18"/>
      <c r="AG21" s="26"/>
      <c r="AH21" s="27"/>
      <c r="AI21" s="26"/>
      <c r="AJ21" s="27"/>
      <c r="AK21" s="48"/>
      <c r="AL21" s="9" t="str">
        <f>IFERROR(__xludf.DUMMYFUNCTION("""COMPUTED_VALUE"""),"* BF38O *")</f>
        <v>* BF38O *</v>
      </c>
      <c r="AM21" s="9">
        <f>IFERROR(__xludf.DUMMYFUNCTION("""COMPUTED_VALUE"""),100.0)</f>
        <v>100</v>
      </c>
    </row>
    <row r="22">
      <c r="A22" s="5"/>
      <c r="B22" s="5"/>
      <c r="C22" s="11"/>
      <c r="D22" s="5"/>
      <c r="E22" s="25"/>
      <c r="F22" s="20"/>
      <c r="G22" s="5"/>
      <c r="H22" s="5"/>
      <c r="I22" s="21"/>
      <c r="J22" s="22"/>
      <c r="K22" s="9" t="str">
        <f t="shared" si="2"/>
        <v>...</v>
      </c>
      <c r="L22" s="9" t="str">
        <f t="shared" si="3"/>
        <v>...</v>
      </c>
      <c r="M22" s="15"/>
      <c r="N22" s="9"/>
      <c r="O22" s="23"/>
      <c r="P22" s="9" t="str">
        <f>if(B22=0,"...",$H22*(IF(D22="ABIERTA",K22,J22)*(1-VLOOKUP(A22,Config!$A$3:$B$5,2,FALSE)))/100)</f>
        <v>...</v>
      </c>
      <c r="Q22" s="9"/>
      <c r="R22" s="23"/>
      <c r="S22" s="10" t="str">
        <f t="shared" si="7"/>
        <v>...</v>
      </c>
      <c r="T22" s="20" t="str">
        <f t="shared" si="8"/>
        <v>...</v>
      </c>
      <c r="U22" s="24" t="str">
        <f t="shared" si="9"/>
        <v>...</v>
      </c>
      <c r="V22" s="15" t="str">
        <f t="shared" si="10"/>
        <v>...</v>
      </c>
      <c r="W22" s="18"/>
      <c r="X22" s="9"/>
      <c r="Y22" s="9" t="str">
        <f t="shared" si="11"/>
        <v>...</v>
      </c>
      <c r="Z22" s="9" t="str">
        <f t="shared" si="12"/>
        <v>...</v>
      </c>
      <c r="AA22" s="10" t="str">
        <f t="shared" si="13"/>
        <v/>
      </c>
      <c r="AB22" s="9" t="str">
        <f t="shared" si="14"/>
        <v>...</v>
      </c>
      <c r="AC22" s="15" t="str">
        <f t="shared" si="15"/>
        <v>...</v>
      </c>
      <c r="AD22" s="10" t="str">
        <f t="shared" si="16"/>
        <v>...</v>
      </c>
      <c r="AE22" s="15" t="str">
        <f t="shared" si="17"/>
        <v>...</v>
      </c>
      <c r="AF22" s="18"/>
      <c r="AG22" s="26" t="s">
        <v>62</v>
      </c>
      <c r="AH22" s="28">
        <f>AH20/(AH18-AH20)</f>
        <v>0.227173339</v>
      </c>
      <c r="AI22" s="26" t="s">
        <v>62</v>
      </c>
      <c r="AJ22" s="28">
        <f>AJ20/(AJ18-AJ20)</f>
        <v>0.227173339</v>
      </c>
      <c r="AK22" s="48"/>
      <c r="AL22" s="9" t="str">
        <f>IFERROR(__xludf.DUMMYFUNCTION("""COMPUTED_VALUE"""),"* BGC4D *")</f>
        <v>* BGC4D *</v>
      </c>
      <c r="AM22" s="9">
        <f>IFERROR(__xludf.DUMMYFUNCTION("""COMPUTED_VALUE"""),100.5)</f>
        <v>100.5</v>
      </c>
    </row>
    <row r="23">
      <c r="A23" s="5"/>
      <c r="B23" s="5"/>
      <c r="C23" s="11"/>
      <c r="D23" s="5"/>
      <c r="E23" s="25"/>
      <c r="F23" s="20"/>
      <c r="G23" s="5"/>
      <c r="H23" s="5"/>
      <c r="I23" s="21"/>
      <c r="J23" s="22"/>
      <c r="K23" s="9" t="str">
        <f t="shared" si="2"/>
        <v>...</v>
      </c>
      <c r="L23" s="9" t="str">
        <f t="shared" si="3"/>
        <v>...</v>
      </c>
      <c r="M23" s="15"/>
      <c r="N23" s="9"/>
      <c r="O23" s="23"/>
      <c r="P23" s="9" t="str">
        <f>if(B23=0,"...",$H23*(IF(D23="ABIERTA",K23,J23)*(1-VLOOKUP(A23,Config!$A$3:$B$5,2,FALSE)))/100)</f>
        <v>...</v>
      </c>
      <c r="Q23" s="9"/>
      <c r="R23" s="23"/>
      <c r="S23" s="10" t="str">
        <f t="shared" si="7"/>
        <v>...</v>
      </c>
      <c r="T23" s="20" t="str">
        <f t="shared" si="8"/>
        <v>...</v>
      </c>
      <c r="U23" s="24" t="str">
        <f t="shared" si="9"/>
        <v>...</v>
      </c>
      <c r="V23" s="15" t="str">
        <f t="shared" si="10"/>
        <v>...</v>
      </c>
      <c r="W23" s="18"/>
      <c r="X23" s="9"/>
      <c r="Y23" s="9" t="str">
        <f t="shared" si="11"/>
        <v>...</v>
      </c>
      <c r="Z23" s="9" t="str">
        <f t="shared" si="12"/>
        <v>...</v>
      </c>
      <c r="AA23" s="10" t="str">
        <f t="shared" si="13"/>
        <v/>
      </c>
      <c r="AB23" s="9" t="str">
        <f t="shared" si="14"/>
        <v>...</v>
      </c>
      <c r="AC23" s="15" t="str">
        <f t="shared" si="15"/>
        <v>...</v>
      </c>
      <c r="AD23" s="10" t="str">
        <f t="shared" si="16"/>
        <v>...</v>
      </c>
      <c r="AE23" s="15" t="str">
        <f t="shared" si="17"/>
        <v>...</v>
      </c>
      <c r="AF23" s="18"/>
      <c r="AG23" s="26"/>
      <c r="AH23" s="28"/>
      <c r="AI23" s="26"/>
      <c r="AJ23" s="28"/>
      <c r="AK23" s="48"/>
      <c r="AL23" s="9" t="str">
        <f>IFERROR(__xludf.DUMMYFUNCTION("""COMPUTED_VALUE"""),"* BGC4O *")</f>
        <v>* BGC4O *</v>
      </c>
      <c r="AM23" s="9">
        <f>IFERROR(__xludf.DUMMYFUNCTION("""COMPUTED_VALUE"""),149300.0)</f>
        <v>149300</v>
      </c>
    </row>
    <row r="24">
      <c r="A24" s="5"/>
      <c r="B24" s="5"/>
      <c r="C24" s="11"/>
      <c r="D24" s="5"/>
      <c r="E24" s="25"/>
      <c r="F24" s="20"/>
      <c r="G24" s="5"/>
      <c r="H24" s="5"/>
      <c r="I24" s="21"/>
      <c r="J24" s="22"/>
      <c r="K24" s="9" t="str">
        <f t="shared" si="2"/>
        <v>...</v>
      </c>
      <c r="L24" s="9" t="str">
        <f t="shared" si="3"/>
        <v>...</v>
      </c>
      <c r="M24" s="15"/>
      <c r="N24" s="9"/>
      <c r="O24" s="23"/>
      <c r="P24" s="9" t="str">
        <f>if(B24=0,"...",$H24*(IF(D24="ABIERTA",K24,J24)*(1-VLOOKUP(A24,Config!$A$3:$B$5,2,FALSE)))/100)</f>
        <v>...</v>
      </c>
      <c r="Q24" s="9"/>
      <c r="R24" s="23"/>
      <c r="S24" s="10" t="str">
        <f t="shared" si="7"/>
        <v>...</v>
      </c>
      <c r="T24" s="20" t="str">
        <f t="shared" si="8"/>
        <v>...</v>
      </c>
      <c r="U24" s="24" t="str">
        <f t="shared" si="9"/>
        <v>...</v>
      </c>
      <c r="V24" s="15" t="str">
        <f t="shared" si="10"/>
        <v>...</v>
      </c>
      <c r="W24" s="18"/>
      <c r="X24" s="9"/>
      <c r="Y24" s="9" t="str">
        <f t="shared" si="11"/>
        <v>...</v>
      </c>
      <c r="Z24" s="9" t="str">
        <f t="shared" si="12"/>
        <v>...</v>
      </c>
      <c r="AA24" s="10" t="str">
        <f t="shared" si="13"/>
        <v/>
      </c>
      <c r="AB24" s="9" t="str">
        <f t="shared" si="14"/>
        <v>...</v>
      </c>
      <c r="AC24" s="15" t="str">
        <f t="shared" si="15"/>
        <v>...</v>
      </c>
      <c r="AD24" s="10" t="str">
        <f t="shared" si="16"/>
        <v>...</v>
      </c>
      <c r="AE24" s="15" t="str">
        <f t="shared" si="17"/>
        <v>...</v>
      </c>
      <c r="AF24" s="18"/>
      <c r="AG24" s="18"/>
      <c r="AH24" s="18"/>
      <c r="AI24" s="18"/>
      <c r="AJ24" s="18"/>
      <c r="AK24" s="48"/>
      <c r="AL24" s="9" t="str">
        <f>IFERROR(__xludf.DUMMYFUNCTION("""COMPUTED_VALUE"""),"* BNCUO *")</f>
        <v>* BNCUO *</v>
      </c>
      <c r="AM24" s="9">
        <f>IFERROR(__xludf.DUMMYFUNCTION("""COMPUTED_VALUE"""),108.0)</f>
        <v>108</v>
      </c>
    </row>
    <row r="25">
      <c r="A25" s="5"/>
      <c r="B25" s="5"/>
      <c r="C25" s="11"/>
      <c r="D25" s="5"/>
      <c r="E25" s="25"/>
      <c r="F25" s="20"/>
      <c r="G25" s="5"/>
      <c r="H25" s="5"/>
      <c r="I25" s="21"/>
      <c r="J25" s="22"/>
      <c r="K25" s="9" t="str">
        <f t="shared" si="2"/>
        <v>...</v>
      </c>
      <c r="L25" s="9" t="str">
        <f t="shared" si="3"/>
        <v>...</v>
      </c>
      <c r="M25" s="15"/>
      <c r="N25" s="9"/>
      <c r="O25" s="23"/>
      <c r="P25" s="9" t="str">
        <f>if(B25=0,"...",$H25*(IF(D25="ABIERTA",K25,J25)*(1-VLOOKUP(A25,Config!$A$3:$B$5,2,FALSE)))/100)</f>
        <v>...</v>
      </c>
      <c r="Q25" s="9"/>
      <c r="R25" s="23"/>
      <c r="S25" s="10" t="str">
        <f t="shared" si="7"/>
        <v>...</v>
      </c>
      <c r="T25" s="20" t="str">
        <f t="shared" si="8"/>
        <v>...</v>
      </c>
      <c r="U25" s="24" t="str">
        <f t="shared" si="9"/>
        <v>...</v>
      </c>
      <c r="V25" s="15" t="str">
        <f t="shared" si="10"/>
        <v>...</v>
      </c>
      <c r="W25" s="18"/>
      <c r="X25" s="9"/>
      <c r="Y25" s="9" t="str">
        <f t="shared" si="11"/>
        <v>...</v>
      </c>
      <c r="Z25" s="9" t="str">
        <f t="shared" si="12"/>
        <v>...</v>
      </c>
      <c r="AA25" s="10" t="str">
        <f t="shared" si="13"/>
        <v/>
      </c>
      <c r="AB25" s="9" t="str">
        <f t="shared" si="14"/>
        <v>...</v>
      </c>
      <c r="AC25" s="15" t="str">
        <f t="shared" si="15"/>
        <v>...</v>
      </c>
      <c r="AD25" s="10" t="str">
        <f t="shared" si="16"/>
        <v>...</v>
      </c>
      <c r="AE25" s="15" t="str">
        <f t="shared" si="17"/>
        <v>...</v>
      </c>
      <c r="AF25" s="18"/>
      <c r="AG25" s="18"/>
      <c r="AH25" s="18"/>
      <c r="AI25" s="18"/>
      <c r="AJ25" s="18"/>
      <c r="AK25" s="48"/>
      <c r="AL25" s="9" t="str">
        <f>IFERROR(__xludf.DUMMYFUNCTION("""COMPUTED_VALUE"""),"* BOL1C *")</f>
        <v>* BOL1C *</v>
      </c>
      <c r="AM25" s="9">
        <f>IFERROR(__xludf.DUMMYFUNCTION("""COMPUTED_VALUE"""),100.0)</f>
        <v>100</v>
      </c>
    </row>
    <row r="26">
      <c r="A26" s="5"/>
      <c r="B26" s="5"/>
      <c r="C26" s="11"/>
      <c r="D26" s="5"/>
      <c r="E26" s="25"/>
      <c r="F26" s="20"/>
      <c r="G26" s="5"/>
      <c r="H26" s="5"/>
      <c r="I26" s="21"/>
      <c r="J26" s="22"/>
      <c r="K26" s="9" t="str">
        <f t="shared" si="2"/>
        <v>...</v>
      </c>
      <c r="L26" s="9" t="str">
        <f t="shared" si="3"/>
        <v>...</v>
      </c>
      <c r="M26" s="15"/>
      <c r="N26" s="9"/>
      <c r="O26" s="23"/>
      <c r="P26" s="9" t="str">
        <f>if(B26=0,"...",$H26*(IF(D26="ABIERTA",K26,J26)*(1-VLOOKUP(A26,Config!$A$3:$B$5,2,FALSE)))/100)</f>
        <v>...</v>
      </c>
      <c r="Q26" s="9"/>
      <c r="R26" s="23"/>
      <c r="S26" s="10" t="str">
        <f t="shared" si="7"/>
        <v>...</v>
      </c>
      <c r="T26" s="20" t="str">
        <f t="shared" si="8"/>
        <v>...</v>
      </c>
      <c r="U26" s="24" t="str">
        <f t="shared" si="9"/>
        <v>...</v>
      </c>
      <c r="V26" s="15" t="str">
        <f t="shared" si="10"/>
        <v>...</v>
      </c>
      <c r="W26" s="18"/>
      <c r="X26" s="9"/>
      <c r="Y26" s="9" t="str">
        <f t="shared" si="11"/>
        <v>...</v>
      </c>
      <c r="Z26" s="9" t="str">
        <f t="shared" si="12"/>
        <v>...</v>
      </c>
      <c r="AA26" s="10" t="str">
        <f t="shared" si="13"/>
        <v/>
      </c>
      <c r="AB26" s="9" t="str">
        <f t="shared" si="14"/>
        <v>...</v>
      </c>
      <c r="AC26" s="15" t="str">
        <f t="shared" si="15"/>
        <v>...</v>
      </c>
      <c r="AD26" s="10" t="str">
        <f t="shared" si="16"/>
        <v>...</v>
      </c>
      <c r="AE26" s="15" t="str">
        <f t="shared" si="17"/>
        <v>...</v>
      </c>
      <c r="AF26" s="18"/>
      <c r="AG26" s="30" t="s">
        <v>73</v>
      </c>
      <c r="AH26" s="31" t="s">
        <v>74</v>
      </c>
      <c r="AI26" s="32" t="s">
        <v>75</v>
      </c>
      <c r="AJ26" s="18"/>
      <c r="AK26" s="48"/>
      <c r="AL26" s="9" t="str">
        <f>IFERROR(__xludf.DUMMYFUNCTION("""COMPUTED_VALUE"""),"* BOL1D *")</f>
        <v>* BOL1D *</v>
      </c>
      <c r="AM26" s="9">
        <f>IFERROR(__xludf.DUMMYFUNCTION("""COMPUTED_VALUE"""),101.5)</f>
        <v>101.5</v>
      </c>
    </row>
    <row r="27">
      <c r="A27" s="5"/>
      <c r="B27" s="5"/>
      <c r="C27" s="11"/>
      <c r="D27" s="5"/>
      <c r="E27" s="25"/>
      <c r="F27" s="20"/>
      <c r="G27" s="5"/>
      <c r="H27" s="5"/>
      <c r="I27" s="21"/>
      <c r="J27" s="22"/>
      <c r="K27" s="9" t="str">
        <f t="shared" si="2"/>
        <v>...</v>
      </c>
      <c r="L27" s="9" t="str">
        <f t="shared" si="3"/>
        <v>...</v>
      </c>
      <c r="M27" s="15"/>
      <c r="N27" s="9"/>
      <c r="O27" s="23"/>
      <c r="P27" s="9" t="str">
        <f>if(B27=0,"...",$H27*(IF(D27="ABIERTA",K27,J27)*(1-VLOOKUP(A27,Config!$A$3:$B$5,2,FALSE)))/100)</f>
        <v>...</v>
      </c>
      <c r="Q27" s="9"/>
      <c r="R27" s="23"/>
      <c r="S27" s="10" t="str">
        <f t="shared" si="7"/>
        <v>...</v>
      </c>
      <c r="T27" s="20" t="str">
        <f t="shared" si="8"/>
        <v>...</v>
      </c>
      <c r="U27" s="24" t="str">
        <f t="shared" si="9"/>
        <v>...</v>
      </c>
      <c r="V27" s="15" t="str">
        <f t="shared" si="10"/>
        <v>...</v>
      </c>
      <c r="W27" s="18"/>
      <c r="X27" s="9"/>
      <c r="Y27" s="9" t="str">
        <f t="shared" si="11"/>
        <v>...</v>
      </c>
      <c r="Z27" s="9" t="str">
        <f t="shared" si="12"/>
        <v>...</v>
      </c>
      <c r="AA27" s="10" t="str">
        <f t="shared" si="13"/>
        <v/>
      </c>
      <c r="AB27" s="9" t="str">
        <f t="shared" si="14"/>
        <v>...</v>
      </c>
      <c r="AC27" s="15" t="str">
        <f t="shared" si="15"/>
        <v>...</v>
      </c>
      <c r="AD27" s="10" t="str">
        <f t="shared" si="16"/>
        <v>...</v>
      </c>
      <c r="AE27" s="15" t="str">
        <f t="shared" si="17"/>
        <v>...</v>
      </c>
      <c r="AF27" s="18"/>
      <c r="AG27" s="33"/>
      <c r="AH27" s="31" t="s">
        <v>76</v>
      </c>
      <c r="AI27" s="32">
        <v>14.0</v>
      </c>
      <c r="AJ27" s="18"/>
      <c r="AK27" s="48"/>
      <c r="AL27" s="9" t="str">
        <f>IFERROR(__xludf.DUMMYFUNCTION("""COMPUTED_VALUE"""),"* BOL1O *")</f>
        <v>* BOL1O *</v>
      </c>
      <c r="AM27" s="9">
        <f>IFERROR(__xludf.DUMMYFUNCTION("""COMPUTED_VALUE"""),147500.0)</f>
        <v>147500</v>
      </c>
    </row>
    <row r="28">
      <c r="A28" s="5"/>
      <c r="B28" s="5"/>
      <c r="C28" s="11"/>
      <c r="D28" s="5"/>
      <c r="E28" s="25"/>
      <c r="F28" s="20"/>
      <c r="G28" s="5"/>
      <c r="H28" s="5"/>
      <c r="I28" s="21"/>
      <c r="J28" s="22"/>
      <c r="K28" s="9" t="str">
        <f t="shared" si="2"/>
        <v>...</v>
      </c>
      <c r="L28" s="9" t="str">
        <f t="shared" si="3"/>
        <v>...</v>
      </c>
      <c r="M28" s="15"/>
      <c r="N28" s="9"/>
      <c r="O28" s="23"/>
      <c r="P28" s="9" t="str">
        <f>if(B28=0,"...",$H28*(IF(D28="ABIERTA",K28,J28)*(1-VLOOKUP(A28,Config!$A$3:$B$5,2,FALSE)))/100)</f>
        <v>...</v>
      </c>
      <c r="Q28" s="9"/>
      <c r="R28" s="23"/>
      <c r="S28" s="10" t="str">
        <f t="shared" si="7"/>
        <v>...</v>
      </c>
      <c r="T28" s="20" t="str">
        <f t="shared" si="8"/>
        <v>...</v>
      </c>
      <c r="U28" s="24" t="str">
        <f t="shared" si="9"/>
        <v>...</v>
      </c>
      <c r="V28" s="15" t="str">
        <f t="shared" si="10"/>
        <v>...</v>
      </c>
      <c r="W28" s="18"/>
      <c r="X28" s="9"/>
      <c r="Y28" s="9" t="str">
        <f t="shared" si="11"/>
        <v>...</v>
      </c>
      <c r="Z28" s="9" t="str">
        <f t="shared" si="12"/>
        <v>...</v>
      </c>
      <c r="AA28" s="10" t="str">
        <f t="shared" si="13"/>
        <v/>
      </c>
      <c r="AB28" s="9" t="str">
        <f t="shared" si="14"/>
        <v>...</v>
      </c>
      <c r="AC28" s="15" t="str">
        <f t="shared" si="15"/>
        <v>...</v>
      </c>
      <c r="AD28" s="10" t="str">
        <f t="shared" si="16"/>
        <v>...</v>
      </c>
      <c r="AE28" s="15" t="str">
        <f t="shared" si="17"/>
        <v>...</v>
      </c>
      <c r="AF28" s="18"/>
      <c r="AG28" s="26"/>
      <c r="AH28" s="34"/>
      <c r="AI28" s="34"/>
      <c r="AJ28" s="18"/>
      <c r="AK28" s="48"/>
      <c r="AL28" s="9" t="str">
        <f>IFERROR(__xludf.DUMMYFUNCTION("""COMPUTED_VALUE"""),"* BPCLO *")</f>
        <v>* BPCLO *</v>
      </c>
      <c r="AM28" s="9">
        <f>IFERROR(__xludf.DUMMYFUNCTION("""COMPUTED_VALUE"""),100.0)</f>
        <v>100</v>
      </c>
    </row>
    <row r="29">
      <c r="A29" s="5"/>
      <c r="B29" s="5"/>
      <c r="C29" s="11"/>
      <c r="D29" s="5"/>
      <c r="E29" s="25"/>
      <c r="F29" s="20"/>
      <c r="G29" s="5"/>
      <c r="H29" s="5"/>
      <c r="I29" s="21"/>
      <c r="J29" s="22"/>
      <c r="K29" s="9"/>
      <c r="L29" s="9"/>
      <c r="M29" s="15"/>
      <c r="N29" s="9"/>
      <c r="O29" s="23"/>
      <c r="P29" s="9"/>
      <c r="Q29" s="9"/>
      <c r="R29" s="23"/>
      <c r="S29" s="10"/>
      <c r="T29" s="20"/>
      <c r="U29" s="24"/>
      <c r="V29" s="15"/>
      <c r="W29" s="18"/>
      <c r="X29" s="9"/>
      <c r="Y29" s="9"/>
      <c r="Z29" s="9"/>
      <c r="AA29" s="10"/>
      <c r="AB29" s="9"/>
      <c r="AC29" s="15"/>
      <c r="AD29" s="10"/>
      <c r="AE29" s="15"/>
      <c r="AF29" s="18"/>
      <c r="AG29" s="26"/>
      <c r="AH29" s="34"/>
      <c r="AI29" s="34"/>
      <c r="AJ29" s="18"/>
      <c r="AK29" s="48"/>
      <c r="AL29" s="9" t="str">
        <f>IFERROR(__xludf.DUMMYFUNCTION("""COMPUTED_VALUE"""),"* BPCMO *")</f>
        <v>* BPCMO *</v>
      </c>
      <c r="AM29" s="9">
        <f>IFERROR(__xludf.DUMMYFUNCTION("""COMPUTED_VALUE"""),109.3)</f>
        <v>109.3</v>
      </c>
    </row>
    <row r="30">
      <c r="A30" s="51"/>
      <c r="B30" s="51"/>
      <c r="C30" s="52"/>
      <c r="D30" s="51"/>
      <c r="E30" s="53"/>
      <c r="F30" s="54"/>
      <c r="G30" s="51"/>
      <c r="H30" s="51"/>
      <c r="I30" s="55"/>
      <c r="J30" s="56"/>
      <c r="K30" s="46"/>
      <c r="L30" s="46"/>
      <c r="M30" s="47"/>
      <c r="N30" s="46"/>
      <c r="O30" s="57"/>
      <c r="P30" s="46"/>
      <c r="Q30" s="46"/>
      <c r="R30" s="57"/>
      <c r="S30" s="7"/>
      <c r="T30" s="54"/>
      <c r="U30" s="58"/>
      <c r="V30" s="47"/>
      <c r="W30" s="18"/>
      <c r="X30" s="46"/>
      <c r="Y30" s="9"/>
      <c r="Z30" s="46"/>
      <c r="AA30" s="7"/>
      <c r="AB30" s="46"/>
      <c r="AC30" s="47"/>
      <c r="AD30" s="7"/>
      <c r="AE30" s="47"/>
      <c r="AF30" s="18"/>
      <c r="AG30" s="26"/>
      <c r="AH30" s="34"/>
      <c r="AI30" s="34"/>
      <c r="AJ30" s="18"/>
      <c r="AK30" s="48"/>
      <c r="AL30" s="9" t="str">
        <f>IFERROR(__xludf.DUMMYFUNCTION("""COMPUTED_VALUE"""),"* BPCNO *")</f>
        <v>* BPCNO *</v>
      </c>
      <c r="AM30" s="9">
        <f>IFERROR(__xludf.DUMMYFUNCTION("""COMPUTED_VALUE"""),111.2)</f>
        <v>111.2</v>
      </c>
    </row>
    <row r="31">
      <c r="A31" s="51"/>
      <c r="B31" s="51"/>
      <c r="C31" s="52"/>
      <c r="D31" s="51"/>
      <c r="E31" s="53"/>
      <c r="F31" s="54"/>
      <c r="G31" s="51"/>
      <c r="H31" s="51"/>
      <c r="I31" s="55"/>
      <c r="J31" s="56"/>
      <c r="K31" s="46"/>
      <c r="L31" s="46"/>
      <c r="M31" s="47"/>
      <c r="N31" s="46"/>
      <c r="O31" s="57"/>
      <c r="P31" s="46"/>
      <c r="Q31" s="46"/>
      <c r="R31" s="57"/>
      <c r="S31" s="7"/>
      <c r="T31" s="54"/>
      <c r="U31" s="58"/>
      <c r="V31" s="47"/>
      <c r="W31" s="18"/>
      <c r="X31" s="46"/>
      <c r="Y31" s="9"/>
      <c r="Z31" s="46"/>
      <c r="AA31" s="7"/>
      <c r="AB31" s="46"/>
      <c r="AC31" s="47"/>
      <c r="AD31" s="7"/>
      <c r="AE31" s="47"/>
      <c r="AF31" s="18"/>
      <c r="AG31" s="26"/>
      <c r="AH31" s="34"/>
      <c r="AI31" s="34"/>
      <c r="AJ31" s="18"/>
      <c r="AK31" s="48"/>
      <c r="AL31" s="9" t="str">
        <f>IFERROR(__xludf.DUMMYFUNCTION("""COMPUTED_VALUE"""),"* BPCPD *")</f>
        <v>* BPCPD *</v>
      </c>
      <c r="AM31" s="9">
        <f>IFERROR(__xludf.DUMMYFUNCTION("""COMPUTED_VALUE"""),102.25)</f>
        <v>102.25</v>
      </c>
    </row>
    <row r="32">
      <c r="A32" s="51"/>
      <c r="B32" s="51"/>
      <c r="C32" s="52"/>
      <c r="D32" s="51"/>
      <c r="E32" s="53"/>
      <c r="F32" s="54"/>
      <c r="G32" s="51"/>
      <c r="H32" s="51"/>
      <c r="I32" s="55"/>
      <c r="J32" s="56"/>
      <c r="K32" s="46"/>
      <c r="L32" s="46"/>
      <c r="M32" s="47"/>
      <c r="N32" s="46"/>
      <c r="O32" s="57"/>
      <c r="P32" s="46"/>
      <c r="Q32" s="46"/>
      <c r="R32" s="57"/>
      <c r="S32" s="7"/>
      <c r="T32" s="54"/>
      <c r="U32" s="58"/>
      <c r="V32" s="47"/>
      <c r="W32" s="18"/>
      <c r="X32" s="46"/>
      <c r="Y32" s="9"/>
      <c r="Z32" s="46"/>
      <c r="AA32" s="7"/>
      <c r="AB32" s="46"/>
      <c r="AC32" s="47"/>
      <c r="AD32" s="7"/>
      <c r="AE32" s="47"/>
      <c r="AF32" s="18"/>
      <c r="AG32" s="26"/>
      <c r="AH32" s="34"/>
      <c r="AI32" s="34"/>
      <c r="AJ32" s="18"/>
      <c r="AK32" s="48"/>
      <c r="AL32" s="9" t="str">
        <f>IFERROR(__xludf.DUMMYFUNCTION("""COMPUTED_VALUE"""),"* BPCPO *")</f>
        <v>* BPCPO *</v>
      </c>
      <c r="AM32" s="9">
        <f>IFERROR(__xludf.DUMMYFUNCTION("""COMPUTED_VALUE"""),160000.0)</f>
        <v>160000</v>
      </c>
    </row>
    <row r="33">
      <c r="A33" s="51"/>
      <c r="B33" s="51"/>
      <c r="C33" s="52"/>
      <c r="D33" s="51"/>
      <c r="E33" s="53"/>
      <c r="F33" s="54"/>
      <c r="G33" s="51"/>
      <c r="H33" s="51"/>
      <c r="I33" s="55"/>
      <c r="J33" s="56"/>
      <c r="K33" s="46"/>
      <c r="L33" s="46"/>
      <c r="M33" s="47"/>
      <c r="N33" s="46"/>
      <c r="O33" s="57"/>
      <c r="P33" s="46"/>
      <c r="Q33" s="46"/>
      <c r="R33" s="57"/>
      <c r="S33" s="7"/>
      <c r="T33" s="54"/>
      <c r="U33" s="58"/>
      <c r="V33" s="47"/>
      <c r="W33" s="18"/>
      <c r="X33" s="46"/>
      <c r="Y33" s="9"/>
      <c r="Z33" s="46"/>
      <c r="AA33" s="7"/>
      <c r="AB33" s="46"/>
      <c r="AC33" s="47"/>
      <c r="AD33" s="7"/>
      <c r="AE33" s="47"/>
      <c r="AF33" s="18"/>
      <c r="AG33" s="26"/>
      <c r="AH33" s="34"/>
      <c r="AI33" s="34"/>
      <c r="AJ33" s="18"/>
      <c r="AK33" s="48"/>
      <c r="AL33" s="9" t="str">
        <f>IFERROR(__xludf.DUMMYFUNCTION("""COMPUTED_VALUE"""),"* BPCQD *")</f>
        <v>* BPCQD *</v>
      </c>
      <c r="AM33" s="9">
        <f>IFERROR(__xludf.DUMMYFUNCTION("""COMPUTED_VALUE"""),100.0)</f>
        <v>100</v>
      </c>
    </row>
    <row r="34">
      <c r="A34" s="51"/>
      <c r="B34" s="51"/>
      <c r="C34" s="52"/>
      <c r="D34" s="51"/>
      <c r="E34" s="53"/>
      <c r="F34" s="54"/>
      <c r="G34" s="51"/>
      <c r="H34" s="51"/>
      <c r="I34" s="55"/>
      <c r="J34" s="56"/>
      <c r="K34" s="46"/>
      <c r="L34" s="46"/>
      <c r="M34" s="47"/>
      <c r="N34" s="46"/>
      <c r="O34" s="57"/>
      <c r="P34" s="46"/>
      <c r="Q34" s="46"/>
      <c r="R34" s="57"/>
      <c r="S34" s="7"/>
      <c r="T34" s="54"/>
      <c r="U34" s="58"/>
      <c r="V34" s="47"/>
      <c r="W34" s="18"/>
      <c r="X34" s="46"/>
      <c r="Y34" s="9"/>
      <c r="Z34" s="46"/>
      <c r="AA34" s="7"/>
      <c r="AB34" s="46"/>
      <c r="AC34" s="47"/>
      <c r="AD34" s="7"/>
      <c r="AE34" s="47"/>
      <c r="AF34" s="18"/>
      <c r="AG34" s="26"/>
      <c r="AH34" s="34"/>
      <c r="AI34" s="34"/>
      <c r="AJ34" s="18"/>
      <c r="AK34" s="48"/>
      <c r="AL34" s="9" t="str">
        <f>IFERROR(__xludf.DUMMYFUNCTION("""COMPUTED_VALUE"""),"* BPCQO *")</f>
        <v>* BPCQO *</v>
      </c>
      <c r="AM34" s="9">
        <f>IFERROR(__xludf.DUMMYFUNCTION("""COMPUTED_VALUE"""),156100.0)</f>
        <v>156100</v>
      </c>
    </row>
    <row r="35">
      <c r="A35" s="51"/>
      <c r="B35" s="51"/>
      <c r="C35" s="52"/>
      <c r="D35" s="51"/>
      <c r="E35" s="53"/>
      <c r="F35" s="54"/>
      <c r="G35" s="51"/>
      <c r="H35" s="51"/>
      <c r="I35" s="55"/>
      <c r="J35" s="56"/>
      <c r="K35" s="46"/>
      <c r="L35" s="46"/>
      <c r="M35" s="47"/>
      <c r="N35" s="46"/>
      <c r="O35" s="57"/>
      <c r="P35" s="46"/>
      <c r="Q35" s="46"/>
      <c r="R35" s="57"/>
      <c r="S35" s="7"/>
      <c r="T35" s="54"/>
      <c r="U35" s="58"/>
      <c r="V35" s="47"/>
      <c r="W35" s="18"/>
      <c r="X35" s="46"/>
      <c r="Y35" s="9"/>
      <c r="Z35" s="46"/>
      <c r="AA35" s="7"/>
      <c r="AB35" s="46"/>
      <c r="AC35" s="47"/>
      <c r="AD35" s="7"/>
      <c r="AE35" s="47"/>
      <c r="AF35" s="18"/>
      <c r="AG35" s="26"/>
      <c r="AH35" s="34"/>
      <c r="AI35" s="34"/>
      <c r="AJ35" s="18"/>
      <c r="AK35" s="48"/>
      <c r="AL35" s="9" t="str">
        <f>IFERROR(__xludf.DUMMYFUNCTION("""COMPUTED_VALUE"""),"* BPCRO *")</f>
        <v>* BPCRO *</v>
      </c>
      <c r="AM35" s="9">
        <f>IFERROR(__xludf.DUMMYFUNCTION("""COMPUTED_VALUE"""),100.0)</f>
        <v>100</v>
      </c>
    </row>
    <row r="36">
      <c r="A36" s="51"/>
      <c r="B36" s="51"/>
      <c r="C36" s="52"/>
      <c r="D36" s="51"/>
      <c r="E36" s="53"/>
      <c r="F36" s="54"/>
      <c r="G36" s="51"/>
      <c r="H36" s="51"/>
      <c r="I36" s="55"/>
      <c r="J36" s="56"/>
      <c r="K36" s="46"/>
      <c r="L36" s="46"/>
      <c r="M36" s="47"/>
      <c r="N36" s="46"/>
      <c r="O36" s="57"/>
      <c r="P36" s="46"/>
      <c r="Q36" s="46"/>
      <c r="R36" s="57"/>
      <c r="S36" s="7"/>
      <c r="T36" s="54"/>
      <c r="U36" s="58"/>
      <c r="V36" s="47"/>
      <c r="W36" s="18"/>
      <c r="X36" s="46"/>
      <c r="Y36" s="9"/>
      <c r="Z36" s="46"/>
      <c r="AA36" s="7"/>
      <c r="AB36" s="46"/>
      <c r="AC36" s="47"/>
      <c r="AD36" s="7"/>
      <c r="AE36" s="47"/>
      <c r="AF36" s="18"/>
      <c r="AG36" s="26"/>
      <c r="AH36" s="34"/>
      <c r="AI36" s="34"/>
      <c r="AJ36" s="18"/>
      <c r="AK36" s="48"/>
      <c r="AL36" s="9" t="str">
        <f>IFERROR(__xludf.DUMMYFUNCTION("""COMPUTED_VALUE"""),"* BPCSO *")</f>
        <v>* BPCSO *</v>
      </c>
      <c r="AM36" s="9">
        <f>IFERROR(__xludf.DUMMYFUNCTION("""COMPUTED_VALUE"""),148000.0)</f>
        <v>148000</v>
      </c>
    </row>
    <row r="37">
      <c r="A37" s="51"/>
      <c r="B37" s="51"/>
      <c r="C37" s="52"/>
      <c r="D37" s="51"/>
      <c r="E37" s="53"/>
      <c r="F37" s="54"/>
      <c r="G37" s="51"/>
      <c r="H37" s="51"/>
      <c r="I37" s="55"/>
      <c r="J37" s="56"/>
      <c r="K37" s="46"/>
      <c r="L37" s="46"/>
      <c r="M37" s="47"/>
      <c r="N37" s="46"/>
      <c r="O37" s="57"/>
      <c r="P37" s="46"/>
      <c r="Q37" s="46"/>
      <c r="R37" s="57"/>
      <c r="S37" s="7"/>
      <c r="T37" s="54"/>
      <c r="U37" s="58"/>
      <c r="V37" s="47"/>
      <c r="W37" s="18"/>
      <c r="X37" s="46"/>
      <c r="Y37" s="9"/>
      <c r="Z37" s="46"/>
      <c r="AA37" s="7"/>
      <c r="AB37" s="46"/>
      <c r="AC37" s="47"/>
      <c r="AD37" s="7"/>
      <c r="AE37" s="47"/>
      <c r="AF37" s="18"/>
      <c r="AG37" s="26"/>
      <c r="AH37" s="34"/>
      <c r="AI37" s="34"/>
      <c r="AJ37" s="18"/>
      <c r="AK37" s="48"/>
      <c r="AL37" s="9" t="str">
        <f>IFERROR(__xludf.DUMMYFUNCTION("""COMPUTED_VALUE"""),"* BPCTD *")</f>
        <v>* BPCTD *</v>
      </c>
      <c r="AM37" s="9">
        <f>IFERROR(__xludf.DUMMYFUNCTION("""COMPUTED_VALUE"""),104.0)</f>
        <v>104</v>
      </c>
    </row>
    <row r="38">
      <c r="A38" s="51"/>
      <c r="B38" s="51"/>
      <c r="C38" s="52"/>
      <c r="D38" s="51"/>
      <c r="E38" s="53"/>
      <c r="F38" s="54"/>
      <c r="G38" s="51"/>
      <c r="H38" s="51"/>
      <c r="I38" s="55"/>
      <c r="J38" s="56"/>
      <c r="K38" s="46"/>
      <c r="L38" s="46"/>
      <c r="M38" s="47"/>
      <c r="N38" s="46"/>
      <c r="O38" s="57"/>
      <c r="P38" s="46"/>
      <c r="Q38" s="46"/>
      <c r="R38" s="57"/>
      <c r="S38" s="7"/>
      <c r="T38" s="54"/>
      <c r="U38" s="58"/>
      <c r="V38" s="47"/>
      <c r="W38" s="18"/>
      <c r="X38" s="46"/>
      <c r="Y38" s="9"/>
      <c r="Z38" s="46"/>
      <c r="AA38" s="7"/>
      <c r="AB38" s="46"/>
      <c r="AC38" s="47"/>
      <c r="AD38" s="7"/>
      <c r="AE38" s="47"/>
      <c r="AF38" s="18"/>
      <c r="AG38" s="26"/>
      <c r="AH38" s="34"/>
      <c r="AI38" s="34"/>
      <c r="AJ38" s="18"/>
      <c r="AK38" s="48"/>
      <c r="AL38" s="9" t="str">
        <f>IFERROR(__xludf.DUMMYFUNCTION("""COMPUTED_VALUE"""),"* BPCTO *")</f>
        <v>* BPCTO *</v>
      </c>
      <c r="AM38" s="9">
        <f>IFERROR(__xludf.DUMMYFUNCTION("""COMPUTED_VALUE"""),150000.0)</f>
        <v>150000</v>
      </c>
    </row>
    <row r="39">
      <c r="A39" s="51"/>
      <c r="B39" s="51"/>
      <c r="C39" s="52"/>
      <c r="D39" s="51"/>
      <c r="E39" s="53"/>
      <c r="F39" s="54"/>
      <c r="G39" s="51"/>
      <c r="H39" s="51"/>
      <c r="I39" s="55"/>
      <c r="J39" s="56"/>
      <c r="K39" s="46"/>
      <c r="L39" s="46"/>
      <c r="M39" s="47"/>
      <c r="N39" s="46"/>
      <c r="O39" s="57"/>
      <c r="P39" s="46"/>
      <c r="Q39" s="46"/>
      <c r="R39" s="57"/>
      <c r="S39" s="7"/>
      <c r="T39" s="54"/>
      <c r="U39" s="58"/>
      <c r="V39" s="47"/>
      <c r="W39" s="18"/>
      <c r="X39" s="46"/>
      <c r="Y39" s="9"/>
      <c r="Z39" s="46"/>
      <c r="AA39" s="7"/>
      <c r="AB39" s="46"/>
      <c r="AC39" s="47"/>
      <c r="AD39" s="7"/>
      <c r="AE39" s="47"/>
      <c r="AF39" s="18"/>
      <c r="AG39" s="26"/>
      <c r="AH39" s="34"/>
      <c r="AI39" s="34"/>
      <c r="AJ39" s="18"/>
      <c r="AK39" s="48"/>
      <c r="AL39" s="9" t="str">
        <f>IFERROR(__xludf.DUMMYFUNCTION("""COMPUTED_VALUE"""),"* BPCUC *")</f>
        <v>* BPCUC *</v>
      </c>
      <c r="AM39" s="9">
        <f>IFERROR(__xludf.DUMMYFUNCTION("""COMPUTED_VALUE"""),100.0)</f>
        <v>100</v>
      </c>
    </row>
    <row r="40">
      <c r="A40" s="51"/>
      <c r="B40" s="51"/>
      <c r="C40" s="52"/>
      <c r="D40" s="51"/>
      <c r="E40" s="53"/>
      <c r="F40" s="54"/>
      <c r="G40" s="51"/>
      <c r="H40" s="51"/>
      <c r="I40" s="55"/>
      <c r="J40" s="56"/>
      <c r="K40" s="46"/>
      <c r="L40" s="46"/>
      <c r="M40" s="47"/>
      <c r="N40" s="46"/>
      <c r="O40" s="57"/>
      <c r="P40" s="46"/>
      <c r="Q40" s="46"/>
      <c r="R40" s="57"/>
      <c r="S40" s="7"/>
      <c r="T40" s="54"/>
      <c r="U40" s="58"/>
      <c r="V40" s="47"/>
      <c r="W40" s="18"/>
      <c r="X40" s="46"/>
      <c r="Y40" s="9"/>
      <c r="Z40" s="46"/>
      <c r="AA40" s="7"/>
      <c r="AB40" s="46"/>
      <c r="AC40" s="47"/>
      <c r="AD40" s="7"/>
      <c r="AE40" s="47"/>
      <c r="AF40" s="18"/>
      <c r="AG40" s="26"/>
      <c r="AH40" s="34"/>
      <c r="AI40" s="34"/>
      <c r="AJ40" s="18"/>
      <c r="AK40" s="48"/>
      <c r="AL40" s="9" t="str">
        <f>IFERROR(__xludf.DUMMYFUNCTION("""COMPUTED_VALUE"""),"* BPCUD *")</f>
        <v>* BPCUD *</v>
      </c>
      <c r="AM40" s="9">
        <f>IFERROR(__xludf.DUMMYFUNCTION("""COMPUTED_VALUE"""),100.0)</f>
        <v>100</v>
      </c>
    </row>
    <row r="41">
      <c r="A41" s="51"/>
      <c r="B41" s="51"/>
      <c r="C41" s="52"/>
      <c r="D41" s="51"/>
      <c r="E41" s="53"/>
      <c r="F41" s="54"/>
      <c r="G41" s="51"/>
      <c r="H41" s="51"/>
      <c r="I41" s="55"/>
      <c r="J41" s="56"/>
      <c r="K41" s="46"/>
      <c r="L41" s="46"/>
      <c r="M41" s="47"/>
      <c r="N41" s="46"/>
      <c r="O41" s="57"/>
      <c r="P41" s="46"/>
      <c r="Q41" s="46"/>
      <c r="R41" s="57"/>
      <c r="S41" s="7"/>
      <c r="T41" s="54"/>
      <c r="U41" s="58"/>
      <c r="V41" s="47"/>
      <c r="W41" s="18"/>
      <c r="X41" s="46"/>
      <c r="Y41" s="9"/>
      <c r="Z41" s="46"/>
      <c r="AA41" s="7"/>
      <c r="AB41" s="46"/>
      <c r="AC41" s="47"/>
      <c r="AD41" s="7"/>
      <c r="AE41" s="47"/>
      <c r="AF41" s="18"/>
      <c r="AG41" s="26"/>
      <c r="AH41" s="34"/>
      <c r="AI41" s="34"/>
      <c r="AJ41" s="18"/>
      <c r="AK41" s="48"/>
      <c r="AL41" s="9" t="str">
        <f>IFERROR(__xludf.DUMMYFUNCTION("""COMPUTED_VALUE"""),"* BPCUO *")</f>
        <v>* BPCUO *</v>
      </c>
      <c r="AM41" s="9">
        <f>IFERROR(__xludf.DUMMYFUNCTION("""COMPUTED_VALUE"""),147735.0)</f>
        <v>147735</v>
      </c>
    </row>
    <row r="42">
      <c r="A42" s="51"/>
      <c r="B42" s="51"/>
      <c r="C42" s="52"/>
      <c r="D42" s="51"/>
      <c r="E42" s="53"/>
      <c r="F42" s="54"/>
      <c r="G42" s="51"/>
      <c r="H42" s="51"/>
      <c r="I42" s="55"/>
      <c r="J42" s="56"/>
      <c r="K42" s="46"/>
      <c r="L42" s="46"/>
      <c r="M42" s="47"/>
      <c r="N42" s="46"/>
      <c r="O42" s="57"/>
      <c r="P42" s="46"/>
      <c r="Q42" s="46"/>
      <c r="R42" s="57"/>
      <c r="S42" s="7"/>
      <c r="T42" s="54"/>
      <c r="U42" s="58"/>
      <c r="V42" s="47"/>
      <c r="W42" s="18"/>
      <c r="X42" s="46"/>
      <c r="Y42" s="9"/>
      <c r="Z42" s="46"/>
      <c r="AA42" s="7"/>
      <c r="AB42" s="46"/>
      <c r="AC42" s="47"/>
      <c r="AD42" s="7"/>
      <c r="AE42" s="47"/>
      <c r="AF42" s="18"/>
      <c r="AG42" s="26"/>
      <c r="AH42" s="34"/>
      <c r="AI42" s="34"/>
      <c r="AJ42" s="18"/>
      <c r="AK42" s="48"/>
      <c r="AL42" s="9" t="str">
        <f>IFERROR(__xludf.DUMMYFUNCTION("""COMPUTED_VALUE"""),"* BVCNO *")</f>
        <v>* BVCNO *</v>
      </c>
      <c r="AM42" s="9">
        <f>IFERROR(__xludf.DUMMYFUNCTION("""COMPUTED_VALUE"""),100.0)</f>
        <v>100</v>
      </c>
    </row>
    <row r="43">
      <c r="A43" s="51"/>
      <c r="B43" s="51"/>
      <c r="C43" s="52"/>
      <c r="D43" s="51"/>
      <c r="E43" s="53"/>
      <c r="F43" s="54"/>
      <c r="G43" s="51"/>
      <c r="H43" s="51"/>
      <c r="I43" s="55"/>
      <c r="J43" s="56"/>
      <c r="K43" s="46"/>
      <c r="L43" s="46"/>
      <c r="M43" s="47"/>
      <c r="N43" s="46"/>
      <c r="O43" s="57"/>
      <c r="P43" s="46"/>
      <c r="Q43" s="46"/>
      <c r="R43" s="57"/>
      <c r="S43" s="7"/>
      <c r="T43" s="54"/>
      <c r="U43" s="58"/>
      <c r="V43" s="47"/>
      <c r="W43" s="18"/>
      <c r="X43" s="46"/>
      <c r="Y43" s="9"/>
      <c r="Z43" s="46"/>
      <c r="AA43" s="7"/>
      <c r="AB43" s="46"/>
      <c r="AC43" s="47"/>
      <c r="AD43" s="7"/>
      <c r="AE43" s="47"/>
      <c r="AF43" s="18"/>
      <c r="AG43" s="26"/>
      <c r="AH43" s="34"/>
      <c r="AI43" s="34"/>
      <c r="AJ43" s="18"/>
      <c r="AK43" s="48"/>
      <c r="AL43" s="9" t="str">
        <f>IFERROR(__xludf.DUMMYFUNCTION("""COMPUTED_VALUE"""),"* BVCOD *")</f>
        <v>* BVCOD *</v>
      </c>
      <c r="AM43" s="9">
        <f>IFERROR(__xludf.DUMMYFUNCTION("""COMPUTED_VALUE"""),99.25)</f>
        <v>99.25</v>
      </c>
    </row>
    <row r="44">
      <c r="A44" s="51"/>
      <c r="B44" s="51"/>
      <c r="C44" s="52"/>
      <c r="D44" s="51"/>
      <c r="E44" s="53"/>
      <c r="F44" s="54"/>
      <c r="G44" s="51"/>
      <c r="H44" s="51"/>
      <c r="I44" s="55"/>
      <c r="J44" s="56"/>
      <c r="K44" s="46"/>
      <c r="L44" s="46"/>
      <c r="M44" s="47"/>
      <c r="N44" s="46"/>
      <c r="O44" s="57"/>
      <c r="P44" s="46"/>
      <c r="Q44" s="46"/>
      <c r="R44" s="57"/>
      <c r="S44" s="7"/>
      <c r="T44" s="54"/>
      <c r="U44" s="58"/>
      <c r="V44" s="47"/>
      <c r="W44" s="18"/>
      <c r="X44" s="46"/>
      <c r="Y44" s="9"/>
      <c r="Z44" s="46"/>
      <c r="AA44" s="7"/>
      <c r="AB44" s="46"/>
      <c r="AC44" s="47"/>
      <c r="AD44" s="7"/>
      <c r="AE44" s="47"/>
      <c r="AF44" s="18"/>
      <c r="AG44" s="26"/>
      <c r="AH44" s="34"/>
      <c r="AI44" s="34"/>
      <c r="AJ44" s="18"/>
      <c r="AK44" s="48"/>
      <c r="AL44" s="9" t="str">
        <f>IFERROR(__xludf.DUMMYFUNCTION("""COMPUTED_VALUE"""),"* BVCOO *")</f>
        <v>* BVCOO *</v>
      </c>
      <c r="AM44" s="9">
        <f>IFERROR(__xludf.DUMMYFUNCTION("""COMPUTED_VALUE"""),146000.0)</f>
        <v>146000</v>
      </c>
    </row>
    <row r="45">
      <c r="A45" s="51"/>
      <c r="B45" s="51"/>
      <c r="C45" s="52"/>
      <c r="D45" s="51"/>
      <c r="E45" s="53"/>
      <c r="F45" s="54"/>
      <c r="G45" s="51"/>
      <c r="H45" s="51"/>
      <c r="I45" s="55"/>
      <c r="J45" s="56"/>
      <c r="K45" s="46"/>
      <c r="L45" s="46"/>
      <c r="M45" s="47"/>
      <c r="N45" s="46"/>
      <c r="O45" s="57"/>
      <c r="P45" s="46"/>
      <c r="Q45" s="46"/>
      <c r="R45" s="57"/>
      <c r="S45" s="7"/>
      <c r="T45" s="54"/>
      <c r="U45" s="58"/>
      <c r="V45" s="47"/>
      <c r="W45" s="18"/>
      <c r="X45" s="46"/>
      <c r="Y45" s="9"/>
      <c r="Z45" s="46"/>
      <c r="AA45" s="7"/>
      <c r="AB45" s="46"/>
      <c r="AC45" s="47"/>
      <c r="AD45" s="7"/>
      <c r="AE45" s="47"/>
      <c r="AF45" s="18"/>
      <c r="AG45" s="26"/>
      <c r="AH45" s="34"/>
      <c r="AI45" s="34"/>
      <c r="AJ45" s="18"/>
      <c r="AK45" s="48"/>
      <c r="AL45" s="9" t="str">
        <f>IFERROR(__xludf.DUMMYFUNCTION("""COMPUTED_VALUE"""),"* BVCPC *")</f>
        <v>* BVCPC *</v>
      </c>
      <c r="AM45" s="9">
        <f>IFERROR(__xludf.DUMMYFUNCTION("""COMPUTED_VALUE"""),100.0)</f>
        <v>100</v>
      </c>
    </row>
    <row r="46">
      <c r="A46" s="51"/>
      <c r="B46" s="51"/>
      <c r="C46" s="52"/>
      <c r="D46" s="51"/>
      <c r="E46" s="53"/>
      <c r="F46" s="54"/>
      <c r="G46" s="51"/>
      <c r="H46" s="51"/>
      <c r="I46" s="55"/>
      <c r="J46" s="56"/>
      <c r="K46" s="46"/>
      <c r="L46" s="46"/>
      <c r="M46" s="47"/>
      <c r="N46" s="46"/>
      <c r="O46" s="57"/>
      <c r="P46" s="46"/>
      <c r="Q46" s="46"/>
      <c r="R46" s="57"/>
      <c r="S46" s="7"/>
      <c r="T46" s="54"/>
      <c r="U46" s="58"/>
      <c r="V46" s="47"/>
      <c r="W46" s="18"/>
      <c r="X46" s="46"/>
      <c r="Y46" s="9"/>
      <c r="Z46" s="46"/>
      <c r="AA46" s="7"/>
      <c r="AB46" s="46"/>
      <c r="AC46" s="47"/>
      <c r="AD46" s="7"/>
      <c r="AE46" s="47"/>
      <c r="AF46" s="18"/>
      <c r="AG46" s="26"/>
      <c r="AH46" s="34"/>
      <c r="AI46" s="34"/>
      <c r="AJ46" s="18"/>
      <c r="AK46" s="48"/>
      <c r="AL46" s="9" t="str">
        <f>IFERROR(__xludf.DUMMYFUNCTION("""COMPUTED_VALUE"""),"* BVCPD *")</f>
        <v>* BVCPD *</v>
      </c>
      <c r="AM46" s="9">
        <f>IFERROR(__xludf.DUMMYFUNCTION("""COMPUTED_VALUE"""),100.0)</f>
        <v>100</v>
      </c>
    </row>
    <row r="47">
      <c r="A47" s="51"/>
      <c r="B47" s="51"/>
      <c r="C47" s="52"/>
      <c r="D47" s="51"/>
      <c r="E47" s="53"/>
      <c r="F47" s="54"/>
      <c r="G47" s="51"/>
      <c r="H47" s="51"/>
      <c r="I47" s="55"/>
      <c r="J47" s="56"/>
      <c r="K47" s="46"/>
      <c r="L47" s="46"/>
      <c r="M47" s="47"/>
      <c r="N47" s="46"/>
      <c r="O47" s="57"/>
      <c r="P47" s="46"/>
      <c r="Q47" s="46"/>
      <c r="R47" s="57"/>
      <c r="S47" s="7"/>
      <c r="T47" s="54"/>
      <c r="U47" s="58"/>
      <c r="V47" s="47"/>
      <c r="W47" s="18"/>
      <c r="X47" s="46"/>
      <c r="Y47" s="9"/>
      <c r="Z47" s="46"/>
      <c r="AA47" s="7"/>
      <c r="AB47" s="46"/>
      <c r="AC47" s="47"/>
      <c r="AD47" s="7"/>
      <c r="AE47" s="47"/>
      <c r="AF47" s="18"/>
      <c r="AG47" s="26"/>
      <c r="AH47" s="34"/>
      <c r="AI47" s="34"/>
      <c r="AJ47" s="18"/>
      <c r="AK47" s="48"/>
      <c r="AL47" s="9" t="str">
        <f>IFERROR(__xludf.DUMMYFUNCTION("""COMPUTED_VALUE"""),"* BVCPO *")</f>
        <v>* BVCPO *</v>
      </c>
      <c r="AM47" s="9">
        <f>IFERROR(__xludf.DUMMYFUNCTION("""COMPUTED_VALUE"""),148000.0)</f>
        <v>148000</v>
      </c>
    </row>
    <row r="48">
      <c r="A48" s="51"/>
      <c r="B48" s="51"/>
      <c r="C48" s="52"/>
      <c r="D48" s="51"/>
      <c r="E48" s="53"/>
      <c r="F48" s="54"/>
      <c r="G48" s="51"/>
      <c r="H48" s="51"/>
      <c r="I48" s="55"/>
      <c r="J48" s="56"/>
      <c r="K48" s="46"/>
      <c r="L48" s="46"/>
      <c r="M48" s="47"/>
      <c r="N48" s="46"/>
      <c r="O48" s="57"/>
      <c r="P48" s="46"/>
      <c r="Q48" s="46"/>
      <c r="R48" s="57"/>
      <c r="S48" s="7"/>
      <c r="T48" s="54"/>
      <c r="U48" s="58"/>
      <c r="V48" s="47"/>
      <c r="W48" s="18"/>
      <c r="X48" s="46"/>
      <c r="Y48" s="9"/>
      <c r="Z48" s="46"/>
      <c r="AA48" s="7"/>
      <c r="AB48" s="46"/>
      <c r="AC48" s="47"/>
      <c r="AD48" s="7"/>
      <c r="AE48" s="47"/>
      <c r="AF48" s="18"/>
      <c r="AG48" s="26"/>
      <c r="AH48" s="34"/>
      <c r="AI48" s="34"/>
      <c r="AJ48" s="18"/>
      <c r="AK48" s="48"/>
      <c r="AL48" s="9" t="str">
        <f>IFERROR(__xludf.DUMMYFUNCTION("""COMPUTED_VALUE"""),"* BYC2O *")</f>
        <v>* BYC2O *</v>
      </c>
      <c r="AM48" s="9">
        <f>IFERROR(__xludf.DUMMYFUNCTION("""COMPUTED_VALUE"""),136800.0)</f>
        <v>136800</v>
      </c>
    </row>
    <row r="49">
      <c r="A49" s="51"/>
      <c r="B49" s="51"/>
      <c r="C49" s="52"/>
      <c r="D49" s="51"/>
      <c r="E49" s="53"/>
      <c r="F49" s="54"/>
      <c r="G49" s="51"/>
      <c r="H49" s="51"/>
      <c r="I49" s="55"/>
      <c r="J49" s="56"/>
      <c r="K49" s="46"/>
      <c r="L49" s="46"/>
      <c r="M49" s="47"/>
      <c r="N49" s="46"/>
      <c r="O49" s="57"/>
      <c r="P49" s="46"/>
      <c r="Q49" s="46"/>
      <c r="R49" s="57"/>
      <c r="S49" s="7"/>
      <c r="T49" s="54"/>
      <c r="U49" s="58"/>
      <c r="V49" s="47"/>
      <c r="W49" s="18"/>
      <c r="X49" s="46"/>
      <c r="Y49" s="9"/>
      <c r="Z49" s="46"/>
      <c r="AA49" s="7"/>
      <c r="AB49" s="46"/>
      <c r="AC49" s="47"/>
      <c r="AD49" s="7"/>
      <c r="AE49" s="47"/>
      <c r="AF49" s="18"/>
      <c r="AG49" s="26"/>
      <c r="AH49" s="34"/>
      <c r="AI49" s="34"/>
      <c r="AJ49" s="18"/>
      <c r="AK49" s="48"/>
      <c r="AL49" s="9" t="str">
        <f>IFERROR(__xludf.DUMMYFUNCTION("""COMPUTED_VALUE"""),"* BYC2P *")</f>
        <v>* BYC2P *</v>
      </c>
      <c r="AM49" s="9">
        <f>IFERROR(__xludf.DUMMYFUNCTION("""COMPUTED_VALUE"""),104.0)</f>
        <v>104</v>
      </c>
    </row>
    <row r="50">
      <c r="A50" s="51"/>
      <c r="B50" s="51"/>
      <c r="C50" s="52"/>
      <c r="D50" s="51"/>
      <c r="E50" s="53"/>
      <c r="F50" s="54"/>
      <c r="G50" s="51"/>
      <c r="H50" s="51"/>
      <c r="I50" s="55"/>
      <c r="J50" s="56"/>
      <c r="K50" s="46"/>
      <c r="L50" s="46"/>
      <c r="M50" s="47"/>
      <c r="N50" s="46"/>
      <c r="O50" s="57"/>
      <c r="P50" s="46"/>
      <c r="Q50" s="46"/>
      <c r="R50" s="57"/>
      <c r="S50" s="7"/>
      <c r="T50" s="54"/>
      <c r="U50" s="58"/>
      <c r="V50" s="47"/>
      <c r="W50" s="18"/>
      <c r="X50" s="46"/>
      <c r="Y50" s="9"/>
      <c r="Z50" s="46"/>
      <c r="AA50" s="7"/>
      <c r="AB50" s="46"/>
      <c r="AC50" s="47"/>
      <c r="AD50" s="7"/>
      <c r="AE50" s="47"/>
      <c r="AF50" s="18"/>
      <c r="AG50" s="26"/>
      <c r="AH50" s="34"/>
      <c r="AI50" s="34"/>
      <c r="AJ50" s="18"/>
      <c r="AK50" s="48"/>
      <c r="AL50" s="9" t="str">
        <f>IFERROR(__xludf.DUMMYFUNCTION("""COMPUTED_VALUE"""),"* BYCHD *")</f>
        <v>* BYCHD *</v>
      </c>
      <c r="AM50" s="9">
        <f>IFERROR(__xludf.DUMMYFUNCTION("""COMPUTED_VALUE"""),105.5)</f>
        <v>105.5</v>
      </c>
    </row>
    <row r="51">
      <c r="A51" s="51"/>
      <c r="B51" s="51"/>
      <c r="C51" s="52"/>
      <c r="D51" s="51"/>
      <c r="E51" s="53"/>
      <c r="F51" s="54"/>
      <c r="G51" s="51"/>
      <c r="H51" s="51"/>
      <c r="I51" s="55"/>
      <c r="J51" s="56"/>
      <c r="K51" s="46"/>
      <c r="L51" s="46"/>
      <c r="M51" s="47"/>
      <c r="N51" s="46"/>
      <c r="O51" s="57"/>
      <c r="P51" s="46"/>
      <c r="Q51" s="46"/>
      <c r="R51" s="57"/>
      <c r="S51" s="7"/>
      <c r="T51" s="54"/>
      <c r="U51" s="58"/>
      <c r="V51" s="47"/>
      <c r="W51" s="18"/>
      <c r="X51" s="46"/>
      <c r="Y51" s="9"/>
      <c r="Z51" s="46"/>
      <c r="AA51" s="7"/>
      <c r="AB51" s="46"/>
      <c r="AC51" s="47"/>
      <c r="AD51" s="7"/>
      <c r="AE51" s="47"/>
      <c r="AF51" s="18"/>
      <c r="AG51" s="26"/>
      <c r="AH51" s="34"/>
      <c r="AI51" s="34"/>
      <c r="AJ51" s="18"/>
      <c r="AK51" s="48"/>
      <c r="AL51" s="9" t="str">
        <f>IFERROR(__xludf.DUMMYFUNCTION("""COMPUTED_VALUE"""),"* BYCHO *")</f>
        <v>* BYCHO *</v>
      </c>
      <c r="AM51" s="9">
        <f>IFERROR(__xludf.DUMMYFUNCTION("""COMPUTED_VALUE"""),154040.0)</f>
        <v>154040</v>
      </c>
    </row>
    <row r="52">
      <c r="A52" s="51"/>
      <c r="B52" s="51"/>
      <c r="C52" s="52"/>
      <c r="D52" s="51"/>
      <c r="E52" s="53"/>
      <c r="F52" s="54"/>
      <c r="G52" s="51"/>
      <c r="H52" s="51"/>
      <c r="I52" s="55"/>
      <c r="J52" s="56"/>
      <c r="K52" s="46"/>
      <c r="L52" s="46"/>
      <c r="M52" s="47"/>
      <c r="N52" s="46"/>
      <c r="O52" s="57"/>
      <c r="P52" s="46"/>
      <c r="Q52" s="46"/>
      <c r="R52" s="57"/>
      <c r="S52" s="7"/>
      <c r="T52" s="54"/>
      <c r="U52" s="58"/>
      <c r="V52" s="47"/>
      <c r="W52" s="18"/>
      <c r="X52" s="46"/>
      <c r="Y52" s="9"/>
      <c r="Z52" s="46"/>
      <c r="AA52" s="7"/>
      <c r="AB52" s="46"/>
      <c r="AC52" s="47"/>
      <c r="AD52" s="7"/>
      <c r="AE52" s="47"/>
      <c r="AF52" s="18"/>
      <c r="AG52" s="26"/>
      <c r="AH52" s="34"/>
      <c r="AI52" s="34"/>
      <c r="AJ52" s="18"/>
      <c r="AK52" s="48"/>
      <c r="AL52" s="9" t="str">
        <f>IFERROR(__xludf.DUMMYFUNCTION("""COMPUTED_VALUE"""),"* BYCLO *")</f>
        <v>* BYCLO *</v>
      </c>
      <c r="AM52" s="9">
        <f>IFERROR(__xludf.DUMMYFUNCTION("""COMPUTED_VALUE"""),103.9)</f>
        <v>103.9</v>
      </c>
    </row>
    <row r="53">
      <c r="A53" s="51"/>
      <c r="B53" s="51"/>
      <c r="C53" s="52"/>
      <c r="D53" s="51"/>
      <c r="E53" s="53"/>
      <c r="F53" s="54"/>
      <c r="G53" s="51"/>
      <c r="H53" s="51"/>
      <c r="I53" s="55"/>
      <c r="J53" s="56"/>
      <c r="K53" s="46"/>
      <c r="L53" s="46"/>
      <c r="M53" s="47"/>
      <c r="N53" s="46"/>
      <c r="O53" s="57"/>
      <c r="P53" s="46"/>
      <c r="Q53" s="46"/>
      <c r="R53" s="57"/>
      <c r="S53" s="7"/>
      <c r="T53" s="54"/>
      <c r="U53" s="58"/>
      <c r="V53" s="47"/>
      <c r="W53" s="18"/>
      <c r="X53" s="46"/>
      <c r="Y53" s="9"/>
      <c r="Z53" s="46"/>
      <c r="AA53" s="7"/>
      <c r="AB53" s="46"/>
      <c r="AC53" s="47"/>
      <c r="AD53" s="7"/>
      <c r="AE53" s="47"/>
      <c r="AF53" s="18"/>
      <c r="AG53" s="26"/>
      <c r="AH53" s="34"/>
      <c r="AI53" s="34"/>
      <c r="AJ53" s="18"/>
      <c r="AK53" s="48"/>
      <c r="AL53" s="9" t="str">
        <f>IFERROR(__xludf.DUMMYFUNCTION("""COMPUTED_VALUE"""),"* BYCTD *")</f>
        <v>* BYCTD *</v>
      </c>
      <c r="AM53" s="9">
        <f>IFERROR(__xludf.DUMMYFUNCTION("""COMPUTED_VALUE"""),102.5)</f>
        <v>102.5</v>
      </c>
    </row>
    <row r="54">
      <c r="A54" s="51"/>
      <c r="B54" s="51"/>
      <c r="C54" s="52"/>
      <c r="D54" s="51"/>
      <c r="E54" s="53"/>
      <c r="F54" s="54"/>
      <c r="G54" s="51"/>
      <c r="H54" s="51"/>
      <c r="I54" s="55"/>
      <c r="J54" s="56"/>
      <c r="K54" s="46"/>
      <c r="L54" s="46"/>
      <c r="M54" s="47"/>
      <c r="N54" s="46"/>
      <c r="O54" s="57"/>
      <c r="P54" s="46"/>
      <c r="Q54" s="46"/>
      <c r="R54" s="57"/>
      <c r="S54" s="7"/>
      <c r="T54" s="54"/>
      <c r="U54" s="58"/>
      <c r="V54" s="47"/>
      <c r="W54" s="18"/>
      <c r="X54" s="46"/>
      <c r="Y54" s="9"/>
      <c r="Z54" s="46"/>
      <c r="AA54" s="7"/>
      <c r="AB54" s="46"/>
      <c r="AC54" s="47"/>
      <c r="AD54" s="7"/>
      <c r="AE54" s="47"/>
      <c r="AF54" s="18"/>
      <c r="AG54" s="26"/>
      <c r="AH54" s="34"/>
      <c r="AI54" s="34"/>
      <c r="AJ54" s="18"/>
      <c r="AK54" s="48"/>
      <c r="AL54" s="9" t="str">
        <f>IFERROR(__xludf.DUMMYFUNCTION("""COMPUTED_VALUE"""),"* BYCTO *")</f>
        <v>* BYCTO *</v>
      </c>
      <c r="AM54" s="9">
        <f>IFERROR(__xludf.DUMMYFUNCTION("""COMPUTED_VALUE"""),157700.0)</f>
        <v>157700</v>
      </c>
    </row>
    <row r="55">
      <c r="A55" s="51"/>
      <c r="B55" s="51"/>
      <c r="C55" s="52"/>
      <c r="D55" s="51"/>
      <c r="E55" s="53"/>
      <c r="F55" s="54"/>
      <c r="G55" s="51"/>
      <c r="H55" s="51"/>
      <c r="I55" s="55"/>
      <c r="J55" s="56"/>
      <c r="K55" s="46"/>
      <c r="L55" s="46"/>
      <c r="M55" s="47"/>
      <c r="N55" s="46"/>
      <c r="O55" s="57"/>
      <c r="P55" s="46"/>
      <c r="Q55" s="46"/>
      <c r="R55" s="57"/>
      <c r="S55" s="7"/>
      <c r="T55" s="54"/>
      <c r="U55" s="58"/>
      <c r="V55" s="47"/>
      <c r="W55" s="18"/>
      <c r="X55" s="46"/>
      <c r="Y55" s="9"/>
      <c r="Z55" s="46"/>
      <c r="AA55" s="7"/>
      <c r="AB55" s="46"/>
      <c r="AC55" s="47"/>
      <c r="AD55" s="7"/>
      <c r="AE55" s="47"/>
      <c r="AF55" s="18"/>
      <c r="AG55" s="26"/>
      <c r="AH55" s="34"/>
      <c r="AI55" s="34"/>
      <c r="AJ55" s="18"/>
      <c r="AK55" s="48"/>
      <c r="AL55" s="9" t="str">
        <f>IFERROR(__xludf.DUMMYFUNCTION("""COMPUTED_VALUE"""),"* BYCVC *")</f>
        <v>* BYCVC *</v>
      </c>
      <c r="AM55" s="9">
        <f>IFERROR(__xludf.DUMMYFUNCTION("""COMPUTED_VALUE"""),99.3)</f>
        <v>99.3</v>
      </c>
    </row>
    <row r="56">
      <c r="A56" s="51"/>
      <c r="B56" s="51"/>
      <c r="C56" s="52"/>
      <c r="D56" s="51"/>
      <c r="E56" s="53"/>
      <c r="F56" s="54"/>
      <c r="G56" s="51"/>
      <c r="H56" s="51"/>
      <c r="I56" s="55"/>
      <c r="J56" s="56"/>
      <c r="K56" s="46"/>
      <c r="L56" s="46"/>
      <c r="M56" s="47"/>
      <c r="N56" s="46"/>
      <c r="O56" s="57"/>
      <c r="P56" s="46"/>
      <c r="Q56" s="46"/>
      <c r="R56" s="57"/>
      <c r="S56" s="7"/>
      <c r="T56" s="54"/>
      <c r="U56" s="58"/>
      <c r="V56" s="47"/>
      <c r="W56" s="18"/>
      <c r="X56" s="46"/>
      <c r="Y56" s="9"/>
      <c r="Z56" s="46"/>
      <c r="AA56" s="7"/>
      <c r="AB56" s="46"/>
      <c r="AC56" s="47"/>
      <c r="AD56" s="7"/>
      <c r="AE56" s="47"/>
      <c r="AF56" s="18"/>
      <c r="AG56" s="26"/>
      <c r="AH56" s="34"/>
      <c r="AI56" s="34"/>
      <c r="AJ56" s="18"/>
      <c r="AK56" s="48"/>
      <c r="AL56" s="9" t="str">
        <f>IFERROR(__xludf.DUMMYFUNCTION("""COMPUTED_VALUE"""),"* BYCVD *")</f>
        <v>* BYCVD *</v>
      </c>
      <c r="AM56" s="9">
        <f>IFERROR(__xludf.DUMMYFUNCTION("""COMPUTED_VALUE"""),102.05)</f>
        <v>102.05</v>
      </c>
    </row>
    <row r="57">
      <c r="A57" s="51"/>
      <c r="B57" s="51"/>
      <c r="C57" s="52"/>
      <c r="D57" s="51"/>
      <c r="E57" s="53"/>
      <c r="F57" s="54"/>
      <c r="G57" s="51"/>
      <c r="H57" s="51"/>
      <c r="I57" s="55"/>
      <c r="J57" s="56"/>
      <c r="K57" s="46"/>
      <c r="L57" s="46"/>
      <c r="M57" s="47"/>
      <c r="N57" s="46"/>
      <c r="O57" s="57"/>
      <c r="P57" s="46"/>
      <c r="Q57" s="46"/>
      <c r="R57" s="57"/>
      <c r="S57" s="7"/>
      <c r="T57" s="54"/>
      <c r="U57" s="58"/>
      <c r="V57" s="47"/>
      <c r="W57" s="18"/>
      <c r="X57" s="46"/>
      <c r="Y57" s="9"/>
      <c r="Z57" s="46"/>
      <c r="AA57" s="7"/>
      <c r="AB57" s="46"/>
      <c r="AC57" s="47"/>
      <c r="AD57" s="7"/>
      <c r="AE57" s="47"/>
      <c r="AF57" s="18"/>
      <c r="AG57" s="26"/>
      <c r="AH57" s="34"/>
      <c r="AI57" s="34"/>
      <c r="AJ57" s="18"/>
      <c r="AK57" s="48"/>
      <c r="AL57" s="9" t="str">
        <f>IFERROR(__xludf.DUMMYFUNCTION("""COMPUTED_VALUE"""),"* BYCVO *")</f>
        <v>* BYCVO *</v>
      </c>
      <c r="AM57" s="9">
        <f>IFERROR(__xludf.DUMMYFUNCTION("""COMPUTED_VALUE"""),152900.0)</f>
        <v>152900</v>
      </c>
    </row>
    <row r="58">
      <c r="A58" s="51"/>
      <c r="B58" s="51"/>
      <c r="C58" s="52"/>
      <c r="D58" s="51"/>
      <c r="E58" s="53"/>
      <c r="F58" s="54"/>
      <c r="G58" s="51"/>
      <c r="H58" s="51"/>
      <c r="I58" s="55"/>
      <c r="J58" s="56"/>
      <c r="K58" s="46"/>
      <c r="L58" s="46"/>
      <c r="M58" s="47"/>
      <c r="N58" s="46"/>
      <c r="O58" s="57"/>
      <c r="P58" s="46"/>
      <c r="Q58" s="46"/>
      <c r="R58" s="57"/>
      <c r="S58" s="7"/>
      <c r="T58" s="54"/>
      <c r="U58" s="58"/>
      <c r="V58" s="47"/>
      <c r="W58" s="18"/>
      <c r="X58" s="46"/>
      <c r="Y58" s="9"/>
      <c r="Z58" s="46"/>
      <c r="AA58" s="7"/>
      <c r="AB58" s="46"/>
      <c r="AC58" s="47"/>
      <c r="AD58" s="7"/>
      <c r="AE58" s="47"/>
      <c r="AF58" s="18"/>
      <c r="AG58" s="26"/>
      <c r="AH58" s="34"/>
      <c r="AI58" s="34"/>
      <c r="AJ58" s="18"/>
      <c r="AK58" s="48"/>
      <c r="AL58" s="9" t="str">
        <f>IFERROR(__xludf.DUMMYFUNCTION("""COMPUTED_VALUE"""),"* CAC5C *")</f>
        <v>* CAC5C *</v>
      </c>
      <c r="AM58" s="9">
        <f>IFERROR(__xludf.DUMMYFUNCTION("""COMPUTED_VALUE"""),74.25)</f>
        <v>74.25</v>
      </c>
    </row>
    <row r="59">
      <c r="A59" s="51"/>
      <c r="B59" s="51"/>
      <c r="C59" s="52"/>
      <c r="D59" s="51"/>
      <c r="E59" s="53"/>
      <c r="F59" s="54"/>
      <c r="G59" s="51"/>
      <c r="H59" s="51"/>
      <c r="I59" s="55"/>
      <c r="J59" s="56"/>
      <c r="K59" s="46"/>
      <c r="L59" s="46"/>
      <c r="M59" s="47"/>
      <c r="N59" s="46"/>
      <c r="O59" s="57"/>
      <c r="P59" s="46"/>
      <c r="Q59" s="46"/>
      <c r="R59" s="57"/>
      <c r="S59" s="7"/>
      <c r="T59" s="54"/>
      <c r="U59" s="58"/>
      <c r="V59" s="47"/>
      <c r="W59" s="18"/>
      <c r="X59" s="46"/>
      <c r="Y59" s="9"/>
      <c r="Z59" s="46"/>
      <c r="AA59" s="7"/>
      <c r="AB59" s="46"/>
      <c r="AC59" s="47"/>
      <c r="AD59" s="7"/>
      <c r="AE59" s="47"/>
      <c r="AF59" s="18"/>
      <c r="AG59" s="26"/>
      <c r="AH59" s="34"/>
      <c r="AI59" s="34"/>
      <c r="AJ59" s="18"/>
      <c r="AK59" s="48"/>
      <c r="AL59" s="9" t="str">
        <f>IFERROR(__xludf.DUMMYFUNCTION("""COMPUTED_VALUE"""),"* CAC5D *")</f>
        <v>* CAC5D *</v>
      </c>
      <c r="AM59" s="9">
        <f>IFERROR(__xludf.DUMMYFUNCTION("""COMPUTED_VALUE"""),81.0)</f>
        <v>81</v>
      </c>
    </row>
    <row r="60">
      <c r="A60" s="51"/>
      <c r="B60" s="51"/>
      <c r="C60" s="52"/>
      <c r="D60" s="51"/>
      <c r="E60" s="53"/>
      <c r="F60" s="54"/>
      <c r="G60" s="51"/>
      <c r="H60" s="51"/>
      <c r="I60" s="55"/>
      <c r="J60" s="56"/>
      <c r="K60" s="46"/>
      <c r="L60" s="46"/>
      <c r="M60" s="47"/>
      <c r="N60" s="46"/>
      <c r="O60" s="57"/>
      <c r="P60" s="46"/>
      <c r="Q60" s="46"/>
      <c r="R60" s="57"/>
      <c r="S60" s="7"/>
      <c r="T60" s="54"/>
      <c r="U60" s="58"/>
      <c r="V60" s="47"/>
      <c r="W60" s="18"/>
      <c r="X60" s="46"/>
      <c r="Y60" s="9"/>
      <c r="Z60" s="46"/>
      <c r="AA60" s="7"/>
      <c r="AB60" s="46"/>
      <c r="AC60" s="47"/>
      <c r="AD60" s="7"/>
      <c r="AE60" s="47"/>
      <c r="AF60" s="18"/>
      <c r="AG60" s="26"/>
      <c r="AH60" s="34"/>
      <c r="AI60" s="34"/>
      <c r="AJ60" s="18"/>
      <c r="AK60" s="48"/>
      <c r="AL60" s="9" t="str">
        <f>IFERROR(__xludf.DUMMYFUNCTION("""COMPUTED_VALUE"""),"* CAC5O *")</f>
        <v>* CAC5O *</v>
      </c>
      <c r="AM60" s="9">
        <f>IFERROR(__xludf.DUMMYFUNCTION("""COMPUTED_VALUE"""),120000.0)</f>
        <v>120000</v>
      </c>
    </row>
    <row r="61">
      <c r="A61" s="51"/>
      <c r="B61" s="51"/>
      <c r="C61" s="52"/>
      <c r="D61" s="51"/>
      <c r="E61" s="53"/>
      <c r="F61" s="54"/>
      <c r="G61" s="51"/>
      <c r="H61" s="51"/>
      <c r="I61" s="55"/>
      <c r="J61" s="56"/>
      <c r="K61" s="46"/>
      <c r="L61" s="46"/>
      <c r="M61" s="47"/>
      <c r="N61" s="46"/>
      <c r="O61" s="57"/>
      <c r="P61" s="46"/>
      <c r="Q61" s="46"/>
      <c r="R61" s="57"/>
      <c r="S61" s="7"/>
      <c r="T61" s="54"/>
      <c r="U61" s="58"/>
      <c r="V61" s="47"/>
      <c r="W61" s="18"/>
      <c r="X61" s="46"/>
      <c r="Y61" s="9"/>
      <c r="Z61" s="46"/>
      <c r="AA61" s="7"/>
      <c r="AB61" s="46"/>
      <c r="AC61" s="47"/>
      <c r="AD61" s="7"/>
      <c r="AE61" s="47"/>
      <c r="AF61" s="18"/>
      <c r="AG61" s="26"/>
      <c r="AH61" s="34"/>
      <c r="AI61" s="34"/>
      <c r="AJ61" s="18"/>
      <c r="AK61" s="48"/>
      <c r="AL61" s="9" t="str">
        <f>IFERROR(__xludf.DUMMYFUNCTION("""COMPUTED_VALUE"""),"* CAC8D *")</f>
        <v>* CAC8D *</v>
      </c>
      <c r="AM61" s="9">
        <f>IFERROR(__xludf.DUMMYFUNCTION("""COMPUTED_VALUE"""),99.1)</f>
        <v>99.1</v>
      </c>
    </row>
    <row r="62">
      <c r="A62" s="51"/>
      <c r="B62" s="51"/>
      <c r="C62" s="52"/>
      <c r="D62" s="51"/>
      <c r="E62" s="53"/>
      <c r="F62" s="54"/>
      <c r="G62" s="51"/>
      <c r="H62" s="51"/>
      <c r="I62" s="55"/>
      <c r="J62" s="56"/>
      <c r="K62" s="46"/>
      <c r="L62" s="46"/>
      <c r="M62" s="47"/>
      <c r="N62" s="46"/>
      <c r="O62" s="57"/>
      <c r="P62" s="46"/>
      <c r="Q62" s="46"/>
      <c r="R62" s="57"/>
      <c r="S62" s="7"/>
      <c r="T62" s="54"/>
      <c r="U62" s="58"/>
      <c r="V62" s="47"/>
      <c r="W62" s="18"/>
      <c r="X62" s="46"/>
      <c r="Y62" s="9"/>
      <c r="Z62" s="46"/>
      <c r="AA62" s="7"/>
      <c r="AB62" s="46"/>
      <c r="AC62" s="47"/>
      <c r="AD62" s="7"/>
      <c r="AE62" s="47"/>
      <c r="AF62" s="18"/>
      <c r="AG62" s="26"/>
      <c r="AH62" s="34"/>
      <c r="AI62" s="34"/>
      <c r="AJ62" s="18"/>
      <c r="AK62" s="48"/>
      <c r="AL62" s="9" t="str">
        <f>IFERROR(__xludf.DUMMYFUNCTION("""COMPUTED_VALUE"""),"* CAC8O *")</f>
        <v>* CAC8O *</v>
      </c>
      <c r="AM62" s="9">
        <f>IFERROR(__xludf.DUMMYFUNCTION("""COMPUTED_VALUE"""),145000.0)</f>
        <v>145000</v>
      </c>
    </row>
    <row r="63">
      <c r="A63" s="51"/>
      <c r="B63" s="51"/>
      <c r="C63" s="52"/>
      <c r="D63" s="51"/>
      <c r="E63" s="53"/>
      <c r="F63" s="54"/>
      <c r="G63" s="51"/>
      <c r="H63" s="51"/>
      <c r="I63" s="55"/>
      <c r="J63" s="56"/>
      <c r="K63" s="46"/>
      <c r="L63" s="46"/>
      <c r="M63" s="47"/>
      <c r="N63" s="46"/>
      <c r="O63" s="57"/>
      <c r="P63" s="46"/>
      <c r="Q63" s="46"/>
      <c r="R63" s="57"/>
      <c r="S63" s="7"/>
      <c r="T63" s="54"/>
      <c r="U63" s="58"/>
      <c r="V63" s="47"/>
      <c r="W63" s="18"/>
      <c r="X63" s="46"/>
      <c r="Y63" s="9"/>
      <c r="Z63" s="46"/>
      <c r="AA63" s="7"/>
      <c r="AB63" s="46"/>
      <c r="AC63" s="47"/>
      <c r="AD63" s="7"/>
      <c r="AE63" s="47"/>
      <c r="AF63" s="18"/>
      <c r="AG63" s="26"/>
      <c r="AH63" s="34"/>
      <c r="AI63" s="34"/>
      <c r="AJ63" s="18"/>
      <c r="AK63" s="48"/>
      <c r="AL63" s="9" t="str">
        <f>IFERROR(__xludf.DUMMYFUNCTION("""COMPUTED_VALUE"""),"* CACBC *")</f>
        <v>* CACBC *</v>
      </c>
      <c r="AM63" s="9">
        <f>IFERROR(__xludf.DUMMYFUNCTION("""COMPUTED_VALUE"""),100.0)</f>
        <v>100</v>
      </c>
    </row>
    <row r="64">
      <c r="A64" s="51"/>
      <c r="B64" s="51"/>
      <c r="C64" s="52"/>
      <c r="D64" s="51"/>
      <c r="E64" s="53"/>
      <c r="F64" s="54"/>
      <c r="G64" s="51"/>
      <c r="H64" s="51"/>
      <c r="I64" s="55"/>
      <c r="J64" s="56"/>
      <c r="K64" s="46"/>
      <c r="L64" s="46"/>
      <c r="M64" s="47"/>
      <c r="N64" s="46"/>
      <c r="O64" s="57"/>
      <c r="P64" s="46"/>
      <c r="Q64" s="46"/>
      <c r="R64" s="57"/>
      <c r="S64" s="7"/>
      <c r="T64" s="54"/>
      <c r="U64" s="58"/>
      <c r="V64" s="47"/>
      <c r="W64" s="18"/>
      <c r="X64" s="46"/>
      <c r="Y64" s="9"/>
      <c r="Z64" s="46"/>
      <c r="AA64" s="7"/>
      <c r="AB64" s="46"/>
      <c r="AC64" s="47"/>
      <c r="AD64" s="7"/>
      <c r="AE64" s="47"/>
      <c r="AF64" s="18"/>
      <c r="AG64" s="26"/>
      <c r="AH64" s="34"/>
      <c r="AI64" s="34"/>
      <c r="AJ64" s="18"/>
      <c r="AK64" s="48"/>
      <c r="AL64" s="9" t="str">
        <f>IFERROR(__xludf.DUMMYFUNCTION("""COMPUTED_VALUE"""),"* CACBD *")</f>
        <v>* CACBD *</v>
      </c>
      <c r="AM64" s="9">
        <f>IFERROR(__xludf.DUMMYFUNCTION("""COMPUTED_VALUE"""),100.0)</f>
        <v>100</v>
      </c>
    </row>
    <row r="65">
      <c r="A65" s="51"/>
      <c r="B65" s="51"/>
      <c r="C65" s="52"/>
      <c r="D65" s="51"/>
      <c r="E65" s="53"/>
      <c r="F65" s="54"/>
      <c r="G65" s="51"/>
      <c r="H65" s="51"/>
      <c r="I65" s="55"/>
      <c r="J65" s="56"/>
      <c r="K65" s="46"/>
      <c r="L65" s="46"/>
      <c r="M65" s="47"/>
      <c r="N65" s="46"/>
      <c r="O65" s="57"/>
      <c r="P65" s="46"/>
      <c r="Q65" s="46"/>
      <c r="R65" s="57"/>
      <c r="S65" s="7"/>
      <c r="T65" s="54"/>
      <c r="U65" s="58"/>
      <c r="V65" s="47"/>
      <c r="W65" s="18"/>
      <c r="X65" s="46"/>
      <c r="Y65" s="9"/>
      <c r="Z65" s="46"/>
      <c r="AA65" s="7"/>
      <c r="AB65" s="46"/>
      <c r="AC65" s="47"/>
      <c r="AD65" s="7"/>
      <c r="AE65" s="47"/>
      <c r="AF65" s="18"/>
      <c r="AG65" s="26"/>
      <c r="AH65" s="34"/>
      <c r="AI65" s="34"/>
      <c r="AJ65" s="18"/>
      <c r="AK65" s="48"/>
      <c r="AL65" s="9" t="str">
        <f>IFERROR(__xludf.DUMMYFUNCTION("""COMPUTED_VALUE"""),"* CACBO *")</f>
        <v>* CACBO *</v>
      </c>
      <c r="AM65" s="9">
        <f>IFERROR(__xludf.DUMMYFUNCTION("""COMPUTED_VALUE"""),146000.0)</f>
        <v>146000</v>
      </c>
    </row>
    <row r="66">
      <c r="A66" s="51"/>
      <c r="B66" s="51"/>
      <c r="C66" s="52"/>
      <c r="D66" s="51"/>
      <c r="E66" s="53"/>
      <c r="F66" s="54"/>
      <c r="G66" s="51"/>
      <c r="H66" s="51"/>
      <c r="I66" s="55"/>
      <c r="J66" s="56"/>
      <c r="K66" s="46"/>
      <c r="L66" s="46"/>
      <c r="M66" s="47"/>
      <c r="N66" s="46"/>
      <c r="O66" s="57"/>
      <c r="P66" s="46"/>
      <c r="Q66" s="46"/>
      <c r="R66" s="57"/>
      <c r="S66" s="7"/>
      <c r="T66" s="54"/>
      <c r="U66" s="58"/>
      <c r="V66" s="47"/>
      <c r="W66" s="18"/>
      <c r="X66" s="46"/>
      <c r="Y66" s="9"/>
      <c r="Z66" s="46"/>
      <c r="AA66" s="7"/>
      <c r="AB66" s="46"/>
      <c r="AC66" s="47"/>
      <c r="AD66" s="7"/>
      <c r="AE66" s="47"/>
      <c r="AF66" s="18"/>
      <c r="AG66" s="26"/>
      <c r="AH66" s="34"/>
      <c r="AI66" s="34"/>
      <c r="AJ66" s="18"/>
      <c r="AK66" s="48"/>
      <c r="AL66" s="9" t="str">
        <f>IFERROR(__xludf.DUMMYFUNCTION("""COMPUTED_VALUE"""),"* CFS7D *")</f>
        <v>* CFS7D *</v>
      </c>
      <c r="AM66" s="9">
        <f>IFERROR(__xludf.DUMMYFUNCTION("""COMPUTED_VALUE"""),100.0)</f>
        <v>100</v>
      </c>
    </row>
    <row r="67">
      <c r="A67" s="51"/>
      <c r="B67" s="51"/>
      <c r="C67" s="52"/>
      <c r="D67" s="51"/>
      <c r="E67" s="53"/>
      <c r="F67" s="54"/>
      <c r="G67" s="51"/>
      <c r="H67" s="51"/>
      <c r="I67" s="55"/>
      <c r="J67" s="56"/>
      <c r="K67" s="46"/>
      <c r="L67" s="46"/>
      <c r="M67" s="47"/>
      <c r="N67" s="46"/>
      <c r="O67" s="57"/>
      <c r="P67" s="46"/>
      <c r="Q67" s="46"/>
      <c r="R67" s="57"/>
      <c r="S67" s="7"/>
      <c r="T67" s="54"/>
      <c r="U67" s="58"/>
      <c r="V67" s="47"/>
      <c r="W67" s="18"/>
      <c r="X67" s="46"/>
      <c r="Y67" s="9"/>
      <c r="Z67" s="46"/>
      <c r="AA67" s="7"/>
      <c r="AB67" s="46"/>
      <c r="AC67" s="47"/>
      <c r="AD67" s="7"/>
      <c r="AE67" s="47"/>
      <c r="AF67" s="18"/>
      <c r="AG67" s="26"/>
      <c r="AH67" s="34"/>
      <c r="AI67" s="34"/>
      <c r="AJ67" s="18"/>
      <c r="AK67" s="48"/>
      <c r="AL67" s="9" t="str">
        <f>IFERROR(__xludf.DUMMYFUNCTION("""COMPUTED_VALUE"""),"* CFS7O *")</f>
        <v>* CFS7O *</v>
      </c>
      <c r="AM67" s="9">
        <f>IFERROR(__xludf.DUMMYFUNCTION("""COMPUTED_VALUE"""),41.6)</f>
        <v>41.6</v>
      </c>
    </row>
    <row r="68">
      <c r="A68" s="51"/>
      <c r="B68" s="51"/>
      <c r="C68" s="52"/>
      <c r="D68" s="51"/>
      <c r="E68" s="53"/>
      <c r="F68" s="54"/>
      <c r="G68" s="51"/>
      <c r="H68" s="51"/>
      <c r="I68" s="55"/>
      <c r="J68" s="56"/>
      <c r="K68" s="46"/>
      <c r="L68" s="46"/>
      <c r="M68" s="47"/>
      <c r="N68" s="46"/>
      <c r="O68" s="57"/>
      <c r="P68" s="46"/>
      <c r="Q68" s="46"/>
      <c r="R68" s="57"/>
      <c r="S68" s="7"/>
      <c r="T68" s="54"/>
      <c r="U68" s="58"/>
      <c r="V68" s="47"/>
      <c r="W68" s="18"/>
      <c r="X68" s="46"/>
      <c r="Y68" s="9"/>
      <c r="Z68" s="46"/>
      <c r="AA68" s="7"/>
      <c r="AB68" s="46"/>
      <c r="AC68" s="47"/>
      <c r="AD68" s="7"/>
      <c r="AE68" s="47"/>
      <c r="AF68" s="18"/>
      <c r="AG68" s="26"/>
      <c r="AH68" s="34"/>
      <c r="AI68" s="34"/>
      <c r="AJ68" s="18"/>
      <c r="AK68" s="48"/>
      <c r="AL68" s="9" t="str">
        <f>IFERROR(__xludf.DUMMYFUNCTION("""COMPUTED_VALUE"""),"* CIC7O *")</f>
        <v>* CIC7O *</v>
      </c>
      <c r="AM68" s="9">
        <f>IFERROR(__xludf.DUMMYFUNCTION("""COMPUTED_VALUE"""),147000.0)</f>
        <v>147000</v>
      </c>
    </row>
    <row r="69">
      <c r="A69" s="51"/>
      <c r="B69" s="51"/>
      <c r="C69" s="52"/>
      <c r="D69" s="51"/>
      <c r="E69" s="53"/>
      <c r="F69" s="54"/>
      <c r="G69" s="51"/>
      <c r="H69" s="51"/>
      <c r="I69" s="55"/>
      <c r="J69" s="56"/>
      <c r="K69" s="46"/>
      <c r="L69" s="46"/>
      <c r="M69" s="47"/>
      <c r="N69" s="46"/>
      <c r="O69" s="57"/>
      <c r="P69" s="46"/>
      <c r="Q69" s="46"/>
      <c r="R69" s="57"/>
      <c r="S69" s="7"/>
      <c r="T69" s="54"/>
      <c r="U69" s="58"/>
      <c r="V69" s="47"/>
      <c r="W69" s="18"/>
      <c r="X69" s="46"/>
      <c r="Y69" s="9"/>
      <c r="Z69" s="46"/>
      <c r="AA69" s="7"/>
      <c r="AB69" s="46"/>
      <c r="AC69" s="47"/>
      <c r="AD69" s="7"/>
      <c r="AE69" s="47"/>
      <c r="AF69" s="18"/>
      <c r="AG69" s="26"/>
      <c r="AH69" s="34"/>
      <c r="AI69" s="34"/>
      <c r="AJ69" s="18"/>
      <c r="AK69" s="48"/>
      <c r="AL69" s="9" t="str">
        <f>IFERROR(__xludf.DUMMYFUNCTION("""COMPUTED_VALUE"""),"* CIC8D *")</f>
        <v>* CIC8D *</v>
      </c>
      <c r="AM69" s="9">
        <f>IFERROR(__xludf.DUMMYFUNCTION("""COMPUTED_VALUE"""),94.0)</f>
        <v>94</v>
      </c>
    </row>
    <row r="70">
      <c r="A70" s="51"/>
      <c r="B70" s="51"/>
      <c r="C70" s="52"/>
      <c r="D70" s="51"/>
      <c r="E70" s="53"/>
      <c r="F70" s="54"/>
      <c r="G70" s="51"/>
      <c r="H70" s="51"/>
      <c r="I70" s="55"/>
      <c r="J70" s="56"/>
      <c r="K70" s="46"/>
      <c r="L70" s="46"/>
      <c r="M70" s="47"/>
      <c r="N70" s="46"/>
      <c r="O70" s="57"/>
      <c r="P70" s="46"/>
      <c r="Q70" s="46"/>
      <c r="R70" s="57"/>
      <c r="S70" s="7"/>
      <c r="T70" s="54"/>
      <c r="U70" s="58"/>
      <c r="V70" s="47"/>
      <c r="W70" s="18"/>
      <c r="X70" s="46"/>
      <c r="Y70" s="9"/>
      <c r="Z70" s="46"/>
      <c r="AA70" s="7"/>
      <c r="AB70" s="46"/>
      <c r="AC70" s="47"/>
      <c r="AD70" s="7"/>
      <c r="AE70" s="47"/>
      <c r="AF70" s="18"/>
      <c r="AG70" s="26"/>
      <c r="AH70" s="34"/>
      <c r="AI70" s="34"/>
      <c r="AJ70" s="18"/>
      <c r="AK70" s="48"/>
      <c r="AL70" s="9" t="str">
        <f>IFERROR(__xludf.DUMMYFUNCTION("""COMPUTED_VALUE"""),"* CIC8O *")</f>
        <v>* CIC8O *</v>
      </c>
      <c r="AM70" s="9">
        <f>IFERROR(__xludf.DUMMYFUNCTION("""COMPUTED_VALUE"""),123000.0)</f>
        <v>123000</v>
      </c>
    </row>
    <row r="71">
      <c r="A71" s="51"/>
      <c r="B71" s="51"/>
      <c r="C71" s="52"/>
      <c r="D71" s="51"/>
      <c r="E71" s="53"/>
      <c r="F71" s="54"/>
      <c r="G71" s="51"/>
      <c r="H71" s="51"/>
      <c r="I71" s="55"/>
      <c r="J71" s="56"/>
      <c r="K71" s="46"/>
      <c r="L71" s="46"/>
      <c r="M71" s="47"/>
      <c r="N71" s="46"/>
      <c r="O71" s="57"/>
      <c r="P71" s="46"/>
      <c r="Q71" s="46"/>
      <c r="R71" s="57"/>
      <c r="S71" s="7"/>
      <c r="T71" s="54"/>
      <c r="U71" s="58"/>
      <c r="V71" s="47"/>
      <c r="W71" s="18"/>
      <c r="X71" s="46"/>
      <c r="Y71" s="9"/>
      <c r="Z71" s="46"/>
      <c r="AA71" s="7"/>
      <c r="AB71" s="46"/>
      <c r="AC71" s="47"/>
      <c r="AD71" s="7"/>
      <c r="AE71" s="47"/>
      <c r="AF71" s="18"/>
      <c r="AG71" s="26"/>
      <c r="AH71" s="34"/>
      <c r="AI71" s="34"/>
      <c r="AJ71" s="18"/>
      <c r="AK71" s="48"/>
      <c r="AL71" s="9" t="str">
        <f>IFERROR(__xludf.DUMMYFUNCTION("""COMPUTED_VALUE"""),"* CLI1D *")</f>
        <v>* CLI1D *</v>
      </c>
      <c r="AM71" s="9">
        <f>IFERROR(__xludf.DUMMYFUNCTION("""COMPUTED_VALUE"""),32.0)</f>
        <v>32</v>
      </c>
    </row>
    <row r="72">
      <c r="A72" s="51"/>
      <c r="B72" s="51"/>
      <c r="C72" s="52"/>
      <c r="D72" s="51"/>
      <c r="E72" s="53"/>
      <c r="F72" s="54"/>
      <c r="G72" s="51"/>
      <c r="H72" s="51"/>
      <c r="I72" s="55"/>
      <c r="J72" s="56"/>
      <c r="K72" s="46"/>
      <c r="L72" s="46"/>
      <c r="M72" s="47"/>
      <c r="N72" s="46"/>
      <c r="O72" s="57"/>
      <c r="P72" s="46"/>
      <c r="Q72" s="46"/>
      <c r="R72" s="57"/>
      <c r="S72" s="7"/>
      <c r="T72" s="54"/>
      <c r="U72" s="58"/>
      <c r="V72" s="47"/>
      <c r="W72" s="18"/>
      <c r="X72" s="46"/>
      <c r="Y72" s="9"/>
      <c r="Z72" s="46"/>
      <c r="AA72" s="7"/>
      <c r="AB72" s="46"/>
      <c r="AC72" s="47"/>
      <c r="AD72" s="7"/>
      <c r="AE72" s="47"/>
      <c r="AF72" s="18"/>
      <c r="AG72" s="26"/>
      <c r="AH72" s="34"/>
      <c r="AI72" s="34"/>
      <c r="AJ72" s="18"/>
      <c r="AK72" s="48"/>
      <c r="AL72" s="9" t="str">
        <f>IFERROR(__xludf.DUMMYFUNCTION("""COMPUTED_VALUE"""),"* CLI1O *")</f>
        <v>* CLI1O *</v>
      </c>
      <c r="AM72" s="9">
        <f>IFERROR(__xludf.DUMMYFUNCTION("""COMPUTED_VALUE"""),48000.0)</f>
        <v>48000</v>
      </c>
    </row>
    <row r="73">
      <c r="A73" s="51"/>
      <c r="B73" s="51"/>
      <c r="C73" s="52"/>
      <c r="D73" s="51"/>
      <c r="E73" s="53"/>
      <c r="F73" s="54"/>
      <c r="G73" s="51"/>
      <c r="H73" s="51"/>
      <c r="I73" s="55"/>
      <c r="J73" s="56"/>
      <c r="K73" s="46"/>
      <c r="L73" s="46"/>
      <c r="M73" s="47"/>
      <c r="N73" s="46"/>
      <c r="O73" s="57"/>
      <c r="P73" s="46"/>
      <c r="Q73" s="46"/>
      <c r="R73" s="57"/>
      <c r="S73" s="7"/>
      <c r="T73" s="54"/>
      <c r="U73" s="58"/>
      <c r="V73" s="47"/>
      <c r="W73" s="18"/>
      <c r="X73" s="46"/>
      <c r="Y73" s="9"/>
      <c r="Z73" s="46"/>
      <c r="AA73" s="7"/>
      <c r="AB73" s="46"/>
      <c r="AC73" s="47"/>
      <c r="AD73" s="7"/>
      <c r="AE73" s="47"/>
      <c r="AF73" s="18"/>
      <c r="AG73" s="26"/>
      <c r="AH73" s="34"/>
      <c r="AI73" s="34"/>
      <c r="AJ73" s="18"/>
      <c r="AK73" s="48"/>
      <c r="AL73" s="9" t="str">
        <f>IFERROR(__xludf.DUMMYFUNCTION("""COMPUTED_VALUE"""),"* CLSIC *")</f>
        <v>* CLSIC *</v>
      </c>
      <c r="AM73" s="9">
        <f>IFERROR(__xludf.DUMMYFUNCTION("""COMPUTED_VALUE"""),31.0)</f>
        <v>31</v>
      </c>
    </row>
    <row r="74">
      <c r="A74" s="51"/>
      <c r="B74" s="51"/>
      <c r="C74" s="52"/>
      <c r="D74" s="51"/>
      <c r="E74" s="53"/>
      <c r="F74" s="54"/>
      <c r="G74" s="51"/>
      <c r="H74" s="51"/>
      <c r="I74" s="55"/>
      <c r="J74" s="56"/>
      <c r="K74" s="46"/>
      <c r="L74" s="46"/>
      <c r="M74" s="47"/>
      <c r="N74" s="46"/>
      <c r="O74" s="57"/>
      <c r="P74" s="46"/>
      <c r="Q74" s="46"/>
      <c r="R74" s="57"/>
      <c r="S74" s="7"/>
      <c r="T74" s="54"/>
      <c r="U74" s="58"/>
      <c r="V74" s="47"/>
      <c r="W74" s="18"/>
      <c r="X74" s="46"/>
      <c r="Y74" s="9"/>
      <c r="Z74" s="46"/>
      <c r="AA74" s="7"/>
      <c r="AB74" s="46"/>
      <c r="AC74" s="47"/>
      <c r="AD74" s="7"/>
      <c r="AE74" s="47"/>
      <c r="AF74" s="18"/>
      <c r="AG74" s="26"/>
      <c r="AH74" s="34"/>
      <c r="AI74" s="34"/>
      <c r="AJ74" s="18"/>
      <c r="AK74" s="48"/>
      <c r="AL74" s="9" t="str">
        <f>IFERROR(__xludf.DUMMYFUNCTION("""COMPUTED_VALUE"""),"* CLSID *")</f>
        <v>* CLSID *</v>
      </c>
      <c r="AM74" s="9">
        <f>IFERROR(__xludf.DUMMYFUNCTION("""COMPUTED_VALUE"""),33.3)</f>
        <v>33.3</v>
      </c>
    </row>
    <row r="75">
      <c r="A75" s="51"/>
      <c r="B75" s="51"/>
      <c r="C75" s="52"/>
      <c r="D75" s="51"/>
      <c r="E75" s="53"/>
      <c r="F75" s="54"/>
      <c r="G75" s="51"/>
      <c r="H75" s="51"/>
      <c r="I75" s="55"/>
      <c r="J75" s="56"/>
      <c r="K75" s="46"/>
      <c r="L75" s="46"/>
      <c r="M75" s="47"/>
      <c r="N75" s="46"/>
      <c r="O75" s="57"/>
      <c r="P75" s="46"/>
      <c r="Q75" s="46"/>
      <c r="R75" s="57"/>
      <c r="S75" s="7"/>
      <c r="T75" s="54"/>
      <c r="U75" s="58"/>
      <c r="V75" s="47"/>
      <c r="W75" s="18"/>
      <c r="X75" s="46"/>
      <c r="Y75" s="9"/>
      <c r="Z75" s="46"/>
      <c r="AA75" s="7"/>
      <c r="AB75" s="46"/>
      <c r="AC75" s="47"/>
      <c r="AD75" s="7"/>
      <c r="AE75" s="47"/>
      <c r="AF75" s="18"/>
      <c r="AG75" s="26"/>
      <c r="AH75" s="34"/>
      <c r="AI75" s="34"/>
      <c r="AJ75" s="18"/>
      <c r="AK75" s="48"/>
      <c r="AL75" s="9" t="str">
        <f>IFERROR(__xludf.DUMMYFUNCTION("""COMPUTED_VALUE"""),"* CLSIO *")</f>
        <v>* CLSIO *</v>
      </c>
      <c r="AM75" s="9">
        <f>IFERROR(__xludf.DUMMYFUNCTION("""COMPUTED_VALUE"""),49500.0)</f>
        <v>49500</v>
      </c>
    </row>
    <row r="76">
      <c r="A76" s="51"/>
      <c r="B76" s="51"/>
      <c r="C76" s="52"/>
      <c r="D76" s="51"/>
      <c r="E76" s="53"/>
      <c r="F76" s="54"/>
      <c r="G76" s="51"/>
      <c r="H76" s="51"/>
      <c r="I76" s="55"/>
      <c r="J76" s="56"/>
      <c r="K76" s="46"/>
      <c r="L76" s="46"/>
      <c r="M76" s="47"/>
      <c r="N76" s="46"/>
      <c r="O76" s="57"/>
      <c r="P76" s="46"/>
      <c r="Q76" s="46"/>
      <c r="R76" s="57"/>
      <c r="S76" s="7"/>
      <c r="T76" s="54"/>
      <c r="U76" s="58"/>
      <c r="V76" s="47"/>
      <c r="W76" s="18"/>
      <c r="X76" s="46"/>
      <c r="Y76" s="9"/>
      <c r="Z76" s="46"/>
      <c r="AA76" s="7"/>
      <c r="AB76" s="46"/>
      <c r="AC76" s="47"/>
      <c r="AD76" s="7"/>
      <c r="AE76" s="47"/>
      <c r="AF76" s="18"/>
      <c r="AG76" s="26"/>
      <c r="AH76" s="34"/>
      <c r="AI76" s="34"/>
      <c r="AJ76" s="18"/>
      <c r="AK76" s="48"/>
      <c r="AL76" s="9" t="str">
        <f>IFERROR(__xludf.DUMMYFUNCTION("""COMPUTED_VALUE"""),"* COC1O *")</f>
        <v>* COC1O *</v>
      </c>
      <c r="AM76" s="9">
        <f>IFERROR(__xludf.DUMMYFUNCTION("""COMPUTED_VALUE"""),103.0)</f>
        <v>103</v>
      </c>
    </row>
    <row r="77">
      <c r="A77" s="51"/>
      <c r="B77" s="51"/>
      <c r="C77" s="52"/>
      <c r="D77" s="51"/>
      <c r="E77" s="53"/>
      <c r="F77" s="54"/>
      <c r="G77" s="51"/>
      <c r="H77" s="51"/>
      <c r="I77" s="55"/>
      <c r="J77" s="56"/>
      <c r="K77" s="46"/>
      <c r="L77" s="46"/>
      <c r="M77" s="47"/>
      <c r="N77" s="46"/>
      <c r="O77" s="57"/>
      <c r="P77" s="46"/>
      <c r="Q77" s="46"/>
      <c r="R77" s="57"/>
      <c r="S77" s="7"/>
      <c r="T77" s="54"/>
      <c r="U77" s="58"/>
      <c r="V77" s="47"/>
      <c r="W77" s="18"/>
      <c r="X77" s="46"/>
      <c r="Y77" s="9"/>
      <c r="Z77" s="46"/>
      <c r="AA77" s="7"/>
      <c r="AB77" s="46"/>
      <c r="AC77" s="47"/>
      <c r="AD77" s="7"/>
      <c r="AE77" s="47"/>
      <c r="AF77" s="18"/>
      <c r="AG77" s="26"/>
      <c r="AH77" s="34"/>
      <c r="AI77" s="34"/>
      <c r="AJ77" s="18"/>
      <c r="AK77" s="48"/>
      <c r="AL77" s="9" t="str">
        <f>IFERROR(__xludf.DUMMYFUNCTION("""COMPUTED_VALUE"""),"* COC2D *")</f>
        <v>* COC2D *</v>
      </c>
      <c r="AM77" s="9">
        <f>IFERROR(__xludf.DUMMYFUNCTION("""COMPUTED_VALUE"""),99.5)</f>
        <v>99.5</v>
      </c>
    </row>
    <row r="78">
      <c r="A78" s="51"/>
      <c r="B78" s="51"/>
      <c r="C78" s="52"/>
      <c r="D78" s="51"/>
      <c r="E78" s="53"/>
      <c r="F78" s="54"/>
      <c r="G78" s="51"/>
      <c r="H78" s="51"/>
      <c r="I78" s="55"/>
      <c r="J78" s="56"/>
      <c r="K78" s="46"/>
      <c r="L78" s="46"/>
      <c r="M78" s="47"/>
      <c r="N78" s="46"/>
      <c r="O78" s="57"/>
      <c r="P78" s="46"/>
      <c r="Q78" s="46"/>
      <c r="R78" s="57"/>
      <c r="S78" s="7"/>
      <c r="T78" s="54"/>
      <c r="U78" s="58"/>
      <c r="V78" s="47"/>
      <c r="W78" s="18"/>
      <c r="X78" s="46"/>
      <c r="Y78" s="9"/>
      <c r="Z78" s="46"/>
      <c r="AA78" s="7"/>
      <c r="AB78" s="46"/>
      <c r="AC78" s="47"/>
      <c r="AD78" s="7"/>
      <c r="AE78" s="47"/>
      <c r="AF78" s="18"/>
      <c r="AG78" s="26"/>
      <c r="AH78" s="34"/>
      <c r="AI78" s="34"/>
      <c r="AJ78" s="18"/>
      <c r="AK78" s="48"/>
      <c r="AL78" s="9" t="str">
        <f>IFERROR(__xludf.DUMMYFUNCTION("""COMPUTED_VALUE"""),"* COC2O *")</f>
        <v>* COC2O *</v>
      </c>
      <c r="AM78" s="9">
        <f>IFERROR(__xludf.DUMMYFUNCTION("""COMPUTED_VALUE"""),145300.0)</f>
        <v>145300</v>
      </c>
    </row>
    <row r="79">
      <c r="A79" s="51"/>
      <c r="B79" s="51"/>
      <c r="C79" s="52"/>
      <c r="D79" s="51"/>
      <c r="E79" s="53"/>
      <c r="F79" s="54"/>
      <c r="G79" s="51"/>
      <c r="H79" s="51"/>
      <c r="I79" s="55"/>
      <c r="J79" s="56"/>
      <c r="K79" s="46"/>
      <c r="L79" s="46"/>
      <c r="M79" s="47"/>
      <c r="N79" s="46"/>
      <c r="O79" s="57"/>
      <c r="P79" s="46"/>
      <c r="Q79" s="46"/>
      <c r="R79" s="57"/>
      <c r="S79" s="7"/>
      <c r="T79" s="54"/>
      <c r="U79" s="58"/>
      <c r="V79" s="47"/>
      <c r="W79" s="18"/>
      <c r="X79" s="46"/>
      <c r="Y79" s="9"/>
      <c r="Z79" s="46"/>
      <c r="AA79" s="7"/>
      <c r="AB79" s="46"/>
      <c r="AC79" s="47"/>
      <c r="AD79" s="7"/>
      <c r="AE79" s="47"/>
      <c r="AF79" s="18"/>
      <c r="AG79" s="26"/>
      <c r="AH79" s="34"/>
      <c r="AI79" s="34"/>
      <c r="AJ79" s="18"/>
      <c r="AK79" s="48"/>
      <c r="AL79" s="9" t="str">
        <f>IFERROR(__xludf.DUMMYFUNCTION("""COMPUTED_VALUE"""),"* CP29O *")</f>
        <v>* CP29O *</v>
      </c>
      <c r="AM79" s="9">
        <f>IFERROR(__xludf.DUMMYFUNCTION("""COMPUTED_VALUE"""),20800.0)</f>
        <v>20800</v>
      </c>
    </row>
    <row r="80">
      <c r="A80" s="51"/>
      <c r="B80" s="51"/>
      <c r="C80" s="52"/>
      <c r="D80" s="51"/>
      <c r="E80" s="53"/>
      <c r="F80" s="54"/>
      <c r="G80" s="51"/>
      <c r="H80" s="51"/>
      <c r="I80" s="55"/>
      <c r="J80" s="56"/>
      <c r="K80" s="46"/>
      <c r="L80" s="46"/>
      <c r="M80" s="47"/>
      <c r="N80" s="46"/>
      <c r="O80" s="57"/>
      <c r="P80" s="46"/>
      <c r="Q80" s="46"/>
      <c r="R80" s="57"/>
      <c r="S80" s="7"/>
      <c r="T80" s="54"/>
      <c r="U80" s="58"/>
      <c r="V80" s="47"/>
      <c r="W80" s="18"/>
      <c r="X80" s="46"/>
      <c r="Y80" s="9"/>
      <c r="Z80" s="46"/>
      <c r="AA80" s="7"/>
      <c r="AB80" s="46"/>
      <c r="AC80" s="47"/>
      <c r="AD80" s="7"/>
      <c r="AE80" s="47"/>
      <c r="AF80" s="18"/>
      <c r="AG80" s="26"/>
      <c r="AH80" s="34"/>
      <c r="AI80" s="34"/>
      <c r="AJ80" s="18"/>
      <c r="AK80" s="48"/>
      <c r="AL80" s="9" t="str">
        <f>IFERROR(__xludf.DUMMYFUNCTION("""COMPUTED_VALUE"""),"* CP32C *")</f>
        <v>* CP32C *</v>
      </c>
      <c r="AM80" s="9">
        <f>IFERROR(__xludf.DUMMYFUNCTION("""COMPUTED_VALUE"""),99.75)</f>
        <v>99.75</v>
      </c>
    </row>
    <row r="81">
      <c r="A81" s="51"/>
      <c r="B81" s="51"/>
      <c r="C81" s="52"/>
      <c r="D81" s="51"/>
      <c r="E81" s="53"/>
      <c r="F81" s="54"/>
      <c r="G81" s="51"/>
      <c r="H81" s="51"/>
      <c r="I81" s="55"/>
      <c r="J81" s="56"/>
      <c r="K81" s="46"/>
      <c r="L81" s="46"/>
      <c r="M81" s="47"/>
      <c r="N81" s="46"/>
      <c r="O81" s="57"/>
      <c r="P81" s="46"/>
      <c r="Q81" s="46"/>
      <c r="R81" s="57"/>
      <c r="S81" s="7"/>
      <c r="T81" s="54"/>
      <c r="U81" s="58"/>
      <c r="V81" s="47"/>
      <c r="W81" s="18"/>
      <c r="X81" s="46"/>
      <c r="Y81" s="9"/>
      <c r="Z81" s="46"/>
      <c r="AA81" s="7"/>
      <c r="AB81" s="46"/>
      <c r="AC81" s="47"/>
      <c r="AD81" s="7"/>
      <c r="AE81" s="47"/>
      <c r="AF81" s="18"/>
      <c r="AG81" s="26"/>
      <c r="AH81" s="34"/>
      <c r="AI81" s="34"/>
      <c r="AJ81" s="18"/>
      <c r="AK81" s="48"/>
      <c r="AL81" s="9" t="str">
        <f>IFERROR(__xludf.DUMMYFUNCTION("""COMPUTED_VALUE"""),"* CP32D *")</f>
        <v>* CP32D *</v>
      </c>
      <c r="AM81" s="9">
        <f>IFERROR(__xludf.DUMMYFUNCTION("""COMPUTED_VALUE"""),103.15)</f>
        <v>103.15</v>
      </c>
    </row>
    <row r="82">
      <c r="A82" s="51"/>
      <c r="B82" s="51"/>
      <c r="C82" s="52"/>
      <c r="D82" s="51"/>
      <c r="E82" s="53"/>
      <c r="F82" s="54"/>
      <c r="G82" s="51"/>
      <c r="H82" s="51"/>
      <c r="I82" s="55"/>
      <c r="J82" s="56"/>
      <c r="K82" s="46"/>
      <c r="L82" s="46"/>
      <c r="M82" s="47"/>
      <c r="N82" s="46"/>
      <c r="O82" s="57"/>
      <c r="P82" s="46"/>
      <c r="Q82" s="46"/>
      <c r="R82" s="57"/>
      <c r="S82" s="7"/>
      <c r="T82" s="54"/>
      <c r="U82" s="58"/>
      <c r="V82" s="47"/>
      <c r="W82" s="18"/>
      <c r="X82" s="46"/>
      <c r="Y82" s="9"/>
      <c r="Z82" s="46"/>
      <c r="AA82" s="7"/>
      <c r="AB82" s="46"/>
      <c r="AC82" s="47"/>
      <c r="AD82" s="7"/>
      <c r="AE82" s="47"/>
      <c r="AF82" s="18"/>
      <c r="AG82" s="26"/>
      <c r="AH82" s="34"/>
      <c r="AI82" s="34"/>
      <c r="AJ82" s="18"/>
      <c r="AK82" s="48"/>
      <c r="AL82" s="9" t="str">
        <f>IFERROR(__xludf.DUMMYFUNCTION("""COMPUTED_VALUE"""),"* CP32O *")</f>
        <v>* CP32O *</v>
      </c>
      <c r="AM82" s="9">
        <f>IFERROR(__xludf.DUMMYFUNCTION("""COMPUTED_VALUE"""),149900.0)</f>
        <v>149900</v>
      </c>
    </row>
    <row r="83">
      <c r="A83" s="51"/>
      <c r="B83" s="51"/>
      <c r="C83" s="52"/>
      <c r="D83" s="51"/>
      <c r="E83" s="53"/>
      <c r="F83" s="54"/>
      <c r="G83" s="51"/>
      <c r="H83" s="51"/>
      <c r="I83" s="55"/>
      <c r="J83" s="56"/>
      <c r="K83" s="46"/>
      <c r="L83" s="46"/>
      <c r="M83" s="47"/>
      <c r="N83" s="46"/>
      <c r="O83" s="57"/>
      <c r="P83" s="46"/>
      <c r="Q83" s="46"/>
      <c r="R83" s="57"/>
      <c r="S83" s="7"/>
      <c r="T83" s="54"/>
      <c r="U83" s="58"/>
      <c r="V83" s="47"/>
      <c r="W83" s="18"/>
      <c r="X83" s="46"/>
      <c r="Y83" s="9"/>
      <c r="Z83" s="46"/>
      <c r="AA83" s="7"/>
      <c r="AB83" s="46"/>
      <c r="AC83" s="47"/>
      <c r="AD83" s="7"/>
      <c r="AE83" s="47"/>
      <c r="AF83" s="18"/>
      <c r="AG83" s="26"/>
      <c r="AH83" s="34"/>
      <c r="AI83" s="34"/>
      <c r="AJ83" s="18"/>
      <c r="AK83" s="48"/>
      <c r="AL83" s="9" t="str">
        <f>IFERROR(__xludf.DUMMYFUNCTION("""COMPUTED_VALUE"""),"* CP34D *")</f>
        <v>* CP34D *</v>
      </c>
      <c r="AM83" s="9">
        <f>IFERROR(__xludf.DUMMYFUNCTION("""COMPUTED_VALUE"""),100.15)</f>
        <v>100.15</v>
      </c>
    </row>
    <row r="84">
      <c r="A84" s="51"/>
      <c r="B84" s="51"/>
      <c r="C84" s="52"/>
      <c r="D84" s="51"/>
      <c r="E84" s="53"/>
      <c r="F84" s="54"/>
      <c r="G84" s="51"/>
      <c r="H84" s="51"/>
      <c r="I84" s="55"/>
      <c r="J84" s="56"/>
      <c r="K84" s="46"/>
      <c r="L84" s="46"/>
      <c r="M84" s="47"/>
      <c r="N84" s="46"/>
      <c r="O84" s="57"/>
      <c r="P84" s="46"/>
      <c r="Q84" s="46"/>
      <c r="R84" s="57"/>
      <c r="S84" s="7"/>
      <c r="T84" s="54"/>
      <c r="U84" s="58"/>
      <c r="V84" s="47"/>
      <c r="W84" s="18"/>
      <c r="X84" s="46"/>
      <c r="Y84" s="9"/>
      <c r="Z84" s="46"/>
      <c r="AA84" s="7"/>
      <c r="AB84" s="46"/>
      <c r="AC84" s="47"/>
      <c r="AD84" s="7"/>
      <c r="AE84" s="47"/>
      <c r="AF84" s="18"/>
      <c r="AG84" s="26"/>
      <c r="AH84" s="34"/>
      <c r="AI84" s="34"/>
      <c r="AJ84" s="18"/>
      <c r="AK84" s="48"/>
      <c r="AL84" s="9" t="str">
        <f>IFERROR(__xludf.DUMMYFUNCTION("""COMPUTED_VALUE"""),"* CP34O *")</f>
        <v>* CP34O *</v>
      </c>
      <c r="AM84" s="9">
        <f>IFERROR(__xludf.DUMMYFUNCTION("""COMPUTED_VALUE"""),143090.0)</f>
        <v>143090</v>
      </c>
    </row>
    <row r="85">
      <c r="A85" s="51"/>
      <c r="B85" s="51"/>
      <c r="C85" s="52"/>
      <c r="D85" s="51"/>
      <c r="E85" s="53"/>
      <c r="F85" s="54"/>
      <c r="G85" s="51"/>
      <c r="H85" s="51"/>
      <c r="I85" s="55"/>
      <c r="J85" s="56"/>
      <c r="K85" s="46"/>
      <c r="L85" s="46"/>
      <c r="M85" s="47"/>
      <c r="N85" s="46"/>
      <c r="O85" s="57"/>
      <c r="P85" s="46"/>
      <c r="Q85" s="46"/>
      <c r="R85" s="57"/>
      <c r="S85" s="7"/>
      <c r="T85" s="54"/>
      <c r="U85" s="58"/>
      <c r="V85" s="47"/>
      <c r="W85" s="18"/>
      <c r="X85" s="46"/>
      <c r="Y85" s="9"/>
      <c r="Z85" s="46"/>
      <c r="AA85" s="7"/>
      <c r="AB85" s="46"/>
      <c r="AC85" s="47"/>
      <c r="AD85" s="7"/>
      <c r="AE85" s="47"/>
      <c r="AF85" s="18"/>
      <c r="AG85" s="26"/>
      <c r="AH85" s="34"/>
      <c r="AI85" s="34"/>
      <c r="AJ85" s="18"/>
      <c r="AK85" s="48"/>
      <c r="AL85" s="9" t="str">
        <f>IFERROR(__xludf.DUMMYFUNCTION("""COMPUTED_VALUE"""),"* CP35O *")</f>
        <v>* CP35O *</v>
      </c>
      <c r="AM85" s="9">
        <f>IFERROR(__xludf.DUMMYFUNCTION("""COMPUTED_VALUE"""),137490.0)</f>
        <v>137490</v>
      </c>
    </row>
    <row r="86">
      <c r="A86" s="51"/>
      <c r="B86" s="51"/>
      <c r="C86" s="52"/>
      <c r="D86" s="51"/>
      <c r="E86" s="53"/>
      <c r="F86" s="54"/>
      <c r="G86" s="51"/>
      <c r="H86" s="51"/>
      <c r="I86" s="55"/>
      <c r="J86" s="56"/>
      <c r="K86" s="46"/>
      <c r="L86" s="46"/>
      <c r="M86" s="47"/>
      <c r="N86" s="46"/>
      <c r="O86" s="57"/>
      <c r="P86" s="46"/>
      <c r="Q86" s="46"/>
      <c r="R86" s="57"/>
      <c r="S86" s="7"/>
      <c r="T86" s="54"/>
      <c r="U86" s="58"/>
      <c r="V86" s="47"/>
      <c r="W86" s="18"/>
      <c r="X86" s="46"/>
      <c r="Y86" s="9"/>
      <c r="Z86" s="46"/>
      <c r="AA86" s="7"/>
      <c r="AB86" s="46"/>
      <c r="AC86" s="47"/>
      <c r="AD86" s="7"/>
      <c r="AE86" s="47"/>
      <c r="AF86" s="18"/>
      <c r="AG86" s="26"/>
      <c r="AH86" s="34"/>
      <c r="AI86" s="34"/>
      <c r="AJ86" s="18"/>
      <c r="AK86" s="48"/>
      <c r="AL86" s="9" t="str">
        <f>IFERROR(__xludf.DUMMYFUNCTION("""COMPUTED_VALUE"""),"* CP36D *")</f>
        <v>* CP36D *</v>
      </c>
      <c r="AM86" s="9">
        <f>IFERROR(__xludf.DUMMYFUNCTION("""COMPUTED_VALUE"""),86.0)</f>
        <v>86</v>
      </c>
    </row>
    <row r="87">
      <c r="A87" s="51"/>
      <c r="B87" s="51"/>
      <c r="C87" s="52"/>
      <c r="D87" s="51"/>
      <c r="E87" s="53"/>
      <c r="F87" s="54"/>
      <c r="G87" s="51"/>
      <c r="H87" s="51"/>
      <c r="I87" s="55"/>
      <c r="J87" s="56"/>
      <c r="K87" s="46"/>
      <c r="L87" s="46"/>
      <c r="M87" s="47"/>
      <c r="N87" s="46"/>
      <c r="O87" s="57"/>
      <c r="P87" s="46"/>
      <c r="Q87" s="46"/>
      <c r="R87" s="57"/>
      <c r="S87" s="7"/>
      <c r="T87" s="54"/>
      <c r="U87" s="58"/>
      <c r="V87" s="47"/>
      <c r="W87" s="18"/>
      <c r="X87" s="46"/>
      <c r="Y87" s="9"/>
      <c r="Z87" s="46"/>
      <c r="AA87" s="7"/>
      <c r="AB87" s="46"/>
      <c r="AC87" s="47"/>
      <c r="AD87" s="7"/>
      <c r="AE87" s="47"/>
      <c r="AF87" s="18"/>
      <c r="AG87" s="26"/>
      <c r="AH87" s="34"/>
      <c r="AI87" s="34"/>
      <c r="AJ87" s="18"/>
      <c r="AK87" s="48"/>
      <c r="AL87" s="9" t="str">
        <f>IFERROR(__xludf.DUMMYFUNCTION("""COMPUTED_VALUE"""),"* CP36O *")</f>
        <v>* CP36O *</v>
      </c>
      <c r="AM87" s="9">
        <f>IFERROR(__xludf.DUMMYFUNCTION("""COMPUTED_VALUE"""),126000.0)</f>
        <v>126000</v>
      </c>
    </row>
    <row r="88">
      <c r="A88" s="51"/>
      <c r="B88" s="51"/>
      <c r="C88" s="52"/>
      <c r="D88" s="51"/>
      <c r="E88" s="53"/>
      <c r="F88" s="54"/>
      <c r="G88" s="51"/>
      <c r="H88" s="51"/>
      <c r="I88" s="55"/>
      <c r="J88" s="56"/>
      <c r="K88" s="46"/>
      <c r="L88" s="46"/>
      <c r="M88" s="47"/>
      <c r="N88" s="46"/>
      <c r="O88" s="57"/>
      <c r="P88" s="46"/>
      <c r="Q88" s="46"/>
      <c r="R88" s="57"/>
      <c r="S88" s="7"/>
      <c r="T88" s="54"/>
      <c r="U88" s="58"/>
      <c r="V88" s="47"/>
      <c r="W88" s="18"/>
      <c r="X88" s="46"/>
      <c r="Y88" s="9"/>
      <c r="Z88" s="46"/>
      <c r="AA88" s="7"/>
      <c r="AB88" s="46"/>
      <c r="AC88" s="47"/>
      <c r="AD88" s="7"/>
      <c r="AE88" s="47"/>
      <c r="AF88" s="18"/>
      <c r="AG88" s="26"/>
      <c r="AH88" s="34"/>
      <c r="AI88" s="34"/>
      <c r="AJ88" s="18"/>
      <c r="AK88" s="48"/>
      <c r="AL88" s="9" t="str">
        <f>IFERROR(__xludf.DUMMYFUNCTION("""COMPUTED_VALUE"""),"* CP37D *")</f>
        <v>* CP37D *</v>
      </c>
      <c r="AM88" s="9">
        <f>IFERROR(__xludf.DUMMYFUNCTION("""COMPUTED_VALUE"""),89.0)</f>
        <v>89</v>
      </c>
    </row>
    <row r="89">
      <c r="A89" s="51"/>
      <c r="B89" s="51"/>
      <c r="C89" s="52"/>
      <c r="D89" s="51"/>
      <c r="E89" s="53"/>
      <c r="F89" s="54"/>
      <c r="G89" s="51"/>
      <c r="H89" s="51"/>
      <c r="I89" s="55"/>
      <c r="J89" s="56"/>
      <c r="K89" s="46"/>
      <c r="L89" s="46"/>
      <c r="M89" s="47"/>
      <c r="N89" s="46"/>
      <c r="O89" s="57"/>
      <c r="P89" s="46"/>
      <c r="Q89" s="46"/>
      <c r="R89" s="57"/>
      <c r="S89" s="7"/>
      <c r="T89" s="54"/>
      <c r="U89" s="58"/>
      <c r="V89" s="47"/>
      <c r="W89" s="18"/>
      <c r="X89" s="46"/>
      <c r="Y89" s="9"/>
      <c r="Z89" s="46"/>
      <c r="AA89" s="7"/>
      <c r="AB89" s="46"/>
      <c r="AC89" s="47"/>
      <c r="AD89" s="7"/>
      <c r="AE89" s="47"/>
      <c r="AF89" s="18"/>
      <c r="AG89" s="26"/>
      <c r="AH89" s="34"/>
      <c r="AI89" s="34"/>
      <c r="AJ89" s="18"/>
      <c r="AK89" s="48"/>
      <c r="AL89" s="9" t="str">
        <f>IFERROR(__xludf.DUMMYFUNCTION("""COMPUTED_VALUE"""),"* CP37O *")</f>
        <v>* CP37O *</v>
      </c>
      <c r="AM89" s="9">
        <f>IFERROR(__xludf.DUMMYFUNCTION("""COMPUTED_VALUE"""),124030.0)</f>
        <v>124030</v>
      </c>
    </row>
    <row r="90">
      <c r="A90" s="51"/>
      <c r="B90" s="51"/>
      <c r="C90" s="52"/>
      <c r="D90" s="51"/>
      <c r="E90" s="53"/>
      <c r="F90" s="54"/>
      <c r="G90" s="51"/>
      <c r="H90" s="51"/>
      <c r="I90" s="55"/>
      <c r="J90" s="56"/>
      <c r="K90" s="46"/>
      <c r="L90" s="46"/>
      <c r="M90" s="47"/>
      <c r="N90" s="46"/>
      <c r="O90" s="57"/>
      <c r="P90" s="46"/>
      <c r="Q90" s="46"/>
      <c r="R90" s="57"/>
      <c r="S90" s="7"/>
      <c r="T90" s="54"/>
      <c r="U90" s="58"/>
      <c r="V90" s="47"/>
      <c r="W90" s="18"/>
      <c r="X90" s="46"/>
      <c r="Y90" s="9"/>
      <c r="Z90" s="46"/>
      <c r="AA90" s="7"/>
      <c r="AB90" s="46"/>
      <c r="AC90" s="47"/>
      <c r="AD90" s="7"/>
      <c r="AE90" s="47"/>
      <c r="AF90" s="18"/>
      <c r="AG90" s="26"/>
      <c r="AH90" s="34"/>
      <c r="AI90" s="34"/>
      <c r="AJ90" s="18"/>
      <c r="AK90" s="48"/>
      <c r="AL90" s="9" t="str">
        <f>IFERROR(__xludf.DUMMYFUNCTION("""COMPUTED_VALUE"""),"* CRCJD *")</f>
        <v>* CRCJD *</v>
      </c>
      <c r="AM90" s="9">
        <f>IFERROR(__xludf.DUMMYFUNCTION("""COMPUTED_VALUE"""),17.25)</f>
        <v>17.25</v>
      </c>
    </row>
    <row r="91">
      <c r="A91" s="51"/>
      <c r="B91" s="51"/>
      <c r="C91" s="52"/>
      <c r="D91" s="51"/>
      <c r="E91" s="53"/>
      <c r="F91" s="54"/>
      <c r="G91" s="51"/>
      <c r="H91" s="51"/>
      <c r="I91" s="55"/>
      <c r="J91" s="56"/>
      <c r="K91" s="46"/>
      <c r="L91" s="46"/>
      <c r="M91" s="47"/>
      <c r="N91" s="46"/>
      <c r="O91" s="57"/>
      <c r="P91" s="46"/>
      <c r="Q91" s="46"/>
      <c r="R91" s="57"/>
      <c r="S91" s="7"/>
      <c r="T91" s="54"/>
      <c r="U91" s="58"/>
      <c r="V91" s="47"/>
      <c r="W91" s="18"/>
      <c r="X91" s="46"/>
      <c r="Y91" s="9"/>
      <c r="Z91" s="46"/>
      <c r="AA91" s="7"/>
      <c r="AB91" s="46"/>
      <c r="AC91" s="47"/>
      <c r="AD91" s="7"/>
      <c r="AE91" s="47"/>
      <c r="AF91" s="18"/>
      <c r="AG91" s="26"/>
      <c r="AH91" s="34"/>
      <c r="AI91" s="34"/>
      <c r="AJ91" s="18"/>
      <c r="AK91" s="48"/>
      <c r="AL91" s="9" t="str">
        <f>IFERROR(__xludf.DUMMYFUNCTION("""COMPUTED_VALUE"""),"* CRCJO *")</f>
        <v>* CRCJO *</v>
      </c>
      <c r="AM91" s="9">
        <f>IFERROR(__xludf.DUMMYFUNCTION("""COMPUTED_VALUE"""),12350.0)</f>
        <v>12350</v>
      </c>
    </row>
    <row r="92">
      <c r="A92" s="51"/>
      <c r="B92" s="51"/>
      <c r="C92" s="52"/>
      <c r="D92" s="51"/>
      <c r="E92" s="53"/>
      <c r="F92" s="54"/>
      <c r="G92" s="51"/>
      <c r="H92" s="51"/>
      <c r="I92" s="55"/>
      <c r="J92" s="56"/>
      <c r="K92" s="46"/>
      <c r="L92" s="46"/>
      <c r="M92" s="47"/>
      <c r="N92" s="46"/>
      <c r="O92" s="57"/>
      <c r="P92" s="46"/>
      <c r="Q92" s="46"/>
      <c r="R92" s="57"/>
      <c r="S92" s="7"/>
      <c r="T92" s="54"/>
      <c r="U92" s="58"/>
      <c r="V92" s="47"/>
      <c r="W92" s="18"/>
      <c r="X92" s="46"/>
      <c r="Y92" s="9"/>
      <c r="Z92" s="46"/>
      <c r="AA92" s="7"/>
      <c r="AB92" s="46"/>
      <c r="AC92" s="47"/>
      <c r="AD92" s="7"/>
      <c r="AE92" s="47"/>
      <c r="AF92" s="18"/>
      <c r="AG92" s="26"/>
      <c r="AH92" s="34"/>
      <c r="AI92" s="34"/>
      <c r="AJ92" s="18"/>
      <c r="AK92" s="48"/>
      <c r="AL92" s="9" t="str">
        <f>IFERROR(__xludf.DUMMYFUNCTION("""COMPUTED_VALUE"""),"* CRCLD *")</f>
        <v>* CRCLD *</v>
      </c>
      <c r="AM92" s="9">
        <f>IFERROR(__xludf.DUMMYFUNCTION("""COMPUTED_VALUE"""),52.0)</f>
        <v>52</v>
      </c>
    </row>
    <row r="93">
      <c r="A93" s="51"/>
      <c r="B93" s="51"/>
      <c r="C93" s="52"/>
      <c r="D93" s="51"/>
      <c r="E93" s="53"/>
      <c r="F93" s="54"/>
      <c r="G93" s="51"/>
      <c r="H93" s="51"/>
      <c r="I93" s="55"/>
      <c r="J93" s="56"/>
      <c r="K93" s="46"/>
      <c r="L93" s="46"/>
      <c r="M93" s="47"/>
      <c r="N93" s="46"/>
      <c r="O93" s="57"/>
      <c r="P93" s="46"/>
      <c r="Q93" s="46"/>
      <c r="R93" s="57"/>
      <c r="S93" s="7"/>
      <c r="T93" s="54"/>
      <c r="U93" s="58"/>
      <c r="V93" s="47"/>
      <c r="W93" s="18"/>
      <c r="X93" s="46"/>
      <c r="Y93" s="9"/>
      <c r="Z93" s="46"/>
      <c r="AA93" s="7"/>
      <c r="AB93" s="46"/>
      <c r="AC93" s="47"/>
      <c r="AD93" s="7"/>
      <c r="AE93" s="47"/>
      <c r="AF93" s="18"/>
      <c r="AG93" s="26"/>
      <c r="AH93" s="34"/>
      <c r="AI93" s="34"/>
      <c r="AJ93" s="18"/>
      <c r="AK93" s="48"/>
      <c r="AL93" s="9" t="str">
        <f>IFERROR(__xludf.DUMMYFUNCTION("""COMPUTED_VALUE"""),"* CRCLO *")</f>
        <v>* CRCLO *</v>
      </c>
      <c r="AM93" s="9">
        <f>IFERROR(__xludf.DUMMYFUNCTION("""COMPUTED_VALUE"""),31150.0)</f>
        <v>31150</v>
      </c>
    </row>
    <row r="94">
      <c r="A94" s="51"/>
      <c r="B94" s="51"/>
      <c r="C94" s="52"/>
      <c r="D94" s="51"/>
      <c r="E94" s="53"/>
      <c r="F94" s="54"/>
      <c r="G94" s="51"/>
      <c r="H94" s="51"/>
      <c r="I94" s="55"/>
      <c r="J94" s="56"/>
      <c r="K94" s="46"/>
      <c r="L94" s="46"/>
      <c r="M94" s="47"/>
      <c r="N94" s="46"/>
      <c r="O94" s="57"/>
      <c r="P94" s="46"/>
      <c r="Q94" s="46"/>
      <c r="R94" s="57"/>
      <c r="S94" s="7"/>
      <c r="T94" s="54"/>
      <c r="U94" s="58"/>
      <c r="V94" s="47"/>
      <c r="W94" s="18"/>
      <c r="X94" s="46"/>
      <c r="Y94" s="9"/>
      <c r="Z94" s="46"/>
      <c r="AA94" s="7"/>
      <c r="AB94" s="46"/>
      <c r="AC94" s="47"/>
      <c r="AD94" s="7"/>
      <c r="AE94" s="47"/>
      <c r="AF94" s="18"/>
      <c r="AG94" s="26"/>
      <c r="AH94" s="34"/>
      <c r="AI94" s="34"/>
      <c r="AJ94" s="18"/>
      <c r="AK94" s="48"/>
      <c r="AL94" s="9" t="str">
        <f>IFERROR(__xludf.DUMMYFUNCTION("""COMPUTED_VALUE"""),"* CS38C *")</f>
        <v>* CS38C *</v>
      </c>
      <c r="AM94" s="9">
        <f>IFERROR(__xludf.DUMMYFUNCTION("""COMPUTED_VALUE"""),102.45)</f>
        <v>102.45</v>
      </c>
    </row>
    <row r="95">
      <c r="A95" s="51"/>
      <c r="B95" s="51"/>
      <c r="C95" s="52"/>
      <c r="D95" s="51"/>
      <c r="E95" s="53"/>
      <c r="F95" s="54"/>
      <c r="G95" s="51"/>
      <c r="H95" s="51"/>
      <c r="I95" s="55"/>
      <c r="J95" s="56"/>
      <c r="K95" s="46"/>
      <c r="L95" s="46"/>
      <c r="M95" s="47"/>
      <c r="N95" s="46"/>
      <c r="O95" s="57"/>
      <c r="P95" s="46"/>
      <c r="Q95" s="46"/>
      <c r="R95" s="57"/>
      <c r="S95" s="7"/>
      <c r="T95" s="54"/>
      <c r="U95" s="58"/>
      <c r="V95" s="47"/>
      <c r="W95" s="18"/>
      <c r="X95" s="46"/>
      <c r="Y95" s="9"/>
      <c r="Z95" s="46"/>
      <c r="AA95" s="7"/>
      <c r="AB95" s="46"/>
      <c r="AC95" s="47"/>
      <c r="AD95" s="7"/>
      <c r="AE95" s="47"/>
      <c r="AF95" s="18"/>
      <c r="AG95" s="26"/>
      <c r="AH95" s="34"/>
      <c r="AI95" s="34"/>
      <c r="AJ95" s="18"/>
      <c r="AK95" s="48"/>
      <c r="AL95" s="9" t="str">
        <f>IFERROR(__xludf.DUMMYFUNCTION("""COMPUTED_VALUE"""),"* CS38D *")</f>
        <v>* CS38D *</v>
      </c>
      <c r="AM95" s="9">
        <f>IFERROR(__xludf.DUMMYFUNCTION("""COMPUTED_VALUE"""),104.0)</f>
        <v>104</v>
      </c>
    </row>
    <row r="96">
      <c r="A96" s="51"/>
      <c r="B96" s="51"/>
      <c r="C96" s="52"/>
      <c r="D96" s="51"/>
      <c r="E96" s="53"/>
      <c r="F96" s="54"/>
      <c r="G96" s="51"/>
      <c r="H96" s="51"/>
      <c r="I96" s="55"/>
      <c r="J96" s="56"/>
      <c r="K96" s="46"/>
      <c r="L96" s="46"/>
      <c r="M96" s="47"/>
      <c r="N96" s="46"/>
      <c r="O96" s="57"/>
      <c r="P96" s="46"/>
      <c r="Q96" s="46"/>
      <c r="R96" s="57"/>
      <c r="S96" s="7"/>
      <c r="T96" s="54"/>
      <c r="U96" s="58"/>
      <c r="V96" s="47"/>
      <c r="W96" s="18"/>
      <c r="X96" s="46"/>
      <c r="Y96" s="9"/>
      <c r="Z96" s="46"/>
      <c r="AA96" s="7"/>
      <c r="AB96" s="46"/>
      <c r="AC96" s="47"/>
      <c r="AD96" s="7"/>
      <c r="AE96" s="47"/>
      <c r="AF96" s="18"/>
      <c r="AG96" s="26"/>
      <c r="AH96" s="34"/>
      <c r="AI96" s="34"/>
      <c r="AJ96" s="18"/>
      <c r="AK96" s="48"/>
      <c r="AL96" s="9" t="str">
        <f>IFERROR(__xludf.DUMMYFUNCTION("""COMPUTED_VALUE"""),"* CS38O *")</f>
        <v>* CS38O *</v>
      </c>
      <c r="AM96" s="9">
        <f>IFERROR(__xludf.DUMMYFUNCTION("""COMPUTED_VALUE"""),151800.0)</f>
        <v>151800</v>
      </c>
    </row>
    <row r="97">
      <c r="A97" s="51"/>
      <c r="B97" s="51"/>
      <c r="C97" s="52"/>
      <c r="D97" s="51"/>
      <c r="E97" s="53"/>
      <c r="F97" s="54"/>
      <c r="G97" s="51"/>
      <c r="H97" s="51"/>
      <c r="I97" s="55"/>
      <c r="J97" s="56"/>
      <c r="K97" s="46"/>
      <c r="L97" s="46"/>
      <c r="M97" s="47"/>
      <c r="N97" s="46"/>
      <c r="O97" s="57"/>
      <c r="P97" s="46"/>
      <c r="Q97" s="46"/>
      <c r="R97" s="57"/>
      <c r="S97" s="7"/>
      <c r="T97" s="54"/>
      <c r="U97" s="58"/>
      <c r="V97" s="47"/>
      <c r="W97" s="18"/>
      <c r="X97" s="46"/>
      <c r="Y97" s="9"/>
      <c r="Z97" s="46"/>
      <c r="AA97" s="7"/>
      <c r="AB97" s="46"/>
      <c r="AC97" s="47"/>
      <c r="AD97" s="7"/>
      <c r="AE97" s="47"/>
      <c r="AF97" s="18"/>
      <c r="AG97" s="26"/>
      <c r="AH97" s="34"/>
      <c r="AI97" s="34"/>
      <c r="AJ97" s="18"/>
      <c r="AK97" s="48"/>
      <c r="AL97" s="9" t="str">
        <f>IFERROR(__xludf.DUMMYFUNCTION("""COMPUTED_VALUE"""),"* CS40O *")</f>
        <v>* CS40O *</v>
      </c>
      <c r="AM97" s="9">
        <f>IFERROR(__xludf.DUMMYFUNCTION("""COMPUTED_VALUE"""),103000.0)</f>
        <v>103000</v>
      </c>
    </row>
    <row r="98">
      <c r="A98" s="51"/>
      <c r="B98" s="51"/>
      <c r="C98" s="52"/>
      <c r="D98" s="51"/>
      <c r="E98" s="53"/>
      <c r="F98" s="54"/>
      <c r="G98" s="51"/>
      <c r="H98" s="51"/>
      <c r="I98" s="55"/>
      <c r="J98" s="56"/>
      <c r="K98" s="46"/>
      <c r="L98" s="46"/>
      <c r="M98" s="47"/>
      <c r="N98" s="46"/>
      <c r="O98" s="57"/>
      <c r="P98" s="46"/>
      <c r="Q98" s="46"/>
      <c r="R98" s="57"/>
      <c r="S98" s="7"/>
      <c r="T98" s="54"/>
      <c r="U98" s="58"/>
      <c r="V98" s="47"/>
      <c r="W98" s="18"/>
      <c r="X98" s="46"/>
      <c r="Y98" s="9"/>
      <c r="Z98" s="46"/>
      <c r="AA98" s="7"/>
      <c r="AB98" s="46"/>
      <c r="AC98" s="47"/>
      <c r="AD98" s="7"/>
      <c r="AE98" s="47"/>
      <c r="AF98" s="18"/>
      <c r="AG98" s="26"/>
      <c r="AH98" s="34"/>
      <c r="AI98" s="34"/>
      <c r="AJ98" s="18"/>
      <c r="AK98" s="48"/>
      <c r="AL98" s="9" t="str">
        <f>IFERROR(__xludf.DUMMYFUNCTION("""COMPUTED_VALUE"""),"* CS44C *")</f>
        <v>* CS44C *</v>
      </c>
      <c r="AM98" s="9">
        <f>IFERROR(__xludf.DUMMYFUNCTION("""COMPUTED_VALUE"""),99.5)</f>
        <v>99.5</v>
      </c>
    </row>
    <row r="99">
      <c r="A99" s="51"/>
      <c r="B99" s="51"/>
      <c r="C99" s="52"/>
      <c r="D99" s="51"/>
      <c r="E99" s="53"/>
      <c r="F99" s="54"/>
      <c r="G99" s="51"/>
      <c r="H99" s="51"/>
      <c r="I99" s="55"/>
      <c r="J99" s="56"/>
      <c r="K99" s="46"/>
      <c r="L99" s="46"/>
      <c r="M99" s="47"/>
      <c r="N99" s="46"/>
      <c r="O99" s="57"/>
      <c r="P99" s="46"/>
      <c r="Q99" s="46"/>
      <c r="R99" s="57"/>
      <c r="S99" s="7"/>
      <c r="T99" s="54"/>
      <c r="U99" s="58"/>
      <c r="V99" s="47"/>
      <c r="W99" s="18"/>
      <c r="X99" s="46"/>
      <c r="Y99" s="9"/>
      <c r="Z99" s="46"/>
      <c r="AA99" s="7"/>
      <c r="AB99" s="46"/>
      <c r="AC99" s="47"/>
      <c r="AD99" s="7"/>
      <c r="AE99" s="47"/>
      <c r="AF99" s="18"/>
      <c r="AG99" s="26"/>
      <c r="AH99" s="34"/>
      <c r="AI99" s="34"/>
      <c r="AJ99" s="18"/>
      <c r="AK99" s="48"/>
      <c r="AL99" s="9" t="str">
        <f>IFERROR(__xludf.DUMMYFUNCTION("""COMPUTED_VALUE"""),"* CS44D *")</f>
        <v>* CS44D *</v>
      </c>
      <c r="AM99" s="9">
        <f>IFERROR(__xludf.DUMMYFUNCTION("""COMPUTED_VALUE"""),101.9)</f>
        <v>101.9</v>
      </c>
    </row>
    <row r="100">
      <c r="A100" s="51"/>
      <c r="B100" s="51"/>
      <c r="C100" s="52"/>
      <c r="D100" s="51"/>
      <c r="E100" s="53"/>
      <c r="F100" s="54"/>
      <c r="G100" s="51"/>
      <c r="H100" s="51"/>
      <c r="I100" s="55"/>
      <c r="J100" s="56"/>
      <c r="K100" s="46"/>
      <c r="L100" s="46"/>
      <c r="M100" s="47"/>
      <c r="N100" s="46"/>
      <c r="O100" s="57"/>
      <c r="P100" s="46"/>
      <c r="Q100" s="46"/>
      <c r="R100" s="57"/>
      <c r="S100" s="7"/>
      <c r="T100" s="54"/>
      <c r="U100" s="58"/>
      <c r="V100" s="47"/>
      <c r="W100" s="18"/>
      <c r="X100" s="46"/>
      <c r="Y100" s="9"/>
      <c r="Z100" s="46"/>
      <c r="AA100" s="7"/>
      <c r="AB100" s="46"/>
      <c r="AC100" s="47"/>
      <c r="AD100" s="7"/>
      <c r="AE100" s="47"/>
      <c r="AF100" s="18"/>
      <c r="AG100" s="26"/>
      <c r="AH100" s="34"/>
      <c r="AI100" s="34"/>
      <c r="AJ100" s="18"/>
      <c r="AK100" s="48"/>
      <c r="AL100" s="9" t="str">
        <f>IFERROR(__xludf.DUMMYFUNCTION("""COMPUTED_VALUE"""),"* CS44O *")</f>
        <v>* CS44O *</v>
      </c>
      <c r="AM100" s="9">
        <f>IFERROR(__xludf.DUMMYFUNCTION("""COMPUTED_VALUE"""),151970.0)</f>
        <v>151970</v>
      </c>
    </row>
    <row r="101">
      <c r="A101" s="51"/>
      <c r="B101" s="51"/>
      <c r="C101" s="52"/>
      <c r="D101" s="51"/>
      <c r="E101" s="53"/>
      <c r="F101" s="54"/>
      <c r="G101" s="51"/>
      <c r="H101" s="51"/>
      <c r="I101" s="55"/>
      <c r="J101" s="56"/>
      <c r="K101" s="46"/>
      <c r="L101" s="46"/>
      <c r="M101" s="47"/>
      <c r="N101" s="46"/>
      <c r="O101" s="57"/>
      <c r="P101" s="46"/>
      <c r="Q101" s="46"/>
      <c r="R101" s="57"/>
      <c r="S101" s="7"/>
      <c r="T101" s="54"/>
      <c r="U101" s="58"/>
      <c r="V101" s="47"/>
      <c r="W101" s="18"/>
      <c r="X101" s="46"/>
      <c r="Y101" s="9"/>
      <c r="Z101" s="46"/>
      <c r="AA101" s="7"/>
      <c r="AB101" s="46"/>
      <c r="AC101" s="47"/>
      <c r="AD101" s="7"/>
      <c r="AE101" s="47"/>
      <c r="AF101" s="18"/>
      <c r="AG101" s="26"/>
      <c r="AH101" s="34"/>
      <c r="AI101" s="34"/>
      <c r="AJ101" s="18"/>
      <c r="AK101" s="48"/>
      <c r="AL101" s="9" t="str">
        <f>IFERROR(__xludf.DUMMYFUNCTION("""COMPUTED_VALUE"""),"* CS45D *")</f>
        <v>* CS45D *</v>
      </c>
      <c r="AM101" s="9">
        <f>IFERROR(__xludf.DUMMYFUNCTION("""COMPUTED_VALUE"""),102.6)</f>
        <v>102.6</v>
      </c>
    </row>
    <row r="102">
      <c r="A102" s="51"/>
      <c r="B102" s="51"/>
      <c r="C102" s="52"/>
      <c r="D102" s="51"/>
      <c r="E102" s="53"/>
      <c r="F102" s="54"/>
      <c r="G102" s="51"/>
      <c r="H102" s="51"/>
      <c r="I102" s="55"/>
      <c r="J102" s="56"/>
      <c r="K102" s="46"/>
      <c r="L102" s="46"/>
      <c r="M102" s="47"/>
      <c r="N102" s="46"/>
      <c r="O102" s="57"/>
      <c r="P102" s="46"/>
      <c r="Q102" s="46"/>
      <c r="R102" s="57"/>
      <c r="S102" s="7"/>
      <c r="T102" s="54"/>
      <c r="U102" s="58"/>
      <c r="V102" s="47"/>
      <c r="W102" s="18"/>
      <c r="X102" s="46"/>
      <c r="Y102" s="9"/>
      <c r="Z102" s="46"/>
      <c r="AA102" s="7"/>
      <c r="AB102" s="46"/>
      <c r="AC102" s="47"/>
      <c r="AD102" s="7"/>
      <c r="AE102" s="47"/>
      <c r="AF102" s="18"/>
      <c r="AG102" s="26"/>
      <c r="AH102" s="34"/>
      <c r="AI102" s="34"/>
      <c r="AJ102" s="18"/>
      <c r="AK102" s="48"/>
      <c r="AL102" s="9" t="str">
        <f>IFERROR(__xludf.DUMMYFUNCTION("""COMPUTED_VALUE"""),"* CS45O *")</f>
        <v>* CS45O *</v>
      </c>
      <c r="AM102" s="9">
        <f>IFERROR(__xludf.DUMMYFUNCTION("""COMPUTED_VALUE"""),157000.0)</f>
        <v>157000</v>
      </c>
    </row>
    <row r="103">
      <c r="A103" s="51"/>
      <c r="B103" s="51"/>
      <c r="C103" s="52"/>
      <c r="D103" s="51"/>
      <c r="E103" s="53"/>
      <c r="F103" s="54"/>
      <c r="G103" s="51"/>
      <c r="H103" s="51"/>
      <c r="I103" s="55"/>
      <c r="J103" s="56"/>
      <c r="K103" s="46"/>
      <c r="L103" s="46"/>
      <c r="M103" s="47"/>
      <c r="N103" s="46"/>
      <c r="O103" s="57"/>
      <c r="P103" s="46"/>
      <c r="Q103" s="46"/>
      <c r="R103" s="57"/>
      <c r="S103" s="7"/>
      <c r="T103" s="54"/>
      <c r="U103" s="58"/>
      <c r="V103" s="47"/>
      <c r="W103" s="18"/>
      <c r="X103" s="46"/>
      <c r="Y103" s="9"/>
      <c r="Z103" s="46"/>
      <c r="AA103" s="7"/>
      <c r="AB103" s="46"/>
      <c r="AC103" s="47"/>
      <c r="AD103" s="7"/>
      <c r="AE103" s="47"/>
      <c r="AF103" s="18"/>
      <c r="AG103" s="26"/>
      <c r="AH103" s="34"/>
      <c r="AI103" s="34"/>
      <c r="AJ103" s="18"/>
      <c r="AK103" s="48"/>
      <c r="AL103" s="9" t="str">
        <f>IFERROR(__xludf.DUMMYFUNCTION("""COMPUTED_VALUE"""),"* CS46D *")</f>
        <v>* CS46D *</v>
      </c>
      <c r="AM103" s="9">
        <f>IFERROR(__xludf.DUMMYFUNCTION("""COMPUTED_VALUE"""),100.0)</f>
        <v>100</v>
      </c>
    </row>
    <row r="104">
      <c r="A104" s="51"/>
      <c r="B104" s="51"/>
      <c r="C104" s="52"/>
      <c r="D104" s="51"/>
      <c r="E104" s="53"/>
      <c r="F104" s="54"/>
      <c r="G104" s="51"/>
      <c r="H104" s="51"/>
      <c r="I104" s="55"/>
      <c r="J104" s="56"/>
      <c r="K104" s="46"/>
      <c r="L104" s="46"/>
      <c r="M104" s="47"/>
      <c r="N104" s="46"/>
      <c r="O104" s="57"/>
      <c r="P104" s="46"/>
      <c r="Q104" s="46"/>
      <c r="R104" s="57"/>
      <c r="S104" s="7"/>
      <c r="T104" s="54"/>
      <c r="U104" s="58"/>
      <c r="V104" s="47"/>
      <c r="W104" s="18"/>
      <c r="X104" s="46"/>
      <c r="Y104" s="9"/>
      <c r="Z104" s="46"/>
      <c r="AA104" s="7"/>
      <c r="AB104" s="46"/>
      <c r="AC104" s="47"/>
      <c r="AD104" s="7"/>
      <c r="AE104" s="47"/>
      <c r="AF104" s="18"/>
      <c r="AG104" s="26"/>
      <c r="AH104" s="34"/>
      <c r="AI104" s="34"/>
      <c r="AJ104" s="18"/>
      <c r="AK104" s="48"/>
      <c r="AL104" s="9" t="str">
        <f>IFERROR(__xludf.DUMMYFUNCTION("""COMPUTED_VALUE"""),"* CS46O *")</f>
        <v>* CS46O *</v>
      </c>
      <c r="AM104" s="9">
        <f>IFERROR(__xludf.DUMMYFUNCTION("""COMPUTED_VALUE"""),99500.0)</f>
        <v>99500</v>
      </c>
    </row>
    <row r="105">
      <c r="A105" s="51"/>
      <c r="B105" s="51"/>
      <c r="C105" s="52"/>
      <c r="D105" s="51"/>
      <c r="E105" s="53"/>
      <c r="F105" s="54"/>
      <c r="G105" s="51"/>
      <c r="H105" s="51"/>
      <c r="I105" s="55"/>
      <c r="J105" s="56"/>
      <c r="K105" s="46"/>
      <c r="L105" s="46"/>
      <c r="M105" s="47"/>
      <c r="N105" s="46"/>
      <c r="O105" s="57"/>
      <c r="P105" s="46"/>
      <c r="Q105" s="46"/>
      <c r="R105" s="57"/>
      <c r="S105" s="7"/>
      <c r="T105" s="54"/>
      <c r="U105" s="58"/>
      <c r="V105" s="47"/>
      <c r="W105" s="18"/>
      <c r="X105" s="46"/>
      <c r="Y105" s="9"/>
      <c r="Z105" s="46"/>
      <c r="AA105" s="7"/>
      <c r="AB105" s="46"/>
      <c r="AC105" s="47"/>
      <c r="AD105" s="7"/>
      <c r="AE105" s="47"/>
      <c r="AF105" s="18"/>
      <c r="AG105" s="26"/>
      <c r="AH105" s="34"/>
      <c r="AI105" s="34"/>
      <c r="AJ105" s="18"/>
      <c r="AK105" s="48"/>
      <c r="AL105" s="9" t="str">
        <f>IFERROR(__xludf.DUMMYFUNCTION("""COMPUTED_VALUE"""),"* CS47D *")</f>
        <v>* CS47D *</v>
      </c>
      <c r="AM105" s="9">
        <f>IFERROR(__xludf.DUMMYFUNCTION("""COMPUTED_VALUE"""),100.15)</f>
        <v>100.15</v>
      </c>
    </row>
    <row r="106">
      <c r="A106" s="51"/>
      <c r="B106" s="51"/>
      <c r="C106" s="52"/>
      <c r="D106" s="51"/>
      <c r="E106" s="53"/>
      <c r="F106" s="54"/>
      <c r="G106" s="51"/>
      <c r="H106" s="51"/>
      <c r="I106" s="55"/>
      <c r="J106" s="56"/>
      <c r="K106" s="46"/>
      <c r="L106" s="46"/>
      <c r="M106" s="47"/>
      <c r="N106" s="46"/>
      <c r="O106" s="57"/>
      <c r="P106" s="46"/>
      <c r="Q106" s="46"/>
      <c r="R106" s="57"/>
      <c r="S106" s="7"/>
      <c r="T106" s="54"/>
      <c r="U106" s="58"/>
      <c r="V106" s="47"/>
      <c r="W106" s="18"/>
      <c r="X106" s="46"/>
      <c r="Y106" s="9"/>
      <c r="Z106" s="46"/>
      <c r="AA106" s="7"/>
      <c r="AB106" s="46"/>
      <c r="AC106" s="47"/>
      <c r="AD106" s="7"/>
      <c r="AE106" s="47"/>
      <c r="AF106" s="18"/>
      <c r="AG106" s="26"/>
      <c r="AH106" s="34"/>
      <c r="AI106" s="34"/>
      <c r="AJ106" s="18"/>
      <c r="AK106" s="48"/>
      <c r="AL106" s="9" t="str">
        <f>IFERROR(__xludf.DUMMYFUNCTION("""COMPUTED_VALUE"""),"* CS47O *")</f>
        <v>* CS47O *</v>
      </c>
      <c r="AM106" s="9">
        <f>IFERROR(__xludf.DUMMYFUNCTION("""COMPUTED_VALUE"""),146900.0)</f>
        <v>146900</v>
      </c>
    </row>
    <row r="107">
      <c r="A107" s="51"/>
      <c r="B107" s="51"/>
      <c r="C107" s="52"/>
      <c r="D107" s="51"/>
      <c r="E107" s="53"/>
      <c r="F107" s="54"/>
      <c r="G107" s="51"/>
      <c r="H107" s="51"/>
      <c r="I107" s="55"/>
      <c r="J107" s="56"/>
      <c r="K107" s="46"/>
      <c r="L107" s="46"/>
      <c r="M107" s="47"/>
      <c r="N107" s="46"/>
      <c r="O107" s="57"/>
      <c r="P107" s="46"/>
      <c r="Q107" s="46"/>
      <c r="R107" s="57"/>
      <c r="S107" s="7"/>
      <c r="T107" s="54"/>
      <c r="U107" s="58"/>
      <c r="V107" s="47"/>
      <c r="W107" s="18"/>
      <c r="X107" s="46"/>
      <c r="Y107" s="9"/>
      <c r="Z107" s="46"/>
      <c r="AA107" s="7"/>
      <c r="AB107" s="46"/>
      <c r="AC107" s="47"/>
      <c r="AD107" s="7"/>
      <c r="AE107" s="47"/>
      <c r="AF107" s="18"/>
      <c r="AG107" s="26"/>
      <c r="AH107" s="34"/>
      <c r="AI107" s="34"/>
      <c r="AJ107" s="18"/>
      <c r="AK107" s="48"/>
      <c r="AL107" s="9" t="str">
        <f>IFERROR(__xludf.DUMMYFUNCTION("""COMPUTED_VALUE"""),"* CS48C *")</f>
        <v>* CS48C *</v>
      </c>
      <c r="AM107" s="9">
        <f>IFERROR(__xludf.DUMMYFUNCTION("""COMPUTED_VALUE"""),101.0)</f>
        <v>101</v>
      </c>
    </row>
    <row r="108">
      <c r="A108" s="51"/>
      <c r="B108" s="51"/>
      <c r="C108" s="52"/>
      <c r="D108" s="51"/>
      <c r="E108" s="53"/>
      <c r="F108" s="54"/>
      <c r="G108" s="51"/>
      <c r="H108" s="51"/>
      <c r="I108" s="55"/>
      <c r="J108" s="56"/>
      <c r="K108" s="46"/>
      <c r="L108" s="46"/>
      <c r="M108" s="47"/>
      <c r="N108" s="46"/>
      <c r="O108" s="57"/>
      <c r="P108" s="46"/>
      <c r="Q108" s="46"/>
      <c r="R108" s="57"/>
      <c r="S108" s="7"/>
      <c r="T108" s="54"/>
      <c r="U108" s="58"/>
      <c r="V108" s="47"/>
      <c r="W108" s="18"/>
      <c r="X108" s="46"/>
      <c r="Y108" s="9"/>
      <c r="Z108" s="46"/>
      <c r="AA108" s="7"/>
      <c r="AB108" s="46"/>
      <c r="AC108" s="47"/>
      <c r="AD108" s="7"/>
      <c r="AE108" s="47"/>
      <c r="AF108" s="18"/>
      <c r="AG108" s="26"/>
      <c r="AH108" s="34"/>
      <c r="AI108" s="34"/>
      <c r="AJ108" s="18"/>
      <c r="AK108" s="48"/>
      <c r="AL108" s="9" t="str">
        <f>IFERROR(__xludf.DUMMYFUNCTION("""COMPUTED_VALUE"""),"* CS48D *")</f>
        <v>* CS48D *</v>
      </c>
      <c r="AM108" s="9">
        <f>IFERROR(__xludf.DUMMYFUNCTION("""COMPUTED_VALUE"""),106.0)</f>
        <v>106</v>
      </c>
    </row>
    <row r="109">
      <c r="A109" s="51"/>
      <c r="B109" s="51"/>
      <c r="C109" s="52"/>
      <c r="D109" s="51"/>
      <c r="E109" s="53"/>
      <c r="F109" s="54"/>
      <c r="G109" s="51"/>
      <c r="H109" s="51"/>
      <c r="I109" s="55"/>
      <c r="J109" s="56"/>
      <c r="K109" s="46"/>
      <c r="L109" s="46"/>
      <c r="M109" s="47"/>
      <c r="N109" s="46"/>
      <c r="O109" s="57"/>
      <c r="P109" s="46"/>
      <c r="Q109" s="46"/>
      <c r="R109" s="57"/>
      <c r="S109" s="7"/>
      <c r="T109" s="54"/>
      <c r="U109" s="58"/>
      <c r="V109" s="47"/>
      <c r="W109" s="18"/>
      <c r="X109" s="46"/>
      <c r="Y109" s="9"/>
      <c r="Z109" s="46"/>
      <c r="AA109" s="7"/>
      <c r="AB109" s="46"/>
      <c r="AC109" s="47"/>
      <c r="AD109" s="7"/>
      <c r="AE109" s="47"/>
      <c r="AF109" s="18"/>
      <c r="AG109" s="26"/>
      <c r="AH109" s="34"/>
      <c r="AI109" s="34"/>
      <c r="AJ109" s="18"/>
      <c r="AK109" s="48"/>
      <c r="AL109" s="9" t="str">
        <f>IFERROR(__xludf.DUMMYFUNCTION("""COMPUTED_VALUE"""),"* CS48O *")</f>
        <v>* CS48O *</v>
      </c>
      <c r="AM109" s="9">
        <f>IFERROR(__xludf.DUMMYFUNCTION("""COMPUTED_VALUE"""),155000.0)</f>
        <v>155000</v>
      </c>
    </row>
    <row r="110">
      <c r="A110" s="51"/>
      <c r="B110" s="51"/>
      <c r="C110" s="52"/>
      <c r="D110" s="51"/>
      <c r="E110" s="53"/>
      <c r="F110" s="54"/>
      <c r="G110" s="51"/>
      <c r="H110" s="51"/>
      <c r="I110" s="55"/>
      <c r="J110" s="56"/>
      <c r="K110" s="46"/>
      <c r="L110" s="46"/>
      <c r="M110" s="47"/>
      <c r="N110" s="46"/>
      <c r="O110" s="57"/>
      <c r="P110" s="46"/>
      <c r="Q110" s="46"/>
      <c r="R110" s="57"/>
      <c r="S110" s="7"/>
      <c r="T110" s="54"/>
      <c r="U110" s="58"/>
      <c r="V110" s="47"/>
      <c r="W110" s="18"/>
      <c r="X110" s="46"/>
      <c r="Y110" s="9"/>
      <c r="Z110" s="46"/>
      <c r="AA110" s="7"/>
      <c r="AB110" s="46"/>
      <c r="AC110" s="47"/>
      <c r="AD110" s="7"/>
      <c r="AE110" s="47"/>
      <c r="AF110" s="18"/>
      <c r="AG110" s="26"/>
      <c r="AH110" s="34"/>
      <c r="AI110" s="34"/>
      <c r="AJ110" s="18"/>
      <c r="AK110" s="48"/>
      <c r="AL110" s="9" t="str">
        <f>IFERROR(__xludf.DUMMYFUNCTION("""COMPUTED_VALUE"""),"* CS49C *")</f>
        <v>* CS49C *</v>
      </c>
      <c r="AM110" s="9">
        <f>IFERROR(__xludf.DUMMYFUNCTION("""COMPUTED_VALUE"""),100.0)</f>
        <v>100</v>
      </c>
    </row>
    <row r="111">
      <c r="A111" s="51"/>
      <c r="B111" s="51"/>
      <c r="C111" s="52"/>
      <c r="D111" s="51"/>
      <c r="E111" s="53"/>
      <c r="F111" s="54"/>
      <c r="G111" s="51"/>
      <c r="H111" s="51"/>
      <c r="I111" s="55"/>
      <c r="J111" s="56"/>
      <c r="K111" s="46"/>
      <c r="L111" s="46"/>
      <c r="M111" s="47"/>
      <c r="N111" s="46"/>
      <c r="O111" s="57"/>
      <c r="P111" s="46"/>
      <c r="Q111" s="46"/>
      <c r="R111" s="57"/>
      <c r="S111" s="7"/>
      <c r="T111" s="54"/>
      <c r="U111" s="58"/>
      <c r="V111" s="47"/>
      <c r="W111" s="18"/>
      <c r="X111" s="46"/>
      <c r="Y111" s="9"/>
      <c r="Z111" s="46"/>
      <c r="AA111" s="7"/>
      <c r="AB111" s="46"/>
      <c r="AC111" s="47"/>
      <c r="AD111" s="7"/>
      <c r="AE111" s="47"/>
      <c r="AF111" s="18"/>
      <c r="AG111" s="26"/>
      <c r="AH111" s="34"/>
      <c r="AI111" s="34"/>
      <c r="AJ111" s="18"/>
      <c r="AK111" s="48"/>
      <c r="AL111" s="9" t="str">
        <f>IFERROR(__xludf.DUMMYFUNCTION("""COMPUTED_VALUE"""),"* CS49D *")</f>
        <v>* CS49D *</v>
      </c>
      <c r="AM111" s="9">
        <f>IFERROR(__xludf.DUMMYFUNCTION("""COMPUTED_VALUE"""),102.35)</f>
        <v>102.35</v>
      </c>
    </row>
    <row r="112">
      <c r="A112" s="51"/>
      <c r="B112" s="51"/>
      <c r="C112" s="52"/>
      <c r="D112" s="51"/>
      <c r="E112" s="53"/>
      <c r="F112" s="54"/>
      <c r="G112" s="51"/>
      <c r="H112" s="51"/>
      <c r="I112" s="55"/>
      <c r="J112" s="56"/>
      <c r="K112" s="46"/>
      <c r="L112" s="46"/>
      <c r="M112" s="47"/>
      <c r="N112" s="46"/>
      <c r="O112" s="57"/>
      <c r="P112" s="46"/>
      <c r="Q112" s="46"/>
      <c r="R112" s="57"/>
      <c r="S112" s="7"/>
      <c r="T112" s="54"/>
      <c r="U112" s="58"/>
      <c r="V112" s="47"/>
      <c r="W112" s="18"/>
      <c r="X112" s="46"/>
      <c r="Y112" s="9"/>
      <c r="Z112" s="46"/>
      <c r="AA112" s="7"/>
      <c r="AB112" s="46"/>
      <c r="AC112" s="47"/>
      <c r="AD112" s="7"/>
      <c r="AE112" s="47"/>
      <c r="AF112" s="18"/>
      <c r="AG112" s="26"/>
      <c r="AH112" s="34"/>
      <c r="AI112" s="34"/>
      <c r="AJ112" s="18"/>
      <c r="AK112" s="48"/>
      <c r="AL112" s="9" t="str">
        <f>IFERROR(__xludf.DUMMYFUNCTION("""COMPUTED_VALUE"""),"* CS49O *")</f>
        <v>* CS49O *</v>
      </c>
      <c r="AM112" s="9">
        <f>IFERROR(__xludf.DUMMYFUNCTION("""COMPUTED_VALUE"""),150000.0)</f>
        <v>150000</v>
      </c>
    </row>
    <row r="113">
      <c r="A113" s="51"/>
      <c r="B113" s="51"/>
      <c r="C113" s="52"/>
      <c r="D113" s="51"/>
      <c r="E113" s="53"/>
      <c r="F113" s="54"/>
      <c r="G113" s="51"/>
      <c r="H113" s="51"/>
      <c r="I113" s="55"/>
      <c r="J113" s="56"/>
      <c r="K113" s="46"/>
      <c r="L113" s="46"/>
      <c r="M113" s="47"/>
      <c r="N113" s="46"/>
      <c r="O113" s="57"/>
      <c r="P113" s="46"/>
      <c r="Q113" s="46"/>
      <c r="R113" s="57"/>
      <c r="S113" s="7"/>
      <c r="T113" s="54"/>
      <c r="U113" s="58"/>
      <c r="V113" s="47"/>
      <c r="W113" s="18"/>
      <c r="X113" s="46"/>
      <c r="Y113" s="9"/>
      <c r="Z113" s="46"/>
      <c r="AA113" s="7"/>
      <c r="AB113" s="46"/>
      <c r="AC113" s="47"/>
      <c r="AD113" s="7"/>
      <c r="AE113" s="47"/>
      <c r="AF113" s="18"/>
      <c r="AG113" s="26"/>
      <c r="AH113" s="34"/>
      <c r="AI113" s="34"/>
      <c r="AJ113" s="18"/>
      <c r="AK113" s="48"/>
      <c r="AL113" s="9" t="str">
        <f>IFERROR(__xludf.DUMMYFUNCTION("""COMPUTED_VALUE"""),"* CWC6D *")</f>
        <v>* CWC6D *</v>
      </c>
      <c r="AM113" s="9">
        <f>IFERROR(__xludf.DUMMYFUNCTION("""COMPUTED_VALUE"""),89.0)</f>
        <v>89</v>
      </c>
    </row>
    <row r="114">
      <c r="A114" s="51"/>
      <c r="B114" s="51"/>
      <c r="C114" s="52"/>
      <c r="D114" s="51"/>
      <c r="E114" s="53"/>
      <c r="F114" s="54"/>
      <c r="G114" s="51"/>
      <c r="H114" s="51"/>
      <c r="I114" s="55"/>
      <c r="J114" s="56"/>
      <c r="K114" s="46"/>
      <c r="L114" s="46"/>
      <c r="M114" s="47"/>
      <c r="N114" s="46"/>
      <c r="O114" s="57"/>
      <c r="P114" s="46"/>
      <c r="Q114" s="46"/>
      <c r="R114" s="57"/>
      <c r="S114" s="7"/>
      <c r="T114" s="54"/>
      <c r="U114" s="58"/>
      <c r="V114" s="47"/>
      <c r="W114" s="18"/>
      <c r="X114" s="46"/>
      <c r="Y114" s="9"/>
      <c r="Z114" s="46"/>
      <c r="AA114" s="7"/>
      <c r="AB114" s="46"/>
      <c r="AC114" s="47"/>
      <c r="AD114" s="7"/>
      <c r="AE114" s="47"/>
      <c r="AF114" s="18"/>
      <c r="AG114" s="26"/>
      <c r="AH114" s="34"/>
      <c r="AI114" s="34"/>
      <c r="AJ114" s="18"/>
      <c r="AK114" s="48"/>
      <c r="AL114" s="9" t="str">
        <f>IFERROR(__xludf.DUMMYFUNCTION("""COMPUTED_VALUE"""),"* CWC6O *")</f>
        <v>* CWC6O *</v>
      </c>
      <c r="AM114" s="9">
        <f>IFERROR(__xludf.DUMMYFUNCTION("""COMPUTED_VALUE"""),110000.0)</f>
        <v>110000</v>
      </c>
    </row>
    <row r="115">
      <c r="A115" s="51"/>
      <c r="B115" s="51"/>
      <c r="C115" s="52"/>
      <c r="D115" s="51"/>
      <c r="E115" s="53"/>
      <c r="F115" s="54"/>
      <c r="G115" s="51"/>
      <c r="H115" s="51"/>
      <c r="I115" s="55"/>
      <c r="J115" s="56"/>
      <c r="K115" s="46"/>
      <c r="L115" s="46"/>
      <c r="M115" s="47"/>
      <c r="N115" s="46"/>
      <c r="O115" s="57"/>
      <c r="P115" s="46"/>
      <c r="Q115" s="46"/>
      <c r="R115" s="57"/>
      <c r="S115" s="7"/>
      <c r="T115" s="54"/>
      <c r="U115" s="58"/>
      <c r="V115" s="47"/>
      <c r="W115" s="18"/>
      <c r="X115" s="46"/>
      <c r="Y115" s="9"/>
      <c r="Z115" s="46"/>
      <c r="AA115" s="7"/>
      <c r="AB115" s="46"/>
      <c r="AC115" s="47"/>
      <c r="AD115" s="7"/>
      <c r="AE115" s="47"/>
      <c r="AF115" s="18"/>
      <c r="AG115" s="26"/>
      <c r="AH115" s="34"/>
      <c r="AI115" s="34"/>
      <c r="AJ115" s="18"/>
      <c r="AK115" s="48"/>
      <c r="AL115" s="9" t="str">
        <f>IFERROR(__xludf.DUMMYFUNCTION("""COMPUTED_VALUE"""),"* DEC2D *")</f>
        <v>* DEC2D *</v>
      </c>
      <c r="AM115" s="9">
        <f>IFERROR(__xludf.DUMMYFUNCTION("""COMPUTED_VALUE"""),85.0)</f>
        <v>85</v>
      </c>
    </row>
    <row r="116">
      <c r="A116" s="51"/>
      <c r="B116" s="51"/>
      <c r="C116" s="52"/>
      <c r="D116" s="51"/>
      <c r="E116" s="53"/>
      <c r="F116" s="54"/>
      <c r="G116" s="51"/>
      <c r="H116" s="51"/>
      <c r="I116" s="55"/>
      <c r="J116" s="56"/>
      <c r="K116" s="46"/>
      <c r="L116" s="46"/>
      <c r="M116" s="47"/>
      <c r="N116" s="46"/>
      <c r="O116" s="57"/>
      <c r="P116" s="46"/>
      <c r="Q116" s="46"/>
      <c r="R116" s="57"/>
      <c r="S116" s="7"/>
      <c r="T116" s="54"/>
      <c r="U116" s="58"/>
      <c r="V116" s="47"/>
      <c r="W116" s="18"/>
      <c r="X116" s="46"/>
      <c r="Y116" s="9"/>
      <c r="Z116" s="46"/>
      <c r="AA116" s="7"/>
      <c r="AB116" s="46"/>
      <c r="AC116" s="47"/>
      <c r="AD116" s="7"/>
      <c r="AE116" s="47"/>
      <c r="AF116" s="18"/>
      <c r="AG116" s="26"/>
      <c r="AH116" s="34"/>
      <c r="AI116" s="34"/>
      <c r="AJ116" s="18"/>
      <c r="AK116" s="48"/>
      <c r="AL116" s="9" t="str">
        <f>IFERROR(__xludf.DUMMYFUNCTION("""COMPUTED_VALUE"""),"* DEC2O *")</f>
        <v>* DEC2O *</v>
      </c>
      <c r="AM116" s="9">
        <f>IFERROR(__xludf.DUMMYFUNCTION("""COMPUTED_VALUE"""),126000.0)</f>
        <v>126000</v>
      </c>
    </row>
    <row r="117">
      <c r="A117" s="51"/>
      <c r="B117" s="51"/>
      <c r="C117" s="52"/>
      <c r="D117" s="51"/>
      <c r="E117" s="53"/>
      <c r="F117" s="54"/>
      <c r="G117" s="51"/>
      <c r="H117" s="51"/>
      <c r="I117" s="55"/>
      <c r="J117" s="56"/>
      <c r="K117" s="46"/>
      <c r="L117" s="46"/>
      <c r="M117" s="47"/>
      <c r="N117" s="46"/>
      <c r="O117" s="57"/>
      <c r="P117" s="46"/>
      <c r="Q117" s="46"/>
      <c r="R117" s="57"/>
      <c r="S117" s="7"/>
      <c r="T117" s="54"/>
      <c r="U117" s="58"/>
      <c r="V117" s="47"/>
      <c r="W117" s="18"/>
      <c r="X117" s="46"/>
      <c r="Y117" s="9"/>
      <c r="Z117" s="46"/>
      <c r="AA117" s="7"/>
      <c r="AB117" s="46"/>
      <c r="AC117" s="47"/>
      <c r="AD117" s="7"/>
      <c r="AE117" s="47"/>
      <c r="AF117" s="18"/>
      <c r="AG117" s="26"/>
      <c r="AH117" s="34"/>
      <c r="AI117" s="34"/>
      <c r="AJ117" s="18"/>
      <c r="AK117" s="48"/>
      <c r="AL117" s="9" t="str">
        <f>IFERROR(__xludf.DUMMYFUNCTION("""COMPUTED_VALUE"""),"* DHS9O *")</f>
        <v>* DHS9O *</v>
      </c>
      <c r="AM117" s="9">
        <f>IFERROR(__xludf.DUMMYFUNCTION("""COMPUTED_VALUE"""),113.95)</f>
        <v>113.95</v>
      </c>
    </row>
    <row r="118">
      <c r="A118" s="51"/>
      <c r="B118" s="51"/>
      <c r="C118" s="52"/>
      <c r="D118" s="51"/>
      <c r="E118" s="53"/>
      <c r="F118" s="54"/>
      <c r="G118" s="51"/>
      <c r="H118" s="51"/>
      <c r="I118" s="55"/>
      <c r="J118" s="56"/>
      <c r="K118" s="46"/>
      <c r="L118" s="46"/>
      <c r="M118" s="47"/>
      <c r="N118" s="46"/>
      <c r="O118" s="57"/>
      <c r="P118" s="46"/>
      <c r="Q118" s="46"/>
      <c r="R118" s="57"/>
      <c r="S118" s="7"/>
      <c r="T118" s="54"/>
      <c r="U118" s="58"/>
      <c r="V118" s="47"/>
      <c r="W118" s="18"/>
      <c r="X118" s="46"/>
      <c r="Y118" s="9"/>
      <c r="Z118" s="46"/>
      <c r="AA118" s="7"/>
      <c r="AB118" s="46"/>
      <c r="AC118" s="47"/>
      <c r="AD118" s="7"/>
      <c r="AE118" s="47"/>
      <c r="AF118" s="18"/>
      <c r="AG118" s="26"/>
      <c r="AH118" s="34"/>
      <c r="AI118" s="34"/>
      <c r="AJ118" s="18"/>
      <c r="AK118" s="48"/>
      <c r="AL118" s="9" t="str">
        <f>IFERROR(__xludf.DUMMYFUNCTION("""COMPUTED_VALUE"""),"* DN17C *")</f>
        <v>* DN17C *</v>
      </c>
      <c r="AM118" s="9">
        <f>IFERROR(__xludf.DUMMYFUNCTION("""COMPUTED_VALUE"""),99.13)</f>
        <v>99.13</v>
      </c>
    </row>
    <row r="119">
      <c r="A119" s="51"/>
      <c r="B119" s="51"/>
      <c r="C119" s="52"/>
      <c r="D119" s="51"/>
      <c r="E119" s="53"/>
      <c r="F119" s="54"/>
      <c r="G119" s="51"/>
      <c r="H119" s="51"/>
      <c r="I119" s="55"/>
      <c r="J119" s="56"/>
      <c r="K119" s="46"/>
      <c r="L119" s="46"/>
      <c r="M119" s="47"/>
      <c r="N119" s="46"/>
      <c r="O119" s="57"/>
      <c r="P119" s="46"/>
      <c r="Q119" s="46"/>
      <c r="R119" s="57"/>
      <c r="S119" s="7"/>
      <c r="T119" s="54"/>
      <c r="U119" s="58"/>
      <c r="V119" s="47"/>
      <c r="W119" s="18"/>
      <c r="X119" s="46"/>
      <c r="Y119" s="9"/>
      <c r="Z119" s="46"/>
      <c r="AA119" s="7"/>
      <c r="AB119" s="46"/>
      <c r="AC119" s="47"/>
      <c r="AD119" s="7"/>
      <c r="AE119" s="47"/>
      <c r="AF119" s="18"/>
      <c r="AG119" s="26"/>
      <c r="AH119" s="34"/>
      <c r="AI119" s="34"/>
      <c r="AJ119" s="18"/>
      <c r="AK119" s="48"/>
      <c r="AL119" s="9" t="str">
        <f>IFERROR(__xludf.DUMMYFUNCTION("""COMPUTED_VALUE"""),"* DN17D *")</f>
        <v>* DN17D *</v>
      </c>
      <c r="AM119" s="9">
        <f>IFERROR(__xludf.DUMMYFUNCTION("""COMPUTED_VALUE"""),102.15)</f>
        <v>102.15</v>
      </c>
    </row>
    <row r="120">
      <c r="A120" s="51"/>
      <c r="B120" s="51"/>
      <c r="C120" s="52"/>
      <c r="D120" s="51"/>
      <c r="E120" s="53"/>
      <c r="F120" s="54"/>
      <c r="G120" s="51"/>
      <c r="H120" s="51"/>
      <c r="I120" s="55"/>
      <c r="J120" s="56"/>
      <c r="K120" s="46"/>
      <c r="L120" s="46"/>
      <c r="M120" s="47"/>
      <c r="N120" s="46"/>
      <c r="O120" s="57"/>
      <c r="P120" s="46"/>
      <c r="Q120" s="46"/>
      <c r="R120" s="57"/>
      <c r="S120" s="7"/>
      <c r="T120" s="54"/>
      <c r="U120" s="58"/>
      <c r="V120" s="47"/>
      <c r="W120" s="18"/>
      <c r="X120" s="46"/>
      <c r="Y120" s="9"/>
      <c r="Z120" s="46"/>
      <c r="AA120" s="7"/>
      <c r="AB120" s="46"/>
      <c r="AC120" s="47"/>
      <c r="AD120" s="7"/>
      <c r="AE120" s="47"/>
      <c r="AF120" s="18"/>
      <c r="AG120" s="26"/>
      <c r="AH120" s="34"/>
      <c r="AI120" s="34"/>
      <c r="AJ120" s="18"/>
      <c r="AK120" s="48"/>
      <c r="AL120" s="9" t="str">
        <f>IFERROR(__xludf.DUMMYFUNCTION("""COMPUTED_VALUE"""),"* DN17O *")</f>
        <v>* DN17O *</v>
      </c>
      <c r="AM120" s="9">
        <f>IFERROR(__xludf.DUMMYFUNCTION("""COMPUTED_VALUE"""),149870.0)</f>
        <v>149870</v>
      </c>
    </row>
    <row r="121">
      <c r="A121" s="51"/>
      <c r="B121" s="51"/>
      <c r="C121" s="52"/>
      <c r="D121" s="51"/>
      <c r="E121" s="53"/>
      <c r="F121" s="54"/>
      <c r="G121" s="51"/>
      <c r="H121" s="51"/>
      <c r="I121" s="55"/>
      <c r="J121" s="56"/>
      <c r="K121" s="46"/>
      <c r="L121" s="46"/>
      <c r="M121" s="47"/>
      <c r="N121" s="46"/>
      <c r="O121" s="57"/>
      <c r="P121" s="46"/>
      <c r="Q121" s="46"/>
      <c r="R121" s="57"/>
      <c r="S121" s="7"/>
      <c r="T121" s="54"/>
      <c r="U121" s="58"/>
      <c r="V121" s="47"/>
      <c r="W121" s="18"/>
      <c r="X121" s="46"/>
      <c r="Y121" s="9"/>
      <c r="Z121" s="46"/>
      <c r="AA121" s="7"/>
      <c r="AB121" s="46"/>
      <c r="AC121" s="47"/>
      <c r="AD121" s="7"/>
      <c r="AE121" s="47"/>
      <c r="AF121" s="18"/>
      <c r="AG121" s="26"/>
      <c r="AH121" s="34"/>
      <c r="AI121" s="34"/>
      <c r="AJ121" s="18"/>
      <c r="AK121" s="48"/>
      <c r="AL121" s="9" t="str">
        <f>IFERROR(__xludf.DUMMYFUNCTION("""COMPUTED_VALUE"""),"* DNC3D *")</f>
        <v>* DNC3D *</v>
      </c>
      <c r="AM121" s="9">
        <f>IFERROR(__xludf.DUMMYFUNCTION("""COMPUTED_VALUE"""),102.5)</f>
        <v>102.5</v>
      </c>
    </row>
    <row r="122">
      <c r="A122" s="51"/>
      <c r="B122" s="51"/>
      <c r="C122" s="52"/>
      <c r="D122" s="51"/>
      <c r="E122" s="53"/>
      <c r="F122" s="54"/>
      <c r="G122" s="51"/>
      <c r="H122" s="51"/>
      <c r="I122" s="55"/>
      <c r="J122" s="56"/>
      <c r="K122" s="46"/>
      <c r="L122" s="46"/>
      <c r="M122" s="47"/>
      <c r="N122" s="46"/>
      <c r="O122" s="57"/>
      <c r="P122" s="46"/>
      <c r="Q122" s="46"/>
      <c r="R122" s="57"/>
      <c r="S122" s="7"/>
      <c r="T122" s="54"/>
      <c r="U122" s="58"/>
      <c r="V122" s="47"/>
      <c r="W122" s="18"/>
      <c r="X122" s="46"/>
      <c r="Y122" s="9"/>
      <c r="Z122" s="46"/>
      <c r="AA122" s="7"/>
      <c r="AB122" s="46"/>
      <c r="AC122" s="47"/>
      <c r="AD122" s="7"/>
      <c r="AE122" s="47"/>
      <c r="AF122" s="18"/>
      <c r="AG122" s="26"/>
      <c r="AH122" s="34"/>
      <c r="AI122" s="34"/>
      <c r="AJ122" s="18"/>
      <c r="AK122" s="48"/>
      <c r="AL122" s="9" t="str">
        <f>IFERROR(__xludf.DUMMYFUNCTION("""COMPUTED_VALUE"""),"* DNC3O *")</f>
        <v>* DNC3O *</v>
      </c>
      <c r="AM122" s="9">
        <f>IFERROR(__xludf.DUMMYFUNCTION("""COMPUTED_VALUE"""),151500.0)</f>
        <v>151500</v>
      </c>
    </row>
    <row r="123">
      <c r="A123" s="51"/>
      <c r="B123" s="51"/>
      <c r="C123" s="52"/>
      <c r="D123" s="51"/>
      <c r="E123" s="53"/>
      <c r="F123" s="54"/>
      <c r="G123" s="51"/>
      <c r="H123" s="51"/>
      <c r="I123" s="55"/>
      <c r="J123" s="56"/>
      <c r="K123" s="46"/>
      <c r="L123" s="46"/>
      <c r="M123" s="47"/>
      <c r="N123" s="46"/>
      <c r="O123" s="57"/>
      <c r="P123" s="46"/>
      <c r="Q123" s="46"/>
      <c r="R123" s="57"/>
      <c r="S123" s="7"/>
      <c r="T123" s="54"/>
      <c r="U123" s="58"/>
      <c r="V123" s="47"/>
      <c r="W123" s="18"/>
      <c r="X123" s="46"/>
      <c r="Y123" s="9"/>
      <c r="Z123" s="46"/>
      <c r="AA123" s="7"/>
      <c r="AB123" s="46"/>
      <c r="AC123" s="47"/>
      <c r="AD123" s="7"/>
      <c r="AE123" s="47"/>
      <c r="AF123" s="18"/>
      <c r="AG123" s="26"/>
      <c r="AH123" s="34"/>
      <c r="AI123" s="34"/>
      <c r="AJ123" s="18"/>
      <c r="AK123" s="48"/>
      <c r="AL123" s="9" t="str">
        <f>IFERROR(__xludf.DUMMYFUNCTION("""COMPUTED_VALUE"""),"* DNC5D *")</f>
        <v>* DNC5D *</v>
      </c>
      <c r="AM123" s="9">
        <f>IFERROR(__xludf.DUMMYFUNCTION("""COMPUTED_VALUE"""),101.85)</f>
        <v>101.85</v>
      </c>
    </row>
    <row r="124">
      <c r="A124" s="51"/>
      <c r="B124" s="51"/>
      <c r="C124" s="52"/>
      <c r="D124" s="51"/>
      <c r="E124" s="53"/>
      <c r="F124" s="54"/>
      <c r="G124" s="51"/>
      <c r="H124" s="51"/>
      <c r="I124" s="55"/>
      <c r="J124" s="56"/>
      <c r="K124" s="46"/>
      <c r="L124" s="46"/>
      <c r="M124" s="47"/>
      <c r="N124" s="46"/>
      <c r="O124" s="57"/>
      <c r="P124" s="46"/>
      <c r="Q124" s="46"/>
      <c r="R124" s="57"/>
      <c r="S124" s="7"/>
      <c r="T124" s="54"/>
      <c r="U124" s="58"/>
      <c r="V124" s="47"/>
      <c r="W124" s="18"/>
      <c r="X124" s="46"/>
      <c r="Y124" s="9"/>
      <c r="Z124" s="46"/>
      <c r="AA124" s="7"/>
      <c r="AB124" s="46"/>
      <c r="AC124" s="47"/>
      <c r="AD124" s="7"/>
      <c r="AE124" s="47"/>
      <c r="AF124" s="18"/>
      <c r="AG124" s="26"/>
      <c r="AH124" s="34"/>
      <c r="AI124" s="34"/>
      <c r="AJ124" s="18"/>
      <c r="AK124" s="48"/>
      <c r="AL124" s="9" t="str">
        <f>IFERROR(__xludf.DUMMYFUNCTION("""COMPUTED_VALUE"""),"* DNC5O *")</f>
        <v>* DNC5O *</v>
      </c>
      <c r="AM124" s="9">
        <f>IFERROR(__xludf.DUMMYFUNCTION("""COMPUTED_VALUE"""),149100.0)</f>
        <v>149100</v>
      </c>
    </row>
    <row r="125">
      <c r="A125" s="51"/>
      <c r="B125" s="51"/>
      <c r="C125" s="52"/>
      <c r="D125" s="51"/>
      <c r="E125" s="53"/>
      <c r="F125" s="54"/>
      <c r="G125" s="51"/>
      <c r="H125" s="51"/>
      <c r="I125" s="55"/>
      <c r="J125" s="56"/>
      <c r="K125" s="46"/>
      <c r="L125" s="46"/>
      <c r="M125" s="47"/>
      <c r="N125" s="46"/>
      <c r="O125" s="57"/>
      <c r="P125" s="46"/>
      <c r="Q125" s="46"/>
      <c r="R125" s="57"/>
      <c r="S125" s="7"/>
      <c r="T125" s="54"/>
      <c r="U125" s="58"/>
      <c r="V125" s="47"/>
      <c r="W125" s="18"/>
      <c r="X125" s="46"/>
      <c r="Y125" s="9"/>
      <c r="Z125" s="46"/>
      <c r="AA125" s="7"/>
      <c r="AB125" s="46"/>
      <c r="AC125" s="47"/>
      <c r="AD125" s="7"/>
      <c r="AE125" s="47"/>
      <c r="AF125" s="18"/>
      <c r="AG125" s="26"/>
      <c r="AH125" s="34"/>
      <c r="AI125" s="34"/>
      <c r="AJ125" s="18"/>
      <c r="AK125" s="48"/>
      <c r="AL125" s="9" t="str">
        <f>IFERROR(__xludf.DUMMYFUNCTION("""COMPUTED_VALUE"""),"* DNC7D *")</f>
        <v>* DNC7D *</v>
      </c>
      <c r="AM125" s="9">
        <f>IFERROR(__xludf.DUMMYFUNCTION("""COMPUTED_VALUE"""),102.0)</f>
        <v>102</v>
      </c>
    </row>
    <row r="126">
      <c r="A126" s="51"/>
      <c r="B126" s="51"/>
      <c r="C126" s="52"/>
      <c r="D126" s="51"/>
      <c r="E126" s="53"/>
      <c r="F126" s="54"/>
      <c r="G126" s="51"/>
      <c r="H126" s="51"/>
      <c r="I126" s="55"/>
      <c r="J126" s="56"/>
      <c r="K126" s="46"/>
      <c r="L126" s="46"/>
      <c r="M126" s="47"/>
      <c r="N126" s="46"/>
      <c r="O126" s="57"/>
      <c r="P126" s="46"/>
      <c r="Q126" s="46"/>
      <c r="R126" s="57"/>
      <c r="S126" s="7"/>
      <c r="T126" s="54"/>
      <c r="U126" s="58"/>
      <c r="V126" s="47"/>
      <c r="W126" s="18"/>
      <c r="X126" s="46"/>
      <c r="Y126" s="9"/>
      <c r="Z126" s="46"/>
      <c r="AA126" s="7"/>
      <c r="AB126" s="46"/>
      <c r="AC126" s="47"/>
      <c r="AD126" s="7"/>
      <c r="AE126" s="47"/>
      <c r="AF126" s="18"/>
      <c r="AG126" s="26"/>
      <c r="AH126" s="34"/>
      <c r="AI126" s="34"/>
      <c r="AJ126" s="18"/>
      <c r="AK126" s="48"/>
      <c r="AL126" s="9" t="str">
        <f>IFERROR(__xludf.DUMMYFUNCTION("""COMPUTED_VALUE"""),"* DNC7O *")</f>
        <v>* DNC7O *</v>
      </c>
      <c r="AM126" s="9">
        <f>IFERROR(__xludf.DUMMYFUNCTION("""COMPUTED_VALUE"""),150390.0)</f>
        <v>150390</v>
      </c>
    </row>
    <row r="127">
      <c r="A127" s="51"/>
      <c r="B127" s="51"/>
      <c r="C127" s="52"/>
      <c r="D127" s="51"/>
      <c r="E127" s="53"/>
      <c r="F127" s="54"/>
      <c r="G127" s="51"/>
      <c r="H127" s="51"/>
      <c r="I127" s="55"/>
      <c r="J127" s="56"/>
      <c r="K127" s="46"/>
      <c r="L127" s="46"/>
      <c r="M127" s="47"/>
      <c r="N127" s="46"/>
      <c r="O127" s="57"/>
      <c r="P127" s="46"/>
      <c r="Q127" s="46"/>
      <c r="R127" s="57"/>
      <c r="S127" s="7"/>
      <c r="T127" s="54"/>
      <c r="U127" s="58"/>
      <c r="V127" s="47"/>
      <c r="W127" s="18"/>
      <c r="X127" s="46"/>
      <c r="Y127" s="9"/>
      <c r="Z127" s="46"/>
      <c r="AA127" s="7"/>
      <c r="AB127" s="46"/>
      <c r="AC127" s="47"/>
      <c r="AD127" s="7"/>
      <c r="AE127" s="47"/>
      <c r="AF127" s="18"/>
      <c r="AG127" s="26"/>
      <c r="AH127" s="34"/>
      <c r="AI127" s="34"/>
      <c r="AJ127" s="18"/>
      <c r="AK127" s="48"/>
      <c r="AL127" s="9" t="str">
        <f>IFERROR(__xludf.DUMMYFUNCTION("""COMPUTED_VALUE"""),"* DNC8C *")</f>
        <v>* DNC8C *</v>
      </c>
      <c r="AM127" s="9">
        <f>IFERROR(__xludf.DUMMYFUNCTION("""COMPUTED_VALUE"""),101.0)</f>
        <v>101</v>
      </c>
    </row>
    <row r="128">
      <c r="A128" s="51"/>
      <c r="B128" s="51"/>
      <c r="C128" s="52"/>
      <c r="D128" s="51"/>
      <c r="E128" s="53"/>
      <c r="F128" s="54"/>
      <c r="G128" s="51"/>
      <c r="H128" s="51"/>
      <c r="I128" s="55"/>
      <c r="J128" s="56"/>
      <c r="K128" s="46"/>
      <c r="L128" s="46"/>
      <c r="M128" s="47"/>
      <c r="N128" s="46"/>
      <c r="O128" s="57"/>
      <c r="P128" s="46"/>
      <c r="Q128" s="46"/>
      <c r="R128" s="57"/>
      <c r="S128" s="7"/>
      <c r="T128" s="54"/>
      <c r="U128" s="58"/>
      <c r="V128" s="47"/>
      <c r="W128" s="18"/>
      <c r="X128" s="46"/>
      <c r="Y128" s="9"/>
      <c r="Z128" s="46"/>
      <c r="AA128" s="7"/>
      <c r="AB128" s="46"/>
      <c r="AC128" s="47"/>
      <c r="AD128" s="7"/>
      <c r="AE128" s="47"/>
      <c r="AF128" s="18"/>
      <c r="AG128" s="26"/>
      <c r="AH128" s="34"/>
      <c r="AI128" s="34"/>
      <c r="AJ128" s="18"/>
      <c r="AK128" s="48"/>
      <c r="AL128" s="9" t="str">
        <f>IFERROR(__xludf.DUMMYFUNCTION("""COMPUTED_VALUE"""),"* DNC8D *")</f>
        <v>* DNC8D *</v>
      </c>
      <c r="AM128" s="9">
        <f>IFERROR(__xludf.DUMMYFUNCTION("""COMPUTED_VALUE"""),102.95)</f>
        <v>102.95</v>
      </c>
    </row>
    <row r="129">
      <c r="A129" s="51"/>
      <c r="B129" s="51"/>
      <c r="C129" s="52"/>
      <c r="D129" s="51"/>
      <c r="E129" s="53"/>
      <c r="F129" s="54"/>
      <c r="G129" s="51"/>
      <c r="H129" s="51"/>
      <c r="I129" s="55"/>
      <c r="J129" s="56"/>
      <c r="K129" s="46"/>
      <c r="L129" s="46"/>
      <c r="M129" s="47"/>
      <c r="N129" s="46"/>
      <c r="O129" s="57"/>
      <c r="P129" s="46"/>
      <c r="Q129" s="46"/>
      <c r="R129" s="57"/>
      <c r="S129" s="7"/>
      <c r="T129" s="54"/>
      <c r="U129" s="58"/>
      <c r="V129" s="47"/>
      <c r="W129" s="18"/>
      <c r="X129" s="46"/>
      <c r="Y129" s="9"/>
      <c r="Z129" s="46"/>
      <c r="AA129" s="7"/>
      <c r="AB129" s="46"/>
      <c r="AC129" s="47"/>
      <c r="AD129" s="7"/>
      <c r="AE129" s="47"/>
      <c r="AF129" s="18"/>
      <c r="AG129" s="26"/>
      <c r="AH129" s="34"/>
      <c r="AI129" s="34"/>
      <c r="AJ129" s="18"/>
      <c r="AK129" s="48"/>
      <c r="AL129" s="9" t="str">
        <f>IFERROR(__xludf.DUMMYFUNCTION("""COMPUTED_VALUE"""),"* DNC8O *")</f>
        <v>* DNC8O *</v>
      </c>
      <c r="AM129" s="9">
        <f>IFERROR(__xludf.DUMMYFUNCTION("""COMPUTED_VALUE"""),150000.0)</f>
        <v>150000</v>
      </c>
    </row>
    <row r="130">
      <c r="A130" s="51"/>
      <c r="B130" s="51"/>
      <c r="C130" s="52"/>
      <c r="D130" s="51"/>
      <c r="E130" s="53"/>
      <c r="F130" s="54"/>
      <c r="G130" s="51"/>
      <c r="H130" s="51"/>
      <c r="I130" s="55"/>
      <c r="J130" s="56"/>
      <c r="K130" s="46"/>
      <c r="L130" s="46"/>
      <c r="M130" s="47"/>
      <c r="N130" s="46"/>
      <c r="O130" s="57"/>
      <c r="P130" s="46"/>
      <c r="Q130" s="46"/>
      <c r="R130" s="57"/>
      <c r="S130" s="7"/>
      <c r="T130" s="54"/>
      <c r="U130" s="58"/>
      <c r="V130" s="47"/>
      <c r="W130" s="18"/>
      <c r="X130" s="46"/>
      <c r="Y130" s="9"/>
      <c r="Z130" s="46"/>
      <c r="AA130" s="7"/>
      <c r="AB130" s="46"/>
      <c r="AC130" s="47"/>
      <c r="AD130" s="7"/>
      <c r="AE130" s="47"/>
      <c r="AF130" s="18"/>
      <c r="AG130" s="26"/>
      <c r="AH130" s="34"/>
      <c r="AI130" s="34"/>
      <c r="AJ130" s="18"/>
      <c r="AK130" s="48"/>
      <c r="AL130" s="9" t="str">
        <f>IFERROR(__xludf.DUMMYFUNCTION("""COMPUTED_VALUE"""),"* DNC9O *")</f>
        <v>* DNC9O *</v>
      </c>
      <c r="AM130" s="9">
        <f>IFERROR(__xludf.DUMMYFUNCTION("""COMPUTED_VALUE"""),100.75)</f>
        <v>100.75</v>
      </c>
    </row>
    <row r="131">
      <c r="A131" s="51"/>
      <c r="B131" s="51"/>
      <c r="C131" s="52"/>
      <c r="D131" s="51"/>
      <c r="E131" s="53"/>
      <c r="F131" s="54"/>
      <c r="G131" s="51"/>
      <c r="H131" s="51"/>
      <c r="I131" s="55"/>
      <c r="J131" s="56"/>
      <c r="K131" s="46"/>
      <c r="L131" s="46"/>
      <c r="M131" s="47"/>
      <c r="N131" s="46"/>
      <c r="O131" s="57"/>
      <c r="P131" s="46"/>
      <c r="Q131" s="46"/>
      <c r="R131" s="57"/>
      <c r="S131" s="7"/>
      <c r="T131" s="54"/>
      <c r="U131" s="58"/>
      <c r="V131" s="47"/>
      <c r="W131" s="18"/>
      <c r="X131" s="46"/>
      <c r="Y131" s="9"/>
      <c r="Z131" s="46"/>
      <c r="AA131" s="7"/>
      <c r="AB131" s="46"/>
      <c r="AC131" s="47"/>
      <c r="AD131" s="7"/>
      <c r="AE131" s="47"/>
      <c r="AF131" s="18"/>
      <c r="AG131" s="26"/>
      <c r="AH131" s="34"/>
      <c r="AI131" s="34"/>
      <c r="AJ131" s="18"/>
      <c r="AK131" s="48"/>
      <c r="AL131" s="9" t="str">
        <f>IFERROR(__xludf.DUMMYFUNCTION("""COMPUTED_VALUE"""),"* EAC1O *")</f>
        <v>* EAC1O *</v>
      </c>
      <c r="AM131" s="9">
        <f>IFERROR(__xludf.DUMMYFUNCTION("""COMPUTED_VALUE"""),124000.0)</f>
        <v>124000</v>
      </c>
    </row>
    <row r="132">
      <c r="A132" s="51"/>
      <c r="B132" s="51"/>
      <c r="C132" s="52"/>
      <c r="D132" s="51"/>
      <c r="E132" s="53"/>
      <c r="F132" s="54"/>
      <c r="G132" s="51"/>
      <c r="H132" s="51"/>
      <c r="I132" s="55"/>
      <c r="J132" s="56"/>
      <c r="K132" s="46"/>
      <c r="L132" s="46"/>
      <c r="M132" s="47"/>
      <c r="N132" s="46"/>
      <c r="O132" s="57"/>
      <c r="P132" s="46"/>
      <c r="Q132" s="46"/>
      <c r="R132" s="57"/>
      <c r="S132" s="7"/>
      <c r="T132" s="54"/>
      <c r="U132" s="58"/>
      <c r="V132" s="47"/>
      <c r="W132" s="18"/>
      <c r="X132" s="46"/>
      <c r="Y132" s="9"/>
      <c r="Z132" s="46"/>
      <c r="AA132" s="7"/>
      <c r="AB132" s="46"/>
      <c r="AC132" s="47"/>
      <c r="AD132" s="7"/>
      <c r="AE132" s="47"/>
      <c r="AF132" s="18"/>
      <c r="AG132" s="26"/>
      <c r="AH132" s="34"/>
      <c r="AI132" s="34"/>
      <c r="AJ132" s="18"/>
      <c r="AK132" s="48"/>
      <c r="AL132" s="9" t="str">
        <f>IFERROR(__xludf.DUMMYFUNCTION("""COMPUTED_VALUE"""),"* EAC3D *")</f>
        <v>* EAC3D *</v>
      </c>
      <c r="AM132" s="9">
        <f>IFERROR(__xludf.DUMMYFUNCTION("""COMPUTED_VALUE"""),89.0)</f>
        <v>89</v>
      </c>
    </row>
    <row r="133">
      <c r="A133" s="51"/>
      <c r="B133" s="51"/>
      <c r="C133" s="52"/>
      <c r="D133" s="51"/>
      <c r="E133" s="53"/>
      <c r="F133" s="54"/>
      <c r="G133" s="51"/>
      <c r="H133" s="51"/>
      <c r="I133" s="55"/>
      <c r="J133" s="56"/>
      <c r="K133" s="46"/>
      <c r="L133" s="46"/>
      <c r="M133" s="47"/>
      <c r="N133" s="46"/>
      <c r="O133" s="57"/>
      <c r="P133" s="46"/>
      <c r="Q133" s="46"/>
      <c r="R133" s="57"/>
      <c r="S133" s="7"/>
      <c r="T133" s="54"/>
      <c r="U133" s="58"/>
      <c r="V133" s="47"/>
      <c r="W133" s="18"/>
      <c r="X133" s="46"/>
      <c r="Y133" s="9"/>
      <c r="Z133" s="46"/>
      <c r="AA133" s="7"/>
      <c r="AB133" s="46"/>
      <c r="AC133" s="47"/>
      <c r="AD133" s="7"/>
      <c r="AE133" s="47"/>
      <c r="AF133" s="18"/>
      <c r="AG133" s="26"/>
      <c r="AH133" s="34"/>
      <c r="AI133" s="34"/>
      <c r="AJ133" s="18"/>
      <c r="AK133" s="48"/>
      <c r="AL133" s="9" t="str">
        <f>IFERROR(__xludf.DUMMYFUNCTION("""COMPUTED_VALUE"""),"* EAC3O *")</f>
        <v>* EAC3O *</v>
      </c>
      <c r="AM133" s="9">
        <f>IFERROR(__xludf.DUMMYFUNCTION("""COMPUTED_VALUE"""),133000.0)</f>
        <v>133000</v>
      </c>
    </row>
    <row r="134">
      <c r="A134" s="51"/>
      <c r="B134" s="51"/>
      <c r="C134" s="52"/>
      <c r="D134" s="51"/>
      <c r="E134" s="53"/>
      <c r="F134" s="54"/>
      <c r="G134" s="51"/>
      <c r="H134" s="51"/>
      <c r="I134" s="55"/>
      <c r="J134" s="56"/>
      <c r="K134" s="46"/>
      <c r="L134" s="46"/>
      <c r="M134" s="47"/>
      <c r="N134" s="46"/>
      <c r="O134" s="57"/>
      <c r="P134" s="46"/>
      <c r="Q134" s="46"/>
      <c r="R134" s="57"/>
      <c r="S134" s="7"/>
      <c r="T134" s="54"/>
      <c r="U134" s="58"/>
      <c r="V134" s="47"/>
      <c r="W134" s="18"/>
      <c r="X134" s="46"/>
      <c r="Y134" s="9"/>
      <c r="Z134" s="46"/>
      <c r="AA134" s="7"/>
      <c r="AB134" s="46"/>
      <c r="AC134" s="47"/>
      <c r="AD134" s="7"/>
      <c r="AE134" s="47"/>
      <c r="AF134" s="18"/>
      <c r="AG134" s="26"/>
      <c r="AH134" s="34"/>
      <c r="AI134" s="34"/>
      <c r="AJ134" s="18"/>
      <c r="AK134" s="48"/>
      <c r="AL134" s="9" t="str">
        <f>IFERROR(__xludf.DUMMYFUNCTION("""COMPUTED_VALUE"""),"* EMC1C *")</f>
        <v>* EMC1C *</v>
      </c>
      <c r="AM134" s="9">
        <f>IFERROR(__xludf.DUMMYFUNCTION("""COMPUTED_VALUE"""),102.5)</f>
        <v>102.5</v>
      </c>
    </row>
    <row r="135">
      <c r="A135" s="51"/>
      <c r="B135" s="51"/>
      <c r="C135" s="52"/>
      <c r="D135" s="51"/>
      <c r="E135" s="53"/>
      <c r="F135" s="54"/>
      <c r="G135" s="51"/>
      <c r="H135" s="51"/>
      <c r="I135" s="55"/>
      <c r="J135" s="56"/>
      <c r="K135" s="46"/>
      <c r="L135" s="46"/>
      <c r="M135" s="47"/>
      <c r="N135" s="46"/>
      <c r="O135" s="57"/>
      <c r="P135" s="46"/>
      <c r="Q135" s="46"/>
      <c r="R135" s="57"/>
      <c r="S135" s="7"/>
      <c r="T135" s="54"/>
      <c r="U135" s="58"/>
      <c r="V135" s="47"/>
      <c r="W135" s="18"/>
      <c r="X135" s="46"/>
      <c r="Y135" s="9"/>
      <c r="Z135" s="46"/>
      <c r="AA135" s="7"/>
      <c r="AB135" s="46"/>
      <c r="AC135" s="47"/>
      <c r="AD135" s="7"/>
      <c r="AE135" s="47"/>
      <c r="AF135" s="18"/>
      <c r="AG135" s="26"/>
      <c r="AH135" s="34"/>
      <c r="AI135" s="34"/>
      <c r="AJ135" s="18"/>
      <c r="AK135" s="48"/>
      <c r="AL135" s="9" t="str">
        <f>IFERROR(__xludf.DUMMYFUNCTION("""COMPUTED_VALUE"""),"* EMC1D *")</f>
        <v>* EMC1D *</v>
      </c>
      <c r="AM135" s="9">
        <f>IFERROR(__xludf.DUMMYFUNCTION("""COMPUTED_VALUE"""),102.75)</f>
        <v>102.75</v>
      </c>
    </row>
    <row r="136">
      <c r="A136" s="51"/>
      <c r="B136" s="51"/>
      <c r="C136" s="52"/>
      <c r="D136" s="51"/>
      <c r="E136" s="53"/>
      <c r="F136" s="54"/>
      <c r="G136" s="51"/>
      <c r="H136" s="51"/>
      <c r="I136" s="55"/>
      <c r="J136" s="56"/>
      <c r="K136" s="46"/>
      <c r="L136" s="46"/>
      <c r="M136" s="47"/>
      <c r="N136" s="46"/>
      <c r="O136" s="57"/>
      <c r="P136" s="46"/>
      <c r="Q136" s="46"/>
      <c r="R136" s="57"/>
      <c r="S136" s="7"/>
      <c r="T136" s="54"/>
      <c r="U136" s="58"/>
      <c r="V136" s="47"/>
      <c r="W136" s="18"/>
      <c r="X136" s="46"/>
      <c r="Y136" s="9"/>
      <c r="Z136" s="46"/>
      <c r="AA136" s="7"/>
      <c r="AB136" s="46"/>
      <c r="AC136" s="47"/>
      <c r="AD136" s="7"/>
      <c r="AE136" s="47"/>
      <c r="AF136" s="18"/>
      <c r="AG136" s="26"/>
      <c r="AH136" s="34"/>
      <c r="AI136" s="34"/>
      <c r="AJ136" s="18"/>
      <c r="AK136" s="48"/>
      <c r="AL136" s="9" t="str">
        <f>IFERROR(__xludf.DUMMYFUNCTION("""COMPUTED_VALUE"""),"* EMC1O *")</f>
        <v>* EMC1O *</v>
      </c>
      <c r="AM136" s="9">
        <f>IFERROR(__xludf.DUMMYFUNCTION("""COMPUTED_VALUE"""),152000.0)</f>
        <v>152000</v>
      </c>
    </row>
    <row r="137">
      <c r="A137" s="51"/>
      <c r="B137" s="51"/>
      <c r="C137" s="52"/>
      <c r="D137" s="51"/>
      <c r="E137" s="53"/>
      <c r="F137" s="54"/>
      <c r="G137" s="51"/>
      <c r="H137" s="51"/>
      <c r="I137" s="55"/>
      <c r="J137" s="56"/>
      <c r="K137" s="46"/>
      <c r="L137" s="46"/>
      <c r="M137" s="47"/>
      <c r="N137" s="46"/>
      <c r="O137" s="57"/>
      <c r="P137" s="46"/>
      <c r="Q137" s="46"/>
      <c r="R137" s="57"/>
      <c r="S137" s="7"/>
      <c r="T137" s="54"/>
      <c r="U137" s="58"/>
      <c r="V137" s="47"/>
      <c r="W137" s="18"/>
      <c r="X137" s="46"/>
      <c r="Y137" s="9"/>
      <c r="Z137" s="46"/>
      <c r="AA137" s="7"/>
      <c r="AB137" s="46"/>
      <c r="AC137" s="47"/>
      <c r="AD137" s="7"/>
      <c r="AE137" s="47"/>
      <c r="AF137" s="18"/>
      <c r="AG137" s="26"/>
      <c r="AH137" s="34"/>
      <c r="AI137" s="34"/>
      <c r="AJ137" s="18"/>
      <c r="AK137" s="48"/>
      <c r="AL137" s="9" t="str">
        <f>IFERROR(__xludf.DUMMYFUNCTION("""COMPUTED_VALUE"""),"* FOS2O *")</f>
        <v>* FOS2O *</v>
      </c>
      <c r="AM137" s="9">
        <f>IFERROR(__xludf.DUMMYFUNCTION("""COMPUTED_VALUE"""),113000.0)</f>
        <v>113000</v>
      </c>
    </row>
    <row r="138">
      <c r="A138" s="51"/>
      <c r="B138" s="51"/>
      <c r="C138" s="52"/>
      <c r="D138" s="51"/>
      <c r="E138" s="53"/>
      <c r="F138" s="54"/>
      <c r="G138" s="51"/>
      <c r="H138" s="51"/>
      <c r="I138" s="55"/>
      <c r="J138" s="56"/>
      <c r="K138" s="46"/>
      <c r="L138" s="46"/>
      <c r="M138" s="47"/>
      <c r="N138" s="46"/>
      <c r="O138" s="57"/>
      <c r="P138" s="46"/>
      <c r="Q138" s="46"/>
      <c r="R138" s="57"/>
      <c r="S138" s="7"/>
      <c r="T138" s="54"/>
      <c r="U138" s="58"/>
      <c r="V138" s="47"/>
      <c r="W138" s="18"/>
      <c r="X138" s="46"/>
      <c r="Y138" s="9"/>
      <c r="Z138" s="46"/>
      <c r="AA138" s="7"/>
      <c r="AB138" s="46"/>
      <c r="AC138" s="47"/>
      <c r="AD138" s="7"/>
      <c r="AE138" s="47"/>
      <c r="AF138" s="18"/>
      <c r="AG138" s="26"/>
      <c r="AH138" s="34"/>
      <c r="AI138" s="34"/>
      <c r="AJ138" s="18"/>
      <c r="AK138" s="48"/>
      <c r="AL138" s="9" t="str">
        <f>IFERROR(__xludf.DUMMYFUNCTION("""COMPUTED_VALUE"""),"* FPC1O *")</f>
        <v>* FPC1O *</v>
      </c>
      <c r="AM138" s="9">
        <f>IFERROR(__xludf.DUMMYFUNCTION("""COMPUTED_VALUE"""),142000.0)</f>
        <v>142000</v>
      </c>
    </row>
    <row r="139">
      <c r="A139" s="51"/>
      <c r="B139" s="51"/>
      <c r="C139" s="52"/>
      <c r="D139" s="51"/>
      <c r="E139" s="53"/>
      <c r="F139" s="54"/>
      <c r="G139" s="51"/>
      <c r="H139" s="51"/>
      <c r="I139" s="55"/>
      <c r="J139" s="56"/>
      <c r="K139" s="46"/>
      <c r="L139" s="46"/>
      <c r="M139" s="47"/>
      <c r="N139" s="46"/>
      <c r="O139" s="57"/>
      <c r="P139" s="46"/>
      <c r="Q139" s="46"/>
      <c r="R139" s="57"/>
      <c r="S139" s="7"/>
      <c r="T139" s="54"/>
      <c r="U139" s="58"/>
      <c r="V139" s="47"/>
      <c r="W139" s="18"/>
      <c r="X139" s="46"/>
      <c r="Y139" s="9"/>
      <c r="Z139" s="46"/>
      <c r="AA139" s="7"/>
      <c r="AB139" s="46"/>
      <c r="AC139" s="47"/>
      <c r="AD139" s="7"/>
      <c r="AE139" s="47"/>
      <c r="AF139" s="18"/>
      <c r="AG139" s="26"/>
      <c r="AH139" s="34"/>
      <c r="AI139" s="34"/>
      <c r="AJ139" s="18"/>
      <c r="AK139" s="48"/>
      <c r="AL139" s="9" t="str">
        <f>IFERROR(__xludf.DUMMYFUNCTION("""COMPUTED_VALUE"""),"* GN37O *")</f>
        <v>* GN37O *</v>
      </c>
      <c r="AM139" s="9">
        <f>IFERROR(__xludf.DUMMYFUNCTION("""COMPUTED_VALUE"""),100050.0)</f>
        <v>100050</v>
      </c>
    </row>
    <row r="140">
      <c r="A140" s="51"/>
      <c r="B140" s="51"/>
      <c r="C140" s="52"/>
      <c r="D140" s="51"/>
      <c r="E140" s="53"/>
      <c r="F140" s="54"/>
      <c r="G140" s="51"/>
      <c r="H140" s="51"/>
      <c r="I140" s="55"/>
      <c r="J140" s="56"/>
      <c r="K140" s="46"/>
      <c r="L140" s="46"/>
      <c r="M140" s="47"/>
      <c r="N140" s="46"/>
      <c r="O140" s="57"/>
      <c r="P140" s="46"/>
      <c r="Q140" s="46"/>
      <c r="R140" s="57"/>
      <c r="S140" s="7"/>
      <c r="T140" s="54"/>
      <c r="U140" s="58"/>
      <c r="V140" s="47"/>
      <c r="W140" s="18"/>
      <c r="X140" s="46"/>
      <c r="Y140" s="9"/>
      <c r="Z140" s="46"/>
      <c r="AA140" s="7"/>
      <c r="AB140" s="46"/>
      <c r="AC140" s="47"/>
      <c r="AD140" s="7"/>
      <c r="AE140" s="47"/>
      <c r="AF140" s="18"/>
      <c r="AG140" s="26"/>
      <c r="AH140" s="34"/>
      <c r="AI140" s="34"/>
      <c r="AJ140" s="18"/>
      <c r="AK140" s="48"/>
      <c r="AL140" s="9" t="str">
        <f>IFERROR(__xludf.DUMMYFUNCTION("""COMPUTED_VALUE"""),"* GN43D *")</f>
        <v>* GN43D *</v>
      </c>
      <c r="AM140" s="9">
        <f>IFERROR(__xludf.DUMMYFUNCTION("""COMPUTED_VALUE"""),100.5)</f>
        <v>100.5</v>
      </c>
    </row>
    <row r="141">
      <c r="A141" s="51"/>
      <c r="B141" s="51"/>
      <c r="C141" s="52"/>
      <c r="D141" s="51"/>
      <c r="E141" s="53"/>
      <c r="F141" s="54"/>
      <c r="G141" s="51"/>
      <c r="H141" s="51"/>
      <c r="I141" s="55"/>
      <c r="J141" s="56"/>
      <c r="K141" s="46"/>
      <c r="L141" s="46"/>
      <c r="M141" s="47"/>
      <c r="N141" s="46"/>
      <c r="O141" s="57"/>
      <c r="P141" s="46"/>
      <c r="Q141" s="46"/>
      <c r="R141" s="57"/>
      <c r="S141" s="7"/>
      <c r="T141" s="54"/>
      <c r="U141" s="58"/>
      <c r="V141" s="47"/>
      <c r="W141" s="18"/>
      <c r="X141" s="46"/>
      <c r="Y141" s="9"/>
      <c r="Z141" s="46"/>
      <c r="AA141" s="7"/>
      <c r="AB141" s="46"/>
      <c r="AC141" s="47"/>
      <c r="AD141" s="7"/>
      <c r="AE141" s="47"/>
      <c r="AF141" s="18"/>
      <c r="AG141" s="26"/>
      <c r="AH141" s="34"/>
      <c r="AI141" s="34"/>
      <c r="AJ141" s="18"/>
      <c r="AK141" s="48"/>
      <c r="AL141" s="9" t="str">
        <f>IFERROR(__xludf.DUMMYFUNCTION("""COMPUTED_VALUE"""),"* GN43O *")</f>
        <v>* GN43O *</v>
      </c>
      <c r="AM141" s="9">
        <f>IFERROR(__xludf.DUMMYFUNCTION("""COMPUTED_VALUE"""),145400.0)</f>
        <v>145400</v>
      </c>
    </row>
    <row r="142">
      <c r="A142" s="51"/>
      <c r="B142" s="51"/>
      <c r="C142" s="52"/>
      <c r="D142" s="51"/>
      <c r="E142" s="53"/>
      <c r="F142" s="54"/>
      <c r="G142" s="51"/>
      <c r="H142" s="51"/>
      <c r="I142" s="55"/>
      <c r="J142" s="56"/>
      <c r="K142" s="46"/>
      <c r="L142" s="46"/>
      <c r="M142" s="47"/>
      <c r="N142" s="46"/>
      <c r="O142" s="57"/>
      <c r="P142" s="46"/>
      <c r="Q142" s="46"/>
      <c r="R142" s="57"/>
      <c r="S142" s="7"/>
      <c r="T142" s="54"/>
      <c r="U142" s="58"/>
      <c r="V142" s="47"/>
      <c r="W142" s="18"/>
      <c r="X142" s="46"/>
      <c r="Y142" s="9"/>
      <c r="Z142" s="46"/>
      <c r="AA142" s="7"/>
      <c r="AB142" s="46"/>
      <c r="AC142" s="47"/>
      <c r="AD142" s="7"/>
      <c r="AE142" s="47"/>
      <c r="AF142" s="18"/>
      <c r="AG142" s="26"/>
      <c r="AH142" s="34"/>
      <c r="AI142" s="34"/>
      <c r="AJ142" s="18"/>
      <c r="AK142" s="48"/>
      <c r="AL142" s="9" t="str">
        <f>IFERROR(__xludf.DUMMYFUNCTION("""COMPUTED_VALUE"""),"* GN44D *")</f>
        <v>* GN44D *</v>
      </c>
      <c r="AM142" s="9">
        <f>IFERROR(__xludf.DUMMYFUNCTION("""COMPUTED_VALUE"""),100.0)</f>
        <v>100</v>
      </c>
    </row>
    <row r="143">
      <c r="A143" s="51"/>
      <c r="B143" s="51"/>
      <c r="C143" s="52"/>
      <c r="D143" s="51"/>
      <c r="E143" s="53"/>
      <c r="F143" s="54"/>
      <c r="G143" s="51"/>
      <c r="H143" s="51"/>
      <c r="I143" s="55"/>
      <c r="J143" s="56"/>
      <c r="K143" s="46"/>
      <c r="L143" s="46"/>
      <c r="M143" s="47"/>
      <c r="N143" s="46"/>
      <c r="O143" s="57"/>
      <c r="P143" s="46"/>
      <c r="Q143" s="46"/>
      <c r="R143" s="57"/>
      <c r="S143" s="7"/>
      <c r="T143" s="54"/>
      <c r="U143" s="58"/>
      <c r="V143" s="47"/>
      <c r="W143" s="18"/>
      <c r="X143" s="46"/>
      <c r="Y143" s="9"/>
      <c r="Z143" s="46"/>
      <c r="AA143" s="7"/>
      <c r="AB143" s="46"/>
      <c r="AC143" s="47"/>
      <c r="AD143" s="7"/>
      <c r="AE143" s="47"/>
      <c r="AF143" s="18"/>
      <c r="AG143" s="26"/>
      <c r="AH143" s="34"/>
      <c r="AI143" s="34"/>
      <c r="AJ143" s="18"/>
      <c r="AK143" s="48"/>
      <c r="AL143" s="9" t="str">
        <f>IFERROR(__xludf.DUMMYFUNCTION("""COMPUTED_VALUE"""),"* GN44O *")</f>
        <v>* GN44O *</v>
      </c>
      <c r="AM143" s="9">
        <f>IFERROR(__xludf.DUMMYFUNCTION("""COMPUTED_VALUE"""),123300.0)</f>
        <v>123300</v>
      </c>
    </row>
    <row r="144">
      <c r="A144" s="51"/>
      <c r="B144" s="51"/>
      <c r="C144" s="52"/>
      <c r="D144" s="51"/>
      <c r="E144" s="53"/>
      <c r="F144" s="54"/>
      <c r="G144" s="51"/>
      <c r="H144" s="51"/>
      <c r="I144" s="55"/>
      <c r="J144" s="56"/>
      <c r="K144" s="46"/>
      <c r="L144" s="46"/>
      <c r="M144" s="47"/>
      <c r="N144" s="46"/>
      <c r="O144" s="57"/>
      <c r="P144" s="46"/>
      <c r="Q144" s="46"/>
      <c r="R144" s="57"/>
      <c r="S144" s="7"/>
      <c r="T144" s="54"/>
      <c r="U144" s="58"/>
      <c r="V144" s="47"/>
      <c r="W144" s="18"/>
      <c r="X144" s="46"/>
      <c r="Y144" s="9"/>
      <c r="Z144" s="46"/>
      <c r="AA144" s="7"/>
      <c r="AB144" s="46"/>
      <c r="AC144" s="47"/>
      <c r="AD144" s="7"/>
      <c r="AE144" s="47"/>
      <c r="AF144" s="18"/>
      <c r="AG144" s="26"/>
      <c r="AH144" s="34"/>
      <c r="AI144" s="34"/>
      <c r="AJ144" s="18"/>
      <c r="AK144" s="48"/>
      <c r="AL144" s="9" t="str">
        <f>IFERROR(__xludf.DUMMYFUNCTION("""COMPUTED_VALUE"""),"* GN47D *")</f>
        <v>* GN47D *</v>
      </c>
      <c r="AM144" s="9">
        <f>IFERROR(__xludf.DUMMYFUNCTION("""COMPUTED_VALUE"""),96.01)</f>
        <v>96.01</v>
      </c>
    </row>
    <row r="145">
      <c r="A145" s="51"/>
      <c r="B145" s="51"/>
      <c r="C145" s="52"/>
      <c r="D145" s="51"/>
      <c r="E145" s="53"/>
      <c r="F145" s="54"/>
      <c r="G145" s="51"/>
      <c r="H145" s="51"/>
      <c r="I145" s="55"/>
      <c r="J145" s="56"/>
      <c r="K145" s="46"/>
      <c r="L145" s="46"/>
      <c r="M145" s="47"/>
      <c r="N145" s="46"/>
      <c r="O145" s="57"/>
      <c r="P145" s="46"/>
      <c r="Q145" s="46"/>
      <c r="R145" s="57"/>
      <c r="S145" s="7"/>
      <c r="T145" s="54"/>
      <c r="U145" s="58"/>
      <c r="V145" s="47"/>
      <c r="W145" s="18"/>
      <c r="X145" s="46"/>
      <c r="Y145" s="9"/>
      <c r="Z145" s="46"/>
      <c r="AA145" s="7"/>
      <c r="AB145" s="46"/>
      <c r="AC145" s="47"/>
      <c r="AD145" s="7"/>
      <c r="AE145" s="47"/>
      <c r="AF145" s="18"/>
      <c r="AG145" s="26"/>
      <c r="AH145" s="34"/>
      <c r="AI145" s="34"/>
      <c r="AJ145" s="18"/>
      <c r="AK145" s="48"/>
      <c r="AL145" s="9" t="str">
        <f>IFERROR(__xludf.DUMMYFUNCTION("""COMPUTED_VALUE"""),"* GN47O *")</f>
        <v>* GN47O *</v>
      </c>
      <c r="AM145" s="9">
        <f>IFERROR(__xludf.DUMMYFUNCTION("""COMPUTED_VALUE"""),140050.0)</f>
        <v>140050</v>
      </c>
    </row>
    <row r="146">
      <c r="A146" s="51"/>
      <c r="B146" s="51"/>
      <c r="C146" s="52"/>
      <c r="D146" s="51"/>
      <c r="E146" s="53"/>
      <c r="F146" s="54"/>
      <c r="G146" s="51"/>
      <c r="H146" s="51"/>
      <c r="I146" s="55"/>
      <c r="J146" s="56"/>
      <c r="K146" s="46"/>
      <c r="L146" s="46"/>
      <c r="M146" s="47"/>
      <c r="N146" s="46"/>
      <c r="O146" s="57"/>
      <c r="P146" s="46"/>
      <c r="Q146" s="46"/>
      <c r="R146" s="57"/>
      <c r="S146" s="7"/>
      <c r="T146" s="54"/>
      <c r="U146" s="58"/>
      <c r="V146" s="47"/>
      <c r="W146" s="18"/>
      <c r="X146" s="46"/>
      <c r="Y146" s="9"/>
      <c r="Z146" s="46"/>
      <c r="AA146" s="7"/>
      <c r="AB146" s="46"/>
      <c r="AC146" s="47"/>
      <c r="AD146" s="7"/>
      <c r="AE146" s="47"/>
      <c r="AF146" s="18"/>
      <c r="AG146" s="26"/>
      <c r="AH146" s="34"/>
      <c r="AI146" s="34"/>
      <c r="AJ146" s="18"/>
      <c r="AK146" s="48"/>
      <c r="AL146" s="9" t="str">
        <f>IFERROR(__xludf.DUMMYFUNCTION("""COMPUTED_VALUE"""),"* GN48D *")</f>
        <v>* GN48D *</v>
      </c>
      <c r="AM146" s="9">
        <f>IFERROR(__xludf.DUMMYFUNCTION("""COMPUTED_VALUE"""),102.2)</f>
        <v>102.2</v>
      </c>
    </row>
    <row r="147">
      <c r="A147" s="51"/>
      <c r="B147" s="51"/>
      <c r="C147" s="52"/>
      <c r="D147" s="51"/>
      <c r="E147" s="53"/>
      <c r="F147" s="54"/>
      <c r="G147" s="51"/>
      <c r="H147" s="51"/>
      <c r="I147" s="55"/>
      <c r="J147" s="56"/>
      <c r="K147" s="46"/>
      <c r="L147" s="46"/>
      <c r="M147" s="47"/>
      <c r="N147" s="46"/>
      <c r="O147" s="57"/>
      <c r="P147" s="46"/>
      <c r="Q147" s="46"/>
      <c r="R147" s="57"/>
      <c r="S147" s="7"/>
      <c r="T147" s="54"/>
      <c r="U147" s="58"/>
      <c r="V147" s="47"/>
      <c r="W147" s="18"/>
      <c r="X147" s="46"/>
      <c r="Y147" s="9"/>
      <c r="Z147" s="46"/>
      <c r="AA147" s="7"/>
      <c r="AB147" s="46"/>
      <c r="AC147" s="47"/>
      <c r="AD147" s="7"/>
      <c r="AE147" s="47"/>
      <c r="AF147" s="18"/>
      <c r="AG147" s="26"/>
      <c r="AH147" s="34"/>
      <c r="AI147" s="34"/>
      <c r="AJ147" s="18"/>
      <c r="AK147" s="48"/>
      <c r="AL147" s="9" t="str">
        <f>IFERROR(__xludf.DUMMYFUNCTION("""COMPUTED_VALUE"""),"* GN48O *")</f>
        <v>* GN48O *</v>
      </c>
      <c r="AM147" s="9">
        <f>IFERROR(__xludf.DUMMYFUNCTION("""COMPUTED_VALUE"""),146700.0)</f>
        <v>146700</v>
      </c>
    </row>
    <row r="148">
      <c r="A148" s="51"/>
      <c r="B148" s="51"/>
      <c r="C148" s="52"/>
      <c r="D148" s="51"/>
      <c r="E148" s="53"/>
      <c r="F148" s="54"/>
      <c r="G148" s="51"/>
      <c r="H148" s="51"/>
      <c r="I148" s="55"/>
      <c r="J148" s="56"/>
      <c r="K148" s="46"/>
      <c r="L148" s="46"/>
      <c r="M148" s="47"/>
      <c r="N148" s="46"/>
      <c r="O148" s="57"/>
      <c r="P148" s="46"/>
      <c r="Q148" s="46"/>
      <c r="R148" s="57"/>
      <c r="S148" s="7"/>
      <c r="T148" s="54"/>
      <c r="U148" s="58"/>
      <c r="V148" s="47"/>
      <c r="W148" s="18"/>
      <c r="X148" s="46"/>
      <c r="Y148" s="9"/>
      <c r="Z148" s="46"/>
      <c r="AA148" s="7"/>
      <c r="AB148" s="46"/>
      <c r="AC148" s="47"/>
      <c r="AD148" s="7"/>
      <c r="AE148" s="47"/>
      <c r="AF148" s="18"/>
      <c r="AG148" s="26"/>
      <c r="AH148" s="34"/>
      <c r="AI148" s="34"/>
      <c r="AJ148" s="18"/>
      <c r="AK148" s="48"/>
      <c r="AL148" s="9" t="str">
        <f>IFERROR(__xludf.DUMMYFUNCTION("""COMPUTED_VALUE"""),"* GNCXD *")</f>
        <v>* GNCXD *</v>
      </c>
      <c r="AM148" s="9">
        <f>IFERROR(__xludf.DUMMYFUNCTION("""COMPUTED_VALUE"""),41.73)</f>
        <v>41.73</v>
      </c>
    </row>
    <row r="149">
      <c r="A149" s="51"/>
      <c r="B149" s="51"/>
      <c r="C149" s="52"/>
      <c r="D149" s="51"/>
      <c r="E149" s="53"/>
      <c r="F149" s="54"/>
      <c r="G149" s="51"/>
      <c r="H149" s="51"/>
      <c r="I149" s="55"/>
      <c r="J149" s="56"/>
      <c r="K149" s="46"/>
      <c r="L149" s="46"/>
      <c r="M149" s="47"/>
      <c r="N149" s="46"/>
      <c r="O149" s="57"/>
      <c r="P149" s="46"/>
      <c r="Q149" s="46"/>
      <c r="R149" s="57"/>
      <c r="S149" s="7"/>
      <c r="T149" s="54"/>
      <c r="U149" s="58"/>
      <c r="V149" s="47"/>
      <c r="W149" s="18"/>
      <c r="X149" s="46"/>
      <c r="Y149" s="9"/>
      <c r="Z149" s="46"/>
      <c r="AA149" s="7"/>
      <c r="AB149" s="46"/>
      <c r="AC149" s="47"/>
      <c r="AD149" s="7"/>
      <c r="AE149" s="47"/>
      <c r="AF149" s="18"/>
      <c r="AG149" s="26"/>
      <c r="AH149" s="34"/>
      <c r="AI149" s="34"/>
      <c r="AJ149" s="18"/>
      <c r="AK149" s="48"/>
      <c r="AL149" s="9" t="str">
        <f>IFERROR(__xludf.DUMMYFUNCTION("""COMPUTED_VALUE"""),"* GNCXO *")</f>
        <v>* GNCXO *</v>
      </c>
      <c r="AM149" s="9">
        <f>IFERROR(__xludf.DUMMYFUNCTION("""COMPUTED_VALUE"""),61190.0)</f>
        <v>61190</v>
      </c>
    </row>
    <row r="150">
      <c r="A150" s="51"/>
      <c r="B150" s="51"/>
      <c r="C150" s="52"/>
      <c r="D150" s="51"/>
      <c r="E150" s="53"/>
      <c r="F150" s="54"/>
      <c r="G150" s="51"/>
      <c r="H150" s="51"/>
      <c r="I150" s="55"/>
      <c r="J150" s="56"/>
      <c r="K150" s="46"/>
      <c r="L150" s="46"/>
      <c r="M150" s="47"/>
      <c r="N150" s="46"/>
      <c r="O150" s="57"/>
      <c r="P150" s="46"/>
      <c r="Q150" s="46"/>
      <c r="R150" s="57"/>
      <c r="S150" s="7"/>
      <c r="T150" s="54"/>
      <c r="U150" s="58"/>
      <c r="V150" s="47"/>
      <c r="W150" s="18"/>
      <c r="X150" s="46"/>
      <c r="Y150" s="9"/>
      <c r="Z150" s="46"/>
      <c r="AA150" s="7"/>
      <c r="AB150" s="46"/>
      <c r="AC150" s="47"/>
      <c r="AD150" s="7"/>
      <c r="AE150" s="47"/>
      <c r="AF150" s="18"/>
      <c r="AG150" s="26"/>
      <c r="AH150" s="34"/>
      <c r="AI150" s="34"/>
      <c r="AJ150" s="18"/>
      <c r="AK150" s="48"/>
      <c r="AL150" s="9" t="str">
        <f>IFERROR(__xludf.DUMMYFUNCTION("""COMPUTED_VALUE"""),"* GOC4D *")</f>
        <v>* GOC4D *</v>
      </c>
      <c r="AM150" s="9">
        <f>IFERROR(__xludf.DUMMYFUNCTION("""COMPUTED_VALUE"""),85.0)</f>
        <v>85</v>
      </c>
    </row>
    <row r="151">
      <c r="A151" s="51"/>
      <c r="B151" s="51"/>
      <c r="C151" s="52"/>
      <c r="D151" s="51"/>
      <c r="E151" s="53"/>
      <c r="F151" s="54"/>
      <c r="G151" s="51"/>
      <c r="H151" s="51"/>
      <c r="I151" s="55"/>
      <c r="J151" s="56"/>
      <c r="K151" s="46"/>
      <c r="L151" s="46"/>
      <c r="M151" s="47"/>
      <c r="N151" s="46"/>
      <c r="O151" s="57"/>
      <c r="P151" s="46"/>
      <c r="Q151" s="46"/>
      <c r="R151" s="57"/>
      <c r="S151" s="7"/>
      <c r="T151" s="54"/>
      <c r="U151" s="58"/>
      <c r="V151" s="47"/>
      <c r="W151" s="18"/>
      <c r="X151" s="46"/>
      <c r="Y151" s="9"/>
      <c r="Z151" s="46"/>
      <c r="AA151" s="7"/>
      <c r="AB151" s="46"/>
      <c r="AC151" s="47"/>
      <c r="AD151" s="7"/>
      <c r="AE151" s="47"/>
      <c r="AF151" s="18"/>
      <c r="AG151" s="26"/>
      <c r="AH151" s="34"/>
      <c r="AI151" s="34"/>
      <c r="AJ151" s="18"/>
      <c r="AK151" s="48"/>
      <c r="AL151" s="9" t="str">
        <f>IFERROR(__xludf.DUMMYFUNCTION("""COMPUTED_VALUE"""),"* GOC4O *")</f>
        <v>* GOC4O *</v>
      </c>
      <c r="AM151" s="9">
        <f>IFERROR(__xludf.DUMMYFUNCTION("""COMPUTED_VALUE"""),124900.0)</f>
        <v>124900</v>
      </c>
    </row>
    <row r="152">
      <c r="A152" s="51"/>
      <c r="B152" s="51"/>
      <c r="C152" s="52"/>
      <c r="D152" s="51"/>
      <c r="E152" s="53"/>
      <c r="F152" s="54"/>
      <c r="G152" s="51"/>
      <c r="H152" s="51"/>
      <c r="I152" s="55"/>
      <c r="J152" s="56"/>
      <c r="K152" s="46"/>
      <c r="L152" s="46"/>
      <c r="M152" s="47"/>
      <c r="N152" s="46"/>
      <c r="O152" s="57"/>
      <c r="P152" s="46"/>
      <c r="Q152" s="46"/>
      <c r="R152" s="57"/>
      <c r="S152" s="7"/>
      <c r="T152" s="54"/>
      <c r="U152" s="58"/>
      <c r="V152" s="47"/>
      <c r="W152" s="18"/>
      <c r="X152" s="46"/>
      <c r="Y152" s="9"/>
      <c r="Z152" s="46"/>
      <c r="AA152" s="7"/>
      <c r="AB152" s="46"/>
      <c r="AC152" s="47"/>
      <c r="AD152" s="7"/>
      <c r="AE152" s="47"/>
      <c r="AF152" s="18"/>
      <c r="AG152" s="26"/>
      <c r="AH152" s="34"/>
      <c r="AI152" s="34"/>
      <c r="AJ152" s="18"/>
      <c r="AK152" s="48"/>
      <c r="AL152" s="9" t="str">
        <f>IFERROR(__xludf.DUMMYFUNCTION("""COMPUTED_VALUE"""),"* GYC4D *")</f>
        <v>* GYC4D *</v>
      </c>
      <c r="AM152" s="9">
        <f>IFERROR(__xludf.DUMMYFUNCTION("""COMPUTED_VALUE"""),87.0)</f>
        <v>87</v>
      </c>
    </row>
    <row r="153">
      <c r="A153" s="51"/>
      <c r="B153" s="51"/>
      <c r="C153" s="52"/>
      <c r="D153" s="51"/>
      <c r="E153" s="53"/>
      <c r="F153" s="54"/>
      <c r="G153" s="51"/>
      <c r="H153" s="51"/>
      <c r="I153" s="55"/>
      <c r="J153" s="56"/>
      <c r="K153" s="46"/>
      <c r="L153" s="46"/>
      <c r="M153" s="47"/>
      <c r="N153" s="46"/>
      <c r="O153" s="57"/>
      <c r="P153" s="46"/>
      <c r="Q153" s="46"/>
      <c r="R153" s="57"/>
      <c r="S153" s="7"/>
      <c r="T153" s="54"/>
      <c r="U153" s="58"/>
      <c r="V153" s="47"/>
      <c r="W153" s="18"/>
      <c r="X153" s="46"/>
      <c r="Y153" s="9"/>
      <c r="Z153" s="46"/>
      <c r="AA153" s="7"/>
      <c r="AB153" s="46"/>
      <c r="AC153" s="47"/>
      <c r="AD153" s="7"/>
      <c r="AE153" s="47"/>
      <c r="AF153" s="18"/>
      <c r="AG153" s="26"/>
      <c r="AH153" s="34"/>
      <c r="AI153" s="34"/>
      <c r="AJ153" s="18"/>
      <c r="AK153" s="48"/>
      <c r="AL153" s="9" t="str">
        <f>IFERROR(__xludf.DUMMYFUNCTION("""COMPUTED_VALUE"""),"* GYC4O *")</f>
        <v>* GYC4O *</v>
      </c>
      <c r="AM153" s="9">
        <f>IFERROR(__xludf.DUMMYFUNCTION("""COMPUTED_VALUE"""),132200.0)</f>
        <v>132200</v>
      </c>
    </row>
    <row r="154">
      <c r="A154" s="51"/>
      <c r="B154" s="51"/>
      <c r="C154" s="52"/>
      <c r="D154" s="51"/>
      <c r="E154" s="53"/>
      <c r="F154" s="54"/>
      <c r="G154" s="51"/>
      <c r="H154" s="51"/>
      <c r="I154" s="55"/>
      <c r="J154" s="56"/>
      <c r="K154" s="46"/>
      <c r="L154" s="46"/>
      <c r="M154" s="47"/>
      <c r="N154" s="46"/>
      <c r="O154" s="57"/>
      <c r="P154" s="46"/>
      <c r="Q154" s="46"/>
      <c r="R154" s="57"/>
      <c r="S154" s="7"/>
      <c r="T154" s="54"/>
      <c r="U154" s="58"/>
      <c r="V154" s="47"/>
      <c r="W154" s="18"/>
      <c r="X154" s="46"/>
      <c r="Y154" s="9"/>
      <c r="Z154" s="46"/>
      <c r="AA154" s="7"/>
      <c r="AB154" s="46"/>
      <c r="AC154" s="47"/>
      <c r="AD154" s="7"/>
      <c r="AE154" s="47"/>
      <c r="AF154" s="18"/>
      <c r="AG154" s="26"/>
      <c r="AH154" s="34"/>
      <c r="AI154" s="34"/>
      <c r="AJ154" s="18"/>
      <c r="AK154" s="48"/>
      <c r="AL154" s="9" t="str">
        <f>IFERROR(__xludf.DUMMYFUNCTION("""COMPUTED_VALUE"""),"* HBCAD *")</f>
        <v>* HBCAD *</v>
      </c>
      <c r="AM154" s="9">
        <f>IFERROR(__xludf.DUMMYFUNCTION("""COMPUTED_VALUE"""),101.6)</f>
        <v>101.6</v>
      </c>
    </row>
    <row r="155">
      <c r="A155" s="51"/>
      <c r="B155" s="51"/>
      <c r="C155" s="52"/>
      <c r="D155" s="51"/>
      <c r="E155" s="53"/>
      <c r="F155" s="54"/>
      <c r="G155" s="51"/>
      <c r="H155" s="51"/>
      <c r="I155" s="55"/>
      <c r="J155" s="56"/>
      <c r="K155" s="46"/>
      <c r="L155" s="46"/>
      <c r="M155" s="47"/>
      <c r="N155" s="46"/>
      <c r="O155" s="57"/>
      <c r="P155" s="46"/>
      <c r="Q155" s="46"/>
      <c r="R155" s="57"/>
      <c r="S155" s="7"/>
      <c r="T155" s="54"/>
      <c r="U155" s="58"/>
      <c r="V155" s="47"/>
      <c r="W155" s="18"/>
      <c r="X155" s="46"/>
      <c r="Y155" s="9"/>
      <c r="Z155" s="46"/>
      <c r="AA155" s="7"/>
      <c r="AB155" s="46"/>
      <c r="AC155" s="47"/>
      <c r="AD155" s="7"/>
      <c r="AE155" s="47"/>
      <c r="AF155" s="18"/>
      <c r="AG155" s="26"/>
      <c r="AH155" s="34"/>
      <c r="AI155" s="34"/>
      <c r="AJ155" s="18"/>
      <c r="AK155" s="48"/>
      <c r="AL155" s="9" t="str">
        <f>IFERROR(__xludf.DUMMYFUNCTION("""COMPUTED_VALUE"""),"* HBCAO *")</f>
        <v>* HBCAO *</v>
      </c>
      <c r="AM155" s="9">
        <f>IFERROR(__xludf.DUMMYFUNCTION("""COMPUTED_VALUE"""),150600.0)</f>
        <v>150600</v>
      </c>
    </row>
    <row r="156">
      <c r="A156" s="51"/>
      <c r="B156" s="51"/>
      <c r="C156" s="52"/>
      <c r="D156" s="51"/>
      <c r="E156" s="53"/>
      <c r="F156" s="54"/>
      <c r="G156" s="51"/>
      <c r="H156" s="51"/>
      <c r="I156" s="55"/>
      <c r="J156" s="56"/>
      <c r="K156" s="46"/>
      <c r="L156" s="46"/>
      <c r="M156" s="47"/>
      <c r="N156" s="46"/>
      <c r="O156" s="57"/>
      <c r="P156" s="46"/>
      <c r="Q156" s="46"/>
      <c r="R156" s="57"/>
      <c r="S156" s="7"/>
      <c r="T156" s="54"/>
      <c r="U156" s="58"/>
      <c r="V156" s="47"/>
      <c r="W156" s="18"/>
      <c r="X156" s="46"/>
      <c r="Y156" s="9"/>
      <c r="Z156" s="46"/>
      <c r="AA156" s="7"/>
      <c r="AB156" s="46"/>
      <c r="AC156" s="47"/>
      <c r="AD156" s="7"/>
      <c r="AE156" s="47"/>
      <c r="AF156" s="18"/>
      <c r="AG156" s="26"/>
      <c r="AH156" s="34"/>
      <c r="AI156" s="34"/>
      <c r="AJ156" s="18"/>
      <c r="AK156" s="48"/>
      <c r="AL156" s="9" t="str">
        <f>IFERROR(__xludf.DUMMYFUNCTION("""COMPUTED_VALUE"""),"* HBCBO *")</f>
        <v>* HBCBO *</v>
      </c>
      <c r="AM156" s="9">
        <f>IFERROR(__xludf.DUMMYFUNCTION("""COMPUTED_VALUE"""),100.0)</f>
        <v>100</v>
      </c>
    </row>
    <row r="157">
      <c r="A157" s="51"/>
      <c r="B157" s="51"/>
      <c r="C157" s="52"/>
      <c r="D157" s="51"/>
      <c r="E157" s="53"/>
      <c r="F157" s="54"/>
      <c r="G157" s="51"/>
      <c r="H157" s="51"/>
      <c r="I157" s="55"/>
      <c r="J157" s="56"/>
      <c r="K157" s="46"/>
      <c r="L157" s="46"/>
      <c r="M157" s="47"/>
      <c r="N157" s="46"/>
      <c r="O157" s="57"/>
      <c r="P157" s="46"/>
      <c r="Q157" s="46"/>
      <c r="R157" s="57"/>
      <c r="S157" s="7"/>
      <c r="T157" s="54"/>
      <c r="U157" s="58"/>
      <c r="V157" s="47"/>
      <c r="W157" s="18"/>
      <c r="X157" s="46"/>
      <c r="Y157" s="9"/>
      <c r="Z157" s="46"/>
      <c r="AA157" s="7"/>
      <c r="AB157" s="46"/>
      <c r="AC157" s="47"/>
      <c r="AD157" s="7"/>
      <c r="AE157" s="47"/>
      <c r="AF157" s="18"/>
      <c r="AG157" s="26"/>
      <c r="AH157" s="34"/>
      <c r="AI157" s="34"/>
      <c r="AJ157" s="18"/>
      <c r="AK157" s="48"/>
      <c r="AL157" s="9" t="str">
        <f>IFERROR(__xludf.DUMMYFUNCTION("""COMPUTED_VALUE"""),"* HBCDO *")</f>
        <v>* HBCDO *</v>
      </c>
      <c r="AM157" s="9">
        <f>IFERROR(__xludf.DUMMYFUNCTION("""COMPUTED_VALUE"""),146350.0)</f>
        <v>146350</v>
      </c>
    </row>
    <row r="158">
      <c r="A158" s="51"/>
      <c r="B158" s="51"/>
      <c r="C158" s="52"/>
      <c r="D158" s="51"/>
      <c r="E158" s="53"/>
      <c r="F158" s="54"/>
      <c r="G158" s="51"/>
      <c r="H158" s="51"/>
      <c r="I158" s="55"/>
      <c r="J158" s="56"/>
      <c r="K158" s="46"/>
      <c r="L158" s="46"/>
      <c r="M158" s="47"/>
      <c r="N158" s="46"/>
      <c r="O158" s="57"/>
      <c r="P158" s="46"/>
      <c r="Q158" s="46"/>
      <c r="R158" s="57"/>
      <c r="S158" s="7"/>
      <c r="T158" s="54"/>
      <c r="U158" s="58"/>
      <c r="V158" s="47"/>
      <c r="W158" s="18"/>
      <c r="X158" s="46"/>
      <c r="Y158" s="9"/>
      <c r="Z158" s="46"/>
      <c r="AA158" s="7"/>
      <c r="AB158" s="46"/>
      <c r="AC158" s="47"/>
      <c r="AD158" s="7"/>
      <c r="AE158" s="47"/>
      <c r="AF158" s="18"/>
      <c r="AG158" s="26"/>
      <c r="AH158" s="34"/>
      <c r="AI158" s="34"/>
      <c r="AJ158" s="18"/>
      <c r="AK158" s="48"/>
      <c r="AL158" s="9" t="str">
        <f>IFERROR(__xludf.DUMMYFUNCTION("""COMPUTED_VALUE"""),"* HJCBD *")</f>
        <v>* HJCBD *</v>
      </c>
      <c r="AM158" s="9">
        <f>IFERROR(__xludf.DUMMYFUNCTION("""COMPUTED_VALUE"""),103.0)</f>
        <v>103</v>
      </c>
    </row>
    <row r="159">
      <c r="A159" s="51"/>
      <c r="B159" s="51"/>
      <c r="C159" s="52"/>
      <c r="D159" s="51"/>
      <c r="E159" s="53"/>
      <c r="F159" s="54"/>
      <c r="G159" s="51"/>
      <c r="H159" s="51"/>
      <c r="I159" s="55"/>
      <c r="J159" s="56"/>
      <c r="K159" s="46"/>
      <c r="L159" s="46"/>
      <c r="M159" s="47"/>
      <c r="N159" s="46"/>
      <c r="O159" s="57"/>
      <c r="P159" s="46"/>
      <c r="Q159" s="46"/>
      <c r="R159" s="57"/>
      <c r="S159" s="7"/>
      <c r="T159" s="54"/>
      <c r="U159" s="58"/>
      <c r="V159" s="47"/>
      <c r="W159" s="18"/>
      <c r="X159" s="46"/>
      <c r="Y159" s="9"/>
      <c r="Z159" s="46"/>
      <c r="AA159" s="7"/>
      <c r="AB159" s="46"/>
      <c r="AC159" s="47"/>
      <c r="AD159" s="7"/>
      <c r="AE159" s="47"/>
      <c r="AF159" s="18"/>
      <c r="AG159" s="26"/>
      <c r="AH159" s="34"/>
      <c r="AI159" s="34"/>
      <c r="AJ159" s="18"/>
      <c r="AK159" s="48"/>
      <c r="AL159" s="9" t="str">
        <f>IFERROR(__xludf.DUMMYFUNCTION("""COMPUTED_VALUE"""),"* HJCBO *")</f>
        <v>* HJCBO *</v>
      </c>
      <c r="AM159" s="9">
        <f>IFERROR(__xludf.DUMMYFUNCTION("""COMPUTED_VALUE"""),149990.0)</f>
        <v>149990</v>
      </c>
    </row>
    <row r="160">
      <c r="A160" s="51"/>
      <c r="B160" s="51"/>
      <c r="C160" s="52"/>
      <c r="D160" s="51"/>
      <c r="E160" s="53"/>
      <c r="F160" s="54"/>
      <c r="G160" s="51"/>
      <c r="H160" s="51"/>
      <c r="I160" s="55"/>
      <c r="J160" s="56"/>
      <c r="K160" s="46"/>
      <c r="L160" s="46"/>
      <c r="M160" s="47"/>
      <c r="N160" s="46"/>
      <c r="O160" s="57"/>
      <c r="P160" s="46"/>
      <c r="Q160" s="46"/>
      <c r="R160" s="57"/>
      <c r="S160" s="7"/>
      <c r="T160" s="54"/>
      <c r="U160" s="58"/>
      <c r="V160" s="47"/>
      <c r="W160" s="18"/>
      <c r="X160" s="46"/>
      <c r="Y160" s="9"/>
      <c r="Z160" s="46"/>
      <c r="AA160" s="7"/>
      <c r="AB160" s="46"/>
      <c r="AC160" s="47"/>
      <c r="AD160" s="7"/>
      <c r="AE160" s="47"/>
      <c r="AF160" s="18"/>
      <c r="AG160" s="26"/>
      <c r="AH160" s="34"/>
      <c r="AI160" s="34"/>
      <c r="AJ160" s="18"/>
      <c r="AK160" s="48"/>
      <c r="AL160" s="9" t="str">
        <f>IFERROR(__xludf.DUMMYFUNCTION("""COMPUTED_VALUE"""),"* HJCFD *")</f>
        <v>* HJCFD *</v>
      </c>
      <c r="AM160" s="9">
        <f>IFERROR(__xludf.DUMMYFUNCTION("""COMPUTED_VALUE"""),99.0)</f>
        <v>99</v>
      </c>
    </row>
    <row r="161">
      <c r="A161" s="51"/>
      <c r="B161" s="51"/>
      <c r="C161" s="52"/>
      <c r="D161" s="51"/>
      <c r="E161" s="53"/>
      <c r="F161" s="54"/>
      <c r="G161" s="51"/>
      <c r="H161" s="51"/>
      <c r="I161" s="55"/>
      <c r="J161" s="56"/>
      <c r="K161" s="46"/>
      <c r="L161" s="46"/>
      <c r="M161" s="47"/>
      <c r="N161" s="46"/>
      <c r="O161" s="57"/>
      <c r="P161" s="46"/>
      <c r="Q161" s="46"/>
      <c r="R161" s="57"/>
      <c r="S161" s="7"/>
      <c r="T161" s="54"/>
      <c r="U161" s="58"/>
      <c r="V161" s="47"/>
      <c r="W161" s="18"/>
      <c r="X161" s="46"/>
      <c r="Y161" s="9"/>
      <c r="Z161" s="46"/>
      <c r="AA161" s="7"/>
      <c r="AB161" s="46"/>
      <c r="AC161" s="47"/>
      <c r="AD161" s="7"/>
      <c r="AE161" s="47"/>
      <c r="AF161" s="18"/>
      <c r="AG161" s="26"/>
      <c r="AH161" s="34"/>
      <c r="AI161" s="34"/>
      <c r="AJ161" s="18"/>
      <c r="AK161" s="48"/>
      <c r="AL161" s="9" t="str">
        <f>IFERROR(__xludf.DUMMYFUNCTION("""COMPUTED_VALUE"""),"* HJCFO *")</f>
        <v>* HJCFO *</v>
      </c>
      <c r="AM161" s="9">
        <f>IFERROR(__xludf.DUMMYFUNCTION("""COMPUTED_VALUE"""),144500.0)</f>
        <v>144500</v>
      </c>
    </row>
    <row r="162">
      <c r="A162" s="51"/>
      <c r="B162" s="51"/>
      <c r="C162" s="52"/>
      <c r="D162" s="51"/>
      <c r="E162" s="53"/>
      <c r="F162" s="54"/>
      <c r="G162" s="51"/>
      <c r="H162" s="51"/>
      <c r="I162" s="55"/>
      <c r="J162" s="56"/>
      <c r="K162" s="46"/>
      <c r="L162" s="46"/>
      <c r="M162" s="47"/>
      <c r="N162" s="46"/>
      <c r="O162" s="57"/>
      <c r="P162" s="46"/>
      <c r="Q162" s="46"/>
      <c r="R162" s="57"/>
      <c r="S162" s="7"/>
      <c r="T162" s="54"/>
      <c r="U162" s="58"/>
      <c r="V162" s="47"/>
      <c r="W162" s="18"/>
      <c r="X162" s="46"/>
      <c r="Y162" s="9"/>
      <c r="Z162" s="46"/>
      <c r="AA162" s="7"/>
      <c r="AB162" s="46"/>
      <c r="AC162" s="47"/>
      <c r="AD162" s="7"/>
      <c r="AE162" s="47"/>
      <c r="AF162" s="18"/>
      <c r="AG162" s="26"/>
      <c r="AH162" s="34"/>
      <c r="AI162" s="34"/>
      <c r="AJ162" s="18"/>
      <c r="AK162" s="48"/>
      <c r="AL162" s="9" t="str">
        <f>IFERROR(__xludf.DUMMYFUNCTION("""COMPUTED_VALUE"""),"* HJCGD *")</f>
        <v>* HJCGD *</v>
      </c>
      <c r="AM162" s="9">
        <f>IFERROR(__xludf.DUMMYFUNCTION("""COMPUTED_VALUE"""),97.0)</f>
        <v>97</v>
      </c>
    </row>
    <row r="163">
      <c r="A163" s="51"/>
      <c r="B163" s="51"/>
      <c r="C163" s="52"/>
      <c r="D163" s="51"/>
      <c r="E163" s="53"/>
      <c r="F163" s="54"/>
      <c r="G163" s="51"/>
      <c r="H163" s="51"/>
      <c r="I163" s="55"/>
      <c r="J163" s="56"/>
      <c r="K163" s="46"/>
      <c r="L163" s="46"/>
      <c r="M163" s="47"/>
      <c r="N163" s="46"/>
      <c r="O163" s="57"/>
      <c r="P163" s="46"/>
      <c r="Q163" s="46"/>
      <c r="R163" s="57"/>
      <c r="S163" s="7"/>
      <c r="T163" s="54"/>
      <c r="U163" s="58"/>
      <c r="V163" s="47"/>
      <c r="W163" s="18"/>
      <c r="X163" s="46"/>
      <c r="Y163" s="9"/>
      <c r="Z163" s="46"/>
      <c r="AA163" s="7"/>
      <c r="AB163" s="46"/>
      <c r="AC163" s="47"/>
      <c r="AD163" s="7"/>
      <c r="AE163" s="47"/>
      <c r="AF163" s="18"/>
      <c r="AG163" s="26"/>
      <c r="AH163" s="34"/>
      <c r="AI163" s="34"/>
      <c r="AJ163" s="18"/>
      <c r="AK163" s="48"/>
      <c r="AL163" s="9" t="str">
        <f>IFERROR(__xludf.DUMMYFUNCTION("""COMPUTED_VALUE"""),"* HJCGO *")</f>
        <v>* HJCGO *</v>
      </c>
      <c r="AM163" s="9">
        <f>IFERROR(__xludf.DUMMYFUNCTION("""COMPUTED_VALUE"""),142000.0)</f>
        <v>142000</v>
      </c>
    </row>
    <row r="164">
      <c r="A164" s="51"/>
      <c r="B164" s="51"/>
      <c r="C164" s="52"/>
      <c r="D164" s="51"/>
      <c r="E164" s="53"/>
      <c r="F164" s="54"/>
      <c r="G164" s="51"/>
      <c r="H164" s="51"/>
      <c r="I164" s="55"/>
      <c r="J164" s="56"/>
      <c r="K164" s="46"/>
      <c r="L164" s="46"/>
      <c r="M164" s="47"/>
      <c r="N164" s="46"/>
      <c r="O164" s="57"/>
      <c r="P164" s="46"/>
      <c r="Q164" s="46"/>
      <c r="R164" s="57"/>
      <c r="S164" s="7"/>
      <c r="T164" s="54"/>
      <c r="U164" s="58"/>
      <c r="V164" s="47"/>
      <c r="W164" s="18"/>
      <c r="X164" s="46"/>
      <c r="Y164" s="9"/>
      <c r="Z164" s="46"/>
      <c r="AA164" s="7"/>
      <c r="AB164" s="46"/>
      <c r="AC164" s="47"/>
      <c r="AD164" s="7"/>
      <c r="AE164" s="47"/>
      <c r="AF164" s="18"/>
      <c r="AG164" s="26"/>
      <c r="AH164" s="34"/>
      <c r="AI164" s="34"/>
      <c r="AJ164" s="18"/>
      <c r="AK164" s="48"/>
      <c r="AL164" s="9" t="str">
        <f>IFERROR(__xludf.DUMMYFUNCTION("""COMPUTED_VALUE"""),"* HJCHD *")</f>
        <v>* HJCHD *</v>
      </c>
      <c r="AM164" s="9">
        <f>IFERROR(__xludf.DUMMYFUNCTION("""COMPUTED_VALUE"""),101.0)</f>
        <v>101</v>
      </c>
    </row>
    <row r="165">
      <c r="A165" s="51"/>
      <c r="B165" s="51"/>
      <c r="C165" s="52"/>
      <c r="D165" s="51"/>
      <c r="E165" s="53"/>
      <c r="F165" s="54"/>
      <c r="G165" s="51"/>
      <c r="H165" s="51"/>
      <c r="I165" s="55"/>
      <c r="J165" s="56"/>
      <c r="K165" s="46"/>
      <c r="L165" s="46"/>
      <c r="M165" s="47"/>
      <c r="N165" s="46"/>
      <c r="O165" s="57"/>
      <c r="P165" s="46"/>
      <c r="Q165" s="46"/>
      <c r="R165" s="57"/>
      <c r="S165" s="7"/>
      <c r="T165" s="54"/>
      <c r="U165" s="58"/>
      <c r="V165" s="47"/>
      <c r="W165" s="18"/>
      <c r="X165" s="46"/>
      <c r="Y165" s="9"/>
      <c r="Z165" s="46"/>
      <c r="AA165" s="7"/>
      <c r="AB165" s="46"/>
      <c r="AC165" s="47"/>
      <c r="AD165" s="7"/>
      <c r="AE165" s="47"/>
      <c r="AF165" s="18"/>
      <c r="AG165" s="26"/>
      <c r="AH165" s="34"/>
      <c r="AI165" s="34"/>
      <c r="AJ165" s="18"/>
      <c r="AK165" s="48"/>
      <c r="AL165" s="9" t="str">
        <f>IFERROR(__xludf.DUMMYFUNCTION("""COMPUTED_VALUE"""),"* HJCHO *")</f>
        <v>* HJCHO *</v>
      </c>
      <c r="AM165" s="9">
        <f>IFERROR(__xludf.DUMMYFUNCTION("""COMPUTED_VALUE"""),145600.0)</f>
        <v>145600</v>
      </c>
    </row>
    <row r="166">
      <c r="A166" s="51"/>
      <c r="B166" s="51"/>
      <c r="C166" s="52"/>
      <c r="D166" s="51"/>
      <c r="E166" s="53"/>
      <c r="F166" s="54"/>
      <c r="G166" s="51"/>
      <c r="H166" s="51"/>
      <c r="I166" s="55"/>
      <c r="J166" s="56"/>
      <c r="K166" s="46"/>
      <c r="L166" s="46"/>
      <c r="M166" s="47"/>
      <c r="N166" s="46"/>
      <c r="O166" s="57"/>
      <c r="P166" s="46"/>
      <c r="Q166" s="46"/>
      <c r="R166" s="57"/>
      <c r="S166" s="7"/>
      <c r="T166" s="54"/>
      <c r="U166" s="58"/>
      <c r="V166" s="47"/>
      <c r="W166" s="18"/>
      <c r="X166" s="46"/>
      <c r="Y166" s="9"/>
      <c r="Z166" s="46"/>
      <c r="AA166" s="7"/>
      <c r="AB166" s="46"/>
      <c r="AC166" s="47"/>
      <c r="AD166" s="7"/>
      <c r="AE166" s="47"/>
      <c r="AF166" s="18"/>
      <c r="AG166" s="26"/>
      <c r="AH166" s="34"/>
      <c r="AI166" s="34"/>
      <c r="AJ166" s="18"/>
      <c r="AK166" s="48"/>
      <c r="AL166" s="9" t="str">
        <f>IFERROR(__xludf.DUMMYFUNCTION("""COMPUTED_VALUE"""),"* HJCID *")</f>
        <v>* HJCID *</v>
      </c>
      <c r="AM166" s="9">
        <f>IFERROR(__xludf.DUMMYFUNCTION("""COMPUTED_VALUE"""),100.25)</f>
        <v>100.25</v>
      </c>
    </row>
    <row r="167">
      <c r="A167" s="51"/>
      <c r="B167" s="51"/>
      <c r="C167" s="52"/>
      <c r="D167" s="51"/>
      <c r="E167" s="53"/>
      <c r="F167" s="54"/>
      <c r="G167" s="51"/>
      <c r="H167" s="51"/>
      <c r="I167" s="55"/>
      <c r="J167" s="56"/>
      <c r="K167" s="46"/>
      <c r="L167" s="46"/>
      <c r="M167" s="47"/>
      <c r="N167" s="46"/>
      <c r="O167" s="57"/>
      <c r="P167" s="46"/>
      <c r="Q167" s="46"/>
      <c r="R167" s="57"/>
      <c r="S167" s="7"/>
      <c r="T167" s="54"/>
      <c r="U167" s="58"/>
      <c r="V167" s="47"/>
      <c r="W167" s="18"/>
      <c r="X167" s="46"/>
      <c r="Y167" s="9"/>
      <c r="Z167" s="46"/>
      <c r="AA167" s="7"/>
      <c r="AB167" s="46"/>
      <c r="AC167" s="47"/>
      <c r="AD167" s="7"/>
      <c r="AE167" s="47"/>
      <c r="AF167" s="18"/>
      <c r="AG167" s="26"/>
      <c r="AH167" s="34"/>
      <c r="AI167" s="34"/>
      <c r="AJ167" s="18"/>
      <c r="AK167" s="48"/>
      <c r="AL167" s="9" t="str">
        <f>IFERROR(__xludf.DUMMYFUNCTION("""COMPUTED_VALUE"""),"* HJCJD *")</f>
        <v>* HJCJD *</v>
      </c>
      <c r="AM167" s="9">
        <f>IFERROR(__xludf.DUMMYFUNCTION("""COMPUTED_VALUE"""),104.25)</f>
        <v>104.25</v>
      </c>
    </row>
    <row r="168">
      <c r="A168" s="51"/>
      <c r="B168" s="51"/>
      <c r="C168" s="52"/>
      <c r="D168" s="51"/>
      <c r="E168" s="53"/>
      <c r="F168" s="54"/>
      <c r="G168" s="51"/>
      <c r="H168" s="51"/>
      <c r="I168" s="55"/>
      <c r="J168" s="56"/>
      <c r="K168" s="46"/>
      <c r="L168" s="46"/>
      <c r="M168" s="47"/>
      <c r="N168" s="46"/>
      <c r="O168" s="57"/>
      <c r="P168" s="46"/>
      <c r="Q168" s="46"/>
      <c r="R168" s="57"/>
      <c r="S168" s="7"/>
      <c r="T168" s="54"/>
      <c r="U168" s="58"/>
      <c r="V168" s="47"/>
      <c r="W168" s="18"/>
      <c r="X168" s="46"/>
      <c r="Y168" s="9"/>
      <c r="Z168" s="46"/>
      <c r="AA168" s="7"/>
      <c r="AB168" s="46"/>
      <c r="AC168" s="47"/>
      <c r="AD168" s="7"/>
      <c r="AE168" s="47"/>
      <c r="AF168" s="18"/>
      <c r="AG168" s="26"/>
      <c r="AH168" s="34"/>
      <c r="AI168" s="34"/>
      <c r="AJ168" s="18"/>
      <c r="AK168" s="48"/>
      <c r="AL168" s="9" t="str">
        <f>IFERROR(__xludf.DUMMYFUNCTION("""COMPUTED_VALUE"""),"* HJCJO *")</f>
        <v>* HJCJO *</v>
      </c>
      <c r="AM168" s="9">
        <f>IFERROR(__xludf.DUMMYFUNCTION("""COMPUTED_VALUE"""),149600.0)</f>
        <v>149600</v>
      </c>
    </row>
    <row r="169">
      <c r="A169" s="51"/>
      <c r="B169" s="51"/>
      <c r="C169" s="52"/>
      <c r="D169" s="51"/>
      <c r="E169" s="53"/>
      <c r="F169" s="54"/>
      <c r="G169" s="51"/>
      <c r="H169" s="51"/>
      <c r="I169" s="55"/>
      <c r="J169" s="56"/>
      <c r="K169" s="46"/>
      <c r="L169" s="46"/>
      <c r="M169" s="47"/>
      <c r="N169" s="46"/>
      <c r="O169" s="57"/>
      <c r="P169" s="46"/>
      <c r="Q169" s="46"/>
      <c r="R169" s="57"/>
      <c r="S169" s="7"/>
      <c r="T169" s="54"/>
      <c r="U169" s="58"/>
      <c r="V169" s="47"/>
      <c r="W169" s="18"/>
      <c r="X169" s="46"/>
      <c r="Y169" s="9"/>
      <c r="Z169" s="46"/>
      <c r="AA169" s="7"/>
      <c r="AB169" s="46"/>
      <c r="AC169" s="47"/>
      <c r="AD169" s="7"/>
      <c r="AE169" s="47"/>
      <c r="AF169" s="18"/>
      <c r="AG169" s="26"/>
      <c r="AH169" s="34"/>
      <c r="AI169" s="34"/>
      <c r="AJ169" s="18"/>
      <c r="AK169" s="48"/>
      <c r="AL169" s="9" t="str">
        <f>IFERROR(__xludf.DUMMYFUNCTION("""COMPUTED_VALUE"""),"* HVS1C *")</f>
        <v>* HVS1C *</v>
      </c>
      <c r="AM169" s="9">
        <f>IFERROR(__xludf.DUMMYFUNCTION("""COMPUTED_VALUE"""),100.0)</f>
        <v>100</v>
      </c>
    </row>
    <row r="170">
      <c r="A170" s="51"/>
      <c r="B170" s="51"/>
      <c r="C170" s="52"/>
      <c r="D170" s="51"/>
      <c r="E170" s="53"/>
      <c r="F170" s="54"/>
      <c r="G170" s="51"/>
      <c r="H170" s="51"/>
      <c r="I170" s="55"/>
      <c r="J170" s="56"/>
      <c r="K170" s="46"/>
      <c r="L170" s="46"/>
      <c r="M170" s="47"/>
      <c r="N170" s="46"/>
      <c r="O170" s="57"/>
      <c r="P170" s="46"/>
      <c r="Q170" s="46"/>
      <c r="R170" s="57"/>
      <c r="S170" s="7"/>
      <c r="T170" s="54"/>
      <c r="U170" s="58"/>
      <c r="V170" s="47"/>
      <c r="W170" s="18"/>
      <c r="X170" s="46"/>
      <c r="Y170" s="9"/>
      <c r="Z170" s="46"/>
      <c r="AA170" s="7"/>
      <c r="AB170" s="46"/>
      <c r="AC170" s="47"/>
      <c r="AD170" s="7"/>
      <c r="AE170" s="47"/>
      <c r="AF170" s="18"/>
      <c r="AG170" s="26"/>
      <c r="AH170" s="34"/>
      <c r="AI170" s="34"/>
      <c r="AJ170" s="18"/>
      <c r="AK170" s="48"/>
      <c r="AL170" s="9" t="str">
        <f>IFERROR(__xludf.DUMMYFUNCTION("""COMPUTED_VALUE"""),"* HVS1D *")</f>
        <v>* HVS1D *</v>
      </c>
      <c r="AM170" s="9">
        <f>IFERROR(__xludf.DUMMYFUNCTION("""COMPUTED_VALUE"""),101.5)</f>
        <v>101.5</v>
      </c>
    </row>
    <row r="171">
      <c r="A171" s="51"/>
      <c r="B171" s="51"/>
      <c r="C171" s="52"/>
      <c r="D171" s="51"/>
      <c r="E171" s="53"/>
      <c r="F171" s="54"/>
      <c r="G171" s="51"/>
      <c r="H171" s="51"/>
      <c r="I171" s="55"/>
      <c r="J171" s="56"/>
      <c r="K171" s="46"/>
      <c r="L171" s="46"/>
      <c r="M171" s="47"/>
      <c r="N171" s="46"/>
      <c r="O171" s="57"/>
      <c r="P171" s="46"/>
      <c r="Q171" s="46"/>
      <c r="R171" s="57"/>
      <c r="S171" s="7"/>
      <c r="T171" s="54"/>
      <c r="U171" s="58"/>
      <c r="V171" s="47"/>
      <c r="W171" s="18"/>
      <c r="X171" s="46"/>
      <c r="Y171" s="9"/>
      <c r="Z171" s="46"/>
      <c r="AA171" s="7"/>
      <c r="AB171" s="46"/>
      <c r="AC171" s="47"/>
      <c r="AD171" s="7"/>
      <c r="AE171" s="47"/>
      <c r="AF171" s="18"/>
      <c r="AG171" s="26"/>
      <c r="AH171" s="34"/>
      <c r="AI171" s="34"/>
      <c r="AJ171" s="18"/>
      <c r="AK171" s="48"/>
      <c r="AL171" s="9" t="str">
        <f>IFERROR(__xludf.DUMMYFUNCTION("""COMPUTED_VALUE"""),"* HVS1O *")</f>
        <v>* HVS1O *</v>
      </c>
      <c r="AM171" s="9">
        <f>IFERROR(__xludf.DUMMYFUNCTION("""COMPUTED_VALUE"""),144000.0)</f>
        <v>144000</v>
      </c>
    </row>
    <row r="172">
      <c r="A172" s="51"/>
      <c r="B172" s="51"/>
      <c r="C172" s="52"/>
      <c r="D172" s="51"/>
      <c r="E172" s="53"/>
      <c r="F172" s="54"/>
      <c r="G172" s="51"/>
      <c r="H172" s="51"/>
      <c r="I172" s="55"/>
      <c r="J172" s="56"/>
      <c r="K172" s="46"/>
      <c r="L172" s="46"/>
      <c r="M172" s="47"/>
      <c r="N172" s="46"/>
      <c r="O172" s="57"/>
      <c r="P172" s="46"/>
      <c r="Q172" s="46"/>
      <c r="R172" s="57"/>
      <c r="S172" s="7"/>
      <c r="T172" s="54"/>
      <c r="U172" s="58"/>
      <c r="V172" s="47"/>
      <c r="W172" s="18"/>
      <c r="X172" s="46"/>
      <c r="Y172" s="9"/>
      <c r="Z172" s="46"/>
      <c r="AA172" s="7"/>
      <c r="AB172" s="46"/>
      <c r="AC172" s="47"/>
      <c r="AD172" s="7"/>
      <c r="AE172" s="47"/>
      <c r="AF172" s="18"/>
      <c r="AG172" s="26"/>
      <c r="AH172" s="34"/>
      <c r="AI172" s="34"/>
      <c r="AJ172" s="18"/>
      <c r="AK172" s="48"/>
      <c r="AL172" s="9" t="str">
        <f>IFERROR(__xludf.DUMMYFUNCTION("""COMPUTED_VALUE"""),"* IRCFC *")</f>
        <v>* IRCFC *</v>
      </c>
      <c r="AM172" s="9">
        <f>IFERROR(__xludf.DUMMYFUNCTION("""COMPUTED_VALUE"""),67.45)</f>
        <v>67.45</v>
      </c>
    </row>
    <row r="173">
      <c r="A173" s="51"/>
      <c r="B173" s="51"/>
      <c r="C173" s="52"/>
      <c r="D173" s="51"/>
      <c r="E173" s="53"/>
      <c r="F173" s="54"/>
      <c r="G173" s="51"/>
      <c r="H173" s="51"/>
      <c r="I173" s="55"/>
      <c r="J173" s="56"/>
      <c r="K173" s="46"/>
      <c r="L173" s="46"/>
      <c r="M173" s="47"/>
      <c r="N173" s="46"/>
      <c r="O173" s="57"/>
      <c r="P173" s="46"/>
      <c r="Q173" s="46"/>
      <c r="R173" s="57"/>
      <c r="S173" s="7"/>
      <c r="T173" s="54"/>
      <c r="U173" s="58"/>
      <c r="V173" s="47"/>
      <c r="W173" s="18"/>
      <c r="X173" s="46"/>
      <c r="Y173" s="9"/>
      <c r="Z173" s="46"/>
      <c r="AA173" s="7"/>
      <c r="AB173" s="46"/>
      <c r="AC173" s="47"/>
      <c r="AD173" s="7"/>
      <c r="AE173" s="47"/>
      <c r="AF173" s="18"/>
      <c r="AG173" s="26"/>
      <c r="AH173" s="34"/>
      <c r="AI173" s="34"/>
      <c r="AJ173" s="18"/>
      <c r="AK173" s="48"/>
      <c r="AL173" s="9" t="str">
        <f>IFERROR(__xludf.DUMMYFUNCTION("""COMPUTED_VALUE"""),"* IRCFD *")</f>
        <v>* IRCFD *</v>
      </c>
      <c r="AM173" s="9">
        <f>IFERROR(__xludf.DUMMYFUNCTION("""COMPUTED_VALUE"""),70.53)</f>
        <v>70.53</v>
      </c>
    </row>
    <row r="174">
      <c r="A174" s="51"/>
      <c r="B174" s="51"/>
      <c r="C174" s="52"/>
      <c r="D174" s="51"/>
      <c r="E174" s="53"/>
      <c r="F174" s="54"/>
      <c r="G174" s="51"/>
      <c r="H174" s="51"/>
      <c r="I174" s="55"/>
      <c r="J174" s="56"/>
      <c r="K174" s="46"/>
      <c r="L174" s="46"/>
      <c r="M174" s="47"/>
      <c r="N174" s="46"/>
      <c r="O174" s="57"/>
      <c r="P174" s="46"/>
      <c r="Q174" s="46"/>
      <c r="R174" s="57"/>
      <c r="S174" s="7"/>
      <c r="T174" s="54"/>
      <c r="U174" s="58"/>
      <c r="V174" s="47"/>
      <c r="W174" s="18"/>
      <c r="X174" s="46"/>
      <c r="Y174" s="9"/>
      <c r="Z174" s="46"/>
      <c r="AA174" s="7"/>
      <c r="AB174" s="46"/>
      <c r="AC174" s="47"/>
      <c r="AD174" s="7"/>
      <c r="AE174" s="47"/>
      <c r="AF174" s="18"/>
      <c r="AG174" s="26"/>
      <c r="AH174" s="34"/>
      <c r="AI174" s="34"/>
      <c r="AJ174" s="18"/>
      <c r="AK174" s="48"/>
      <c r="AL174" s="9" t="str">
        <f>IFERROR(__xludf.DUMMYFUNCTION("""COMPUTED_VALUE"""),"* IRCFO *")</f>
        <v>* IRCFO *</v>
      </c>
      <c r="AM174" s="9">
        <f>IFERROR(__xludf.DUMMYFUNCTION("""COMPUTED_VALUE"""),103540.0)</f>
        <v>103540</v>
      </c>
    </row>
    <row r="175">
      <c r="A175" s="51"/>
      <c r="B175" s="51"/>
      <c r="C175" s="52"/>
      <c r="D175" s="51"/>
      <c r="E175" s="53"/>
      <c r="F175" s="54"/>
      <c r="G175" s="51"/>
      <c r="H175" s="51"/>
      <c r="I175" s="55"/>
      <c r="J175" s="56"/>
      <c r="K175" s="46"/>
      <c r="L175" s="46"/>
      <c r="M175" s="47"/>
      <c r="N175" s="46"/>
      <c r="O175" s="57"/>
      <c r="P175" s="46"/>
      <c r="Q175" s="46"/>
      <c r="R175" s="57"/>
      <c r="S175" s="7"/>
      <c r="T175" s="54"/>
      <c r="U175" s="58"/>
      <c r="V175" s="47"/>
      <c r="W175" s="18"/>
      <c r="X175" s="46"/>
      <c r="Y175" s="9"/>
      <c r="Z175" s="46"/>
      <c r="AA175" s="7"/>
      <c r="AB175" s="46"/>
      <c r="AC175" s="47"/>
      <c r="AD175" s="7"/>
      <c r="AE175" s="47"/>
      <c r="AF175" s="18"/>
      <c r="AG175" s="26"/>
      <c r="AH175" s="34"/>
      <c r="AI175" s="34"/>
      <c r="AJ175" s="18"/>
      <c r="AK175" s="48"/>
      <c r="AL175" s="9" t="str">
        <f>IFERROR(__xludf.DUMMYFUNCTION("""COMPUTED_VALUE"""),"* IRCIC *")</f>
        <v>* IRCIC *</v>
      </c>
      <c r="AM175" s="9">
        <f>IFERROR(__xludf.DUMMYFUNCTION("""COMPUTED_VALUE"""),101.7)</f>
        <v>101.7</v>
      </c>
    </row>
    <row r="176">
      <c r="A176" s="51"/>
      <c r="B176" s="51"/>
      <c r="C176" s="52"/>
      <c r="D176" s="51"/>
      <c r="E176" s="53"/>
      <c r="F176" s="54"/>
      <c r="G176" s="51"/>
      <c r="H176" s="51"/>
      <c r="I176" s="55"/>
      <c r="J176" s="56"/>
      <c r="K176" s="46"/>
      <c r="L176" s="46"/>
      <c r="M176" s="47"/>
      <c r="N176" s="46"/>
      <c r="O176" s="57"/>
      <c r="P176" s="46"/>
      <c r="Q176" s="46"/>
      <c r="R176" s="57"/>
      <c r="S176" s="7"/>
      <c r="T176" s="54"/>
      <c r="U176" s="58"/>
      <c r="V176" s="47"/>
      <c r="W176" s="18"/>
      <c r="X176" s="46"/>
      <c r="Y176" s="9"/>
      <c r="Z176" s="46"/>
      <c r="AA176" s="7"/>
      <c r="AB176" s="46"/>
      <c r="AC176" s="47"/>
      <c r="AD176" s="7"/>
      <c r="AE176" s="47"/>
      <c r="AF176" s="18"/>
      <c r="AG176" s="26"/>
      <c r="AH176" s="34"/>
      <c r="AI176" s="34"/>
      <c r="AJ176" s="18"/>
      <c r="AK176" s="48"/>
      <c r="AL176" s="9" t="str">
        <f>IFERROR(__xludf.DUMMYFUNCTION("""COMPUTED_VALUE"""),"* IRCID *")</f>
        <v>* IRCID *</v>
      </c>
      <c r="AM176" s="9">
        <f>IFERROR(__xludf.DUMMYFUNCTION("""COMPUTED_VALUE"""),102.55)</f>
        <v>102.55</v>
      </c>
    </row>
    <row r="177">
      <c r="A177" s="51"/>
      <c r="B177" s="51"/>
      <c r="C177" s="52"/>
      <c r="D177" s="51"/>
      <c r="E177" s="53"/>
      <c r="F177" s="54"/>
      <c r="G177" s="51"/>
      <c r="H177" s="51"/>
      <c r="I177" s="55"/>
      <c r="J177" s="56"/>
      <c r="K177" s="46"/>
      <c r="L177" s="46"/>
      <c r="M177" s="47"/>
      <c r="N177" s="46"/>
      <c r="O177" s="57"/>
      <c r="P177" s="46"/>
      <c r="Q177" s="46"/>
      <c r="R177" s="57"/>
      <c r="S177" s="7"/>
      <c r="T177" s="54"/>
      <c r="U177" s="58"/>
      <c r="V177" s="47"/>
      <c r="W177" s="18"/>
      <c r="X177" s="46"/>
      <c r="Y177" s="9"/>
      <c r="Z177" s="46"/>
      <c r="AA177" s="7"/>
      <c r="AB177" s="46"/>
      <c r="AC177" s="47"/>
      <c r="AD177" s="7"/>
      <c r="AE177" s="47"/>
      <c r="AF177" s="18"/>
      <c r="AG177" s="26"/>
      <c r="AH177" s="34"/>
      <c r="AI177" s="34"/>
      <c r="AJ177" s="18"/>
      <c r="AK177" s="48"/>
      <c r="AL177" s="9" t="str">
        <f>IFERROR(__xludf.DUMMYFUNCTION("""COMPUTED_VALUE"""),"* IRCIO *")</f>
        <v>* IRCIO *</v>
      </c>
      <c r="AM177" s="9">
        <f>IFERROR(__xludf.DUMMYFUNCTION("""COMPUTED_VALUE"""),153000.0)</f>
        <v>153000</v>
      </c>
    </row>
    <row r="178">
      <c r="A178" s="51"/>
      <c r="B178" s="51"/>
      <c r="C178" s="52"/>
      <c r="D178" s="51"/>
      <c r="E178" s="53"/>
      <c r="F178" s="54"/>
      <c r="G178" s="51"/>
      <c r="H178" s="51"/>
      <c r="I178" s="55"/>
      <c r="J178" s="56"/>
      <c r="K178" s="46"/>
      <c r="L178" s="46"/>
      <c r="M178" s="47"/>
      <c r="N178" s="46"/>
      <c r="O178" s="57"/>
      <c r="P178" s="46"/>
      <c r="Q178" s="46"/>
      <c r="R178" s="57"/>
      <c r="S178" s="7"/>
      <c r="T178" s="54"/>
      <c r="U178" s="58"/>
      <c r="V178" s="47"/>
      <c r="W178" s="18"/>
      <c r="X178" s="46"/>
      <c r="Y178" s="9"/>
      <c r="Z178" s="46"/>
      <c r="AA178" s="7"/>
      <c r="AB178" s="46"/>
      <c r="AC178" s="47"/>
      <c r="AD178" s="7"/>
      <c r="AE178" s="47"/>
      <c r="AF178" s="18"/>
      <c r="AG178" s="26"/>
      <c r="AH178" s="34"/>
      <c r="AI178" s="34"/>
      <c r="AJ178" s="18"/>
      <c r="AK178" s="48"/>
      <c r="AL178" s="9" t="str">
        <f>IFERROR(__xludf.DUMMYFUNCTION("""COMPUTED_VALUE"""),"* IRCJD *")</f>
        <v>* IRCJD *</v>
      </c>
      <c r="AM178" s="9">
        <f>IFERROR(__xludf.DUMMYFUNCTION("""COMPUTED_VALUE"""),103.5)</f>
        <v>103.5</v>
      </c>
    </row>
    <row r="179">
      <c r="A179" s="51"/>
      <c r="B179" s="51"/>
      <c r="C179" s="52"/>
      <c r="D179" s="51"/>
      <c r="E179" s="53"/>
      <c r="F179" s="54"/>
      <c r="G179" s="51"/>
      <c r="H179" s="51"/>
      <c r="I179" s="55"/>
      <c r="J179" s="56"/>
      <c r="K179" s="46"/>
      <c r="L179" s="46"/>
      <c r="M179" s="47"/>
      <c r="N179" s="46"/>
      <c r="O179" s="57"/>
      <c r="P179" s="46"/>
      <c r="Q179" s="46"/>
      <c r="R179" s="57"/>
      <c r="S179" s="7"/>
      <c r="T179" s="54"/>
      <c r="U179" s="58"/>
      <c r="V179" s="47"/>
      <c r="W179" s="18"/>
      <c r="X179" s="46"/>
      <c r="Y179" s="9"/>
      <c r="Z179" s="46"/>
      <c r="AA179" s="7"/>
      <c r="AB179" s="46"/>
      <c r="AC179" s="47"/>
      <c r="AD179" s="7"/>
      <c r="AE179" s="47"/>
      <c r="AF179" s="18"/>
      <c r="AG179" s="26"/>
      <c r="AH179" s="34"/>
      <c r="AI179" s="34"/>
      <c r="AJ179" s="18"/>
      <c r="AK179" s="48"/>
      <c r="AL179" s="9" t="str">
        <f>IFERROR(__xludf.DUMMYFUNCTION("""COMPUTED_VALUE"""),"* IRCJO *")</f>
        <v>* IRCJO *</v>
      </c>
      <c r="AM179" s="9">
        <f>IFERROR(__xludf.DUMMYFUNCTION("""COMPUTED_VALUE"""),152000.0)</f>
        <v>152000</v>
      </c>
    </row>
    <row r="180">
      <c r="A180" s="51"/>
      <c r="B180" s="51"/>
      <c r="C180" s="52"/>
      <c r="D180" s="51"/>
      <c r="E180" s="53"/>
      <c r="F180" s="54"/>
      <c r="G180" s="51"/>
      <c r="H180" s="51"/>
      <c r="I180" s="55"/>
      <c r="J180" s="56"/>
      <c r="K180" s="46"/>
      <c r="L180" s="46"/>
      <c r="M180" s="47"/>
      <c r="N180" s="46"/>
      <c r="O180" s="57"/>
      <c r="P180" s="46"/>
      <c r="Q180" s="46"/>
      <c r="R180" s="57"/>
      <c r="S180" s="7"/>
      <c r="T180" s="54"/>
      <c r="U180" s="58"/>
      <c r="V180" s="47"/>
      <c r="W180" s="18"/>
      <c r="X180" s="46"/>
      <c r="Y180" s="9"/>
      <c r="Z180" s="46"/>
      <c r="AA180" s="7"/>
      <c r="AB180" s="46"/>
      <c r="AC180" s="47"/>
      <c r="AD180" s="7"/>
      <c r="AE180" s="47"/>
      <c r="AF180" s="18"/>
      <c r="AG180" s="26"/>
      <c r="AH180" s="34"/>
      <c r="AI180" s="34"/>
      <c r="AJ180" s="18"/>
      <c r="AK180" s="48"/>
      <c r="AL180" s="9" t="str">
        <f>IFERROR(__xludf.DUMMYFUNCTION("""COMPUTED_VALUE"""),"* IRCLD *")</f>
        <v>* IRCLD *</v>
      </c>
      <c r="AM180" s="9">
        <f>IFERROR(__xludf.DUMMYFUNCTION("""COMPUTED_VALUE"""),103.7)</f>
        <v>103.7</v>
      </c>
    </row>
    <row r="181">
      <c r="A181" s="51"/>
      <c r="B181" s="51"/>
      <c r="C181" s="52"/>
      <c r="D181" s="51"/>
      <c r="E181" s="53"/>
      <c r="F181" s="54"/>
      <c r="G181" s="51"/>
      <c r="H181" s="51"/>
      <c r="I181" s="55"/>
      <c r="J181" s="56"/>
      <c r="K181" s="46"/>
      <c r="L181" s="46"/>
      <c r="M181" s="47"/>
      <c r="N181" s="46"/>
      <c r="O181" s="57"/>
      <c r="P181" s="46"/>
      <c r="Q181" s="46"/>
      <c r="R181" s="57"/>
      <c r="S181" s="7"/>
      <c r="T181" s="54"/>
      <c r="U181" s="58"/>
      <c r="V181" s="47"/>
      <c r="W181" s="18"/>
      <c r="X181" s="46"/>
      <c r="Y181" s="9"/>
      <c r="Z181" s="46"/>
      <c r="AA181" s="7"/>
      <c r="AB181" s="46"/>
      <c r="AC181" s="47"/>
      <c r="AD181" s="7"/>
      <c r="AE181" s="47"/>
      <c r="AF181" s="18"/>
      <c r="AG181" s="26"/>
      <c r="AH181" s="34"/>
      <c r="AI181" s="34"/>
      <c r="AJ181" s="18"/>
      <c r="AK181" s="48"/>
      <c r="AL181" s="9" t="str">
        <f>IFERROR(__xludf.DUMMYFUNCTION("""COMPUTED_VALUE"""),"* IRCLO *")</f>
        <v>* IRCLO *</v>
      </c>
      <c r="AM181" s="9">
        <f>IFERROR(__xludf.DUMMYFUNCTION("""COMPUTED_VALUE"""),154000.0)</f>
        <v>154000</v>
      </c>
    </row>
    <row r="182">
      <c r="A182" s="51"/>
      <c r="B182" s="51"/>
      <c r="C182" s="52"/>
      <c r="D182" s="51"/>
      <c r="E182" s="53"/>
      <c r="F182" s="54"/>
      <c r="G182" s="51"/>
      <c r="H182" s="51"/>
      <c r="I182" s="55"/>
      <c r="J182" s="56"/>
      <c r="K182" s="46"/>
      <c r="L182" s="46"/>
      <c r="M182" s="47"/>
      <c r="N182" s="46"/>
      <c r="O182" s="57"/>
      <c r="P182" s="46"/>
      <c r="Q182" s="46"/>
      <c r="R182" s="57"/>
      <c r="S182" s="7"/>
      <c r="T182" s="54"/>
      <c r="U182" s="58"/>
      <c r="V182" s="47"/>
      <c r="W182" s="18"/>
      <c r="X182" s="46"/>
      <c r="Y182" s="9"/>
      <c r="Z182" s="46"/>
      <c r="AA182" s="7"/>
      <c r="AB182" s="46"/>
      <c r="AC182" s="47"/>
      <c r="AD182" s="7"/>
      <c r="AE182" s="47"/>
      <c r="AF182" s="18"/>
      <c r="AG182" s="26"/>
      <c r="AH182" s="34"/>
      <c r="AI182" s="34"/>
      <c r="AJ182" s="18"/>
      <c r="AK182" s="48"/>
      <c r="AL182" s="9" t="str">
        <f>IFERROR(__xludf.DUMMYFUNCTION("""COMPUTED_VALUE"""),"* IRCND *")</f>
        <v>* IRCND *</v>
      </c>
      <c r="AM182" s="9">
        <f>IFERROR(__xludf.DUMMYFUNCTION("""COMPUTED_VALUE"""),101.5)</f>
        <v>101.5</v>
      </c>
    </row>
    <row r="183">
      <c r="A183" s="51"/>
      <c r="B183" s="51"/>
      <c r="C183" s="52"/>
      <c r="D183" s="51"/>
      <c r="E183" s="53"/>
      <c r="F183" s="54"/>
      <c r="G183" s="51"/>
      <c r="H183" s="51"/>
      <c r="I183" s="55"/>
      <c r="J183" s="56"/>
      <c r="K183" s="46"/>
      <c r="L183" s="46"/>
      <c r="M183" s="47"/>
      <c r="N183" s="46"/>
      <c r="O183" s="57"/>
      <c r="P183" s="46"/>
      <c r="Q183" s="46"/>
      <c r="R183" s="57"/>
      <c r="S183" s="7"/>
      <c r="T183" s="54"/>
      <c r="U183" s="58"/>
      <c r="V183" s="47"/>
      <c r="W183" s="18"/>
      <c r="X183" s="46"/>
      <c r="Y183" s="9"/>
      <c r="Z183" s="46"/>
      <c r="AA183" s="7"/>
      <c r="AB183" s="46"/>
      <c r="AC183" s="47"/>
      <c r="AD183" s="7"/>
      <c r="AE183" s="47"/>
      <c r="AF183" s="18"/>
      <c r="AG183" s="26"/>
      <c r="AH183" s="34"/>
      <c r="AI183" s="34"/>
      <c r="AJ183" s="18"/>
      <c r="AK183" s="48"/>
      <c r="AL183" s="9" t="str">
        <f>IFERROR(__xludf.DUMMYFUNCTION("""COMPUTED_VALUE"""),"* IRCNO *")</f>
        <v>* IRCNO *</v>
      </c>
      <c r="AM183" s="9">
        <f>IFERROR(__xludf.DUMMYFUNCTION("""COMPUTED_VALUE"""),148500.0)</f>
        <v>148500</v>
      </c>
    </row>
    <row r="184">
      <c r="A184" s="51"/>
      <c r="B184" s="51"/>
      <c r="C184" s="52"/>
      <c r="D184" s="51"/>
      <c r="E184" s="53"/>
      <c r="F184" s="54"/>
      <c r="G184" s="51"/>
      <c r="H184" s="51"/>
      <c r="I184" s="55"/>
      <c r="J184" s="56"/>
      <c r="K184" s="46"/>
      <c r="L184" s="46"/>
      <c r="M184" s="47"/>
      <c r="N184" s="46"/>
      <c r="O184" s="57"/>
      <c r="P184" s="46"/>
      <c r="Q184" s="46"/>
      <c r="R184" s="57"/>
      <c r="S184" s="7"/>
      <c r="T184" s="54"/>
      <c r="U184" s="58"/>
      <c r="V184" s="47"/>
      <c r="W184" s="18"/>
      <c r="X184" s="46"/>
      <c r="Y184" s="9"/>
      <c r="Z184" s="46"/>
      <c r="AA184" s="7"/>
      <c r="AB184" s="46"/>
      <c r="AC184" s="47"/>
      <c r="AD184" s="7"/>
      <c r="AE184" s="47"/>
      <c r="AF184" s="18"/>
      <c r="AG184" s="26"/>
      <c r="AH184" s="34"/>
      <c r="AI184" s="34"/>
      <c r="AJ184" s="18"/>
      <c r="AK184" s="48"/>
      <c r="AL184" s="9" t="str">
        <f>IFERROR(__xludf.DUMMYFUNCTION("""COMPUTED_VALUE"""),"* IRCOD *")</f>
        <v>* IRCOD *</v>
      </c>
      <c r="AM184" s="9">
        <f>IFERROR(__xludf.DUMMYFUNCTION("""COMPUTED_VALUE"""),102.9)</f>
        <v>102.9</v>
      </c>
    </row>
    <row r="185">
      <c r="A185" s="51"/>
      <c r="B185" s="51"/>
      <c r="C185" s="52"/>
      <c r="D185" s="51"/>
      <c r="E185" s="53"/>
      <c r="F185" s="54"/>
      <c r="G185" s="51"/>
      <c r="H185" s="51"/>
      <c r="I185" s="55"/>
      <c r="J185" s="56"/>
      <c r="K185" s="46"/>
      <c r="L185" s="46"/>
      <c r="M185" s="47"/>
      <c r="N185" s="46"/>
      <c r="O185" s="57"/>
      <c r="P185" s="46"/>
      <c r="Q185" s="46"/>
      <c r="R185" s="57"/>
      <c r="S185" s="7"/>
      <c r="T185" s="54"/>
      <c r="U185" s="58"/>
      <c r="V185" s="47"/>
      <c r="W185" s="18"/>
      <c r="X185" s="46"/>
      <c r="Y185" s="9"/>
      <c r="Z185" s="46"/>
      <c r="AA185" s="7"/>
      <c r="AB185" s="46"/>
      <c r="AC185" s="47"/>
      <c r="AD185" s="7"/>
      <c r="AE185" s="47"/>
      <c r="AF185" s="18"/>
      <c r="AG185" s="26"/>
      <c r="AH185" s="34"/>
      <c r="AI185" s="34"/>
      <c r="AJ185" s="18"/>
      <c r="AK185" s="48"/>
      <c r="AL185" s="9" t="str">
        <f>IFERROR(__xludf.DUMMYFUNCTION("""COMPUTED_VALUE"""),"* IRCOO *")</f>
        <v>* IRCOO *</v>
      </c>
      <c r="AM185" s="9">
        <f>IFERROR(__xludf.DUMMYFUNCTION("""COMPUTED_VALUE"""),152510.0)</f>
        <v>152510</v>
      </c>
    </row>
    <row r="186">
      <c r="A186" s="51"/>
      <c r="B186" s="51"/>
      <c r="C186" s="52"/>
      <c r="D186" s="51"/>
      <c r="E186" s="53"/>
      <c r="F186" s="54"/>
      <c r="G186" s="51"/>
      <c r="H186" s="51"/>
      <c r="I186" s="55"/>
      <c r="J186" s="56"/>
      <c r="K186" s="46"/>
      <c r="L186" s="46"/>
      <c r="M186" s="47"/>
      <c r="N186" s="46"/>
      <c r="O186" s="57"/>
      <c r="P186" s="46"/>
      <c r="Q186" s="46"/>
      <c r="R186" s="57"/>
      <c r="S186" s="7"/>
      <c r="T186" s="54"/>
      <c r="U186" s="58"/>
      <c r="V186" s="47"/>
      <c r="W186" s="18"/>
      <c r="X186" s="46"/>
      <c r="Y186" s="9"/>
      <c r="Z186" s="46"/>
      <c r="AA186" s="7"/>
      <c r="AB186" s="46"/>
      <c r="AC186" s="47"/>
      <c r="AD186" s="7"/>
      <c r="AE186" s="47"/>
      <c r="AF186" s="18"/>
      <c r="AG186" s="26"/>
      <c r="AH186" s="34"/>
      <c r="AI186" s="34"/>
      <c r="AJ186" s="18"/>
      <c r="AK186" s="48"/>
      <c r="AL186" s="9" t="str">
        <f>IFERROR(__xludf.DUMMYFUNCTION("""COMPUTED_VALUE"""),"* IRCPD *")</f>
        <v>* IRCPD *</v>
      </c>
      <c r="AM186" s="9">
        <f>IFERROR(__xludf.DUMMYFUNCTION("""COMPUTED_VALUE"""),105.3)</f>
        <v>105.3</v>
      </c>
    </row>
    <row r="187">
      <c r="A187" s="51"/>
      <c r="B187" s="51"/>
      <c r="C187" s="52"/>
      <c r="D187" s="51"/>
      <c r="E187" s="53"/>
      <c r="F187" s="54"/>
      <c r="G187" s="51"/>
      <c r="H187" s="51"/>
      <c r="I187" s="55"/>
      <c r="J187" s="56"/>
      <c r="K187" s="46"/>
      <c r="L187" s="46"/>
      <c r="M187" s="47"/>
      <c r="N187" s="46"/>
      <c r="O187" s="57"/>
      <c r="P187" s="46"/>
      <c r="Q187" s="46"/>
      <c r="R187" s="57"/>
      <c r="S187" s="7"/>
      <c r="T187" s="54"/>
      <c r="U187" s="58"/>
      <c r="V187" s="47"/>
      <c r="W187" s="18"/>
      <c r="X187" s="46"/>
      <c r="Y187" s="9"/>
      <c r="Z187" s="46"/>
      <c r="AA187" s="7"/>
      <c r="AB187" s="46"/>
      <c r="AC187" s="47"/>
      <c r="AD187" s="7"/>
      <c r="AE187" s="47"/>
      <c r="AF187" s="18"/>
      <c r="AG187" s="26"/>
      <c r="AH187" s="34"/>
      <c r="AI187" s="34"/>
      <c r="AJ187" s="18"/>
      <c r="AK187" s="48"/>
      <c r="AL187" s="9" t="str">
        <f>IFERROR(__xludf.DUMMYFUNCTION("""COMPUTED_VALUE"""),"* IRCPO *")</f>
        <v>* IRCPO *</v>
      </c>
      <c r="AM187" s="9">
        <f>IFERROR(__xludf.DUMMYFUNCTION("""COMPUTED_VALUE"""),154360.0)</f>
        <v>154360</v>
      </c>
    </row>
    <row r="188">
      <c r="A188" s="51"/>
      <c r="B188" s="51"/>
      <c r="C188" s="52"/>
      <c r="D188" s="51"/>
      <c r="E188" s="53"/>
      <c r="F188" s="54"/>
      <c r="G188" s="51"/>
      <c r="H188" s="51"/>
      <c r="I188" s="55"/>
      <c r="J188" s="56"/>
      <c r="K188" s="46"/>
      <c r="L188" s="46"/>
      <c r="M188" s="47"/>
      <c r="N188" s="46"/>
      <c r="O188" s="57"/>
      <c r="P188" s="46"/>
      <c r="Q188" s="46"/>
      <c r="R188" s="57"/>
      <c r="S188" s="7"/>
      <c r="T188" s="54"/>
      <c r="U188" s="58"/>
      <c r="V188" s="47"/>
      <c r="W188" s="18"/>
      <c r="X188" s="46"/>
      <c r="Y188" s="9"/>
      <c r="Z188" s="46"/>
      <c r="AA188" s="7"/>
      <c r="AB188" s="46"/>
      <c r="AC188" s="47"/>
      <c r="AD188" s="7"/>
      <c r="AE188" s="47"/>
      <c r="AF188" s="18"/>
      <c r="AG188" s="26"/>
      <c r="AH188" s="34"/>
      <c r="AI188" s="34"/>
      <c r="AJ188" s="18"/>
      <c r="AK188" s="48"/>
      <c r="AL188" s="9" t="str">
        <f>IFERROR(__xludf.DUMMYFUNCTION("""COMPUTED_VALUE"""),"* JNC5D *")</f>
        <v>* JNC5D *</v>
      </c>
      <c r="AM188" s="9">
        <f>IFERROR(__xludf.DUMMYFUNCTION("""COMPUTED_VALUE"""),99.0)</f>
        <v>99</v>
      </c>
    </row>
    <row r="189">
      <c r="A189" s="51"/>
      <c r="B189" s="51"/>
      <c r="C189" s="52"/>
      <c r="D189" s="51"/>
      <c r="E189" s="53"/>
      <c r="F189" s="54"/>
      <c r="G189" s="51"/>
      <c r="H189" s="51"/>
      <c r="I189" s="55"/>
      <c r="J189" s="56"/>
      <c r="K189" s="46"/>
      <c r="L189" s="46"/>
      <c r="M189" s="47"/>
      <c r="N189" s="46"/>
      <c r="O189" s="57"/>
      <c r="P189" s="46"/>
      <c r="Q189" s="46"/>
      <c r="R189" s="57"/>
      <c r="S189" s="7"/>
      <c r="T189" s="54"/>
      <c r="U189" s="58"/>
      <c r="V189" s="47"/>
      <c r="W189" s="18"/>
      <c r="X189" s="46"/>
      <c r="Y189" s="9"/>
      <c r="Z189" s="46"/>
      <c r="AA189" s="7"/>
      <c r="AB189" s="46"/>
      <c r="AC189" s="47"/>
      <c r="AD189" s="7"/>
      <c r="AE189" s="47"/>
      <c r="AF189" s="18"/>
      <c r="AG189" s="26"/>
      <c r="AH189" s="34"/>
      <c r="AI189" s="34"/>
      <c r="AJ189" s="18"/>
      <c r="AK189" s="48"/>
      <c r="AL189" s="9" t="str">
        <f>IFERROR(__xludf.DUMMYFUNCTION("""COMPUTED_VALUE"""),"* JNC5O *")</f>
        <v>* JNC5O *</v>
      </c>
      <c r="AM189" s="9">
        <f>IFERROR(__xludf.DUMMYFUNCTION("""COMPUTED_VALUE"""),146000.0)</f>
        <v>146000</v>
      </c>
    </row>
    <row r="190">
      <c r="A190" s="51"/>
      <c r="B190" s="51"/>
      <c r="C190" s="52"/>
      <c r="D190" s="51"/>
      <c r="E190" s="53"/>
      <c r="F190" s="54"/>
      <c r="G190" s="51"/>
      <c r="H190" s="51"/>
      <c r="I190" s="55"/>
      <c r="J190" s="56"/>
      <c r="K190" s="46"/>
      <c r="L190" s="46"/>
      <c r="M190" s="47"/>
      <c r="N190" s="46"/>
      <c r="O190" s="57"/>
      <c r="P190" s="46"/>
      <c r="Q190" s="46"/>
      <c r="R190" s="57"/>
      <c r="S190" s="7"/>
      <c r="T190" s="54"/>
      <c r="U190" s="58"/>
      <c r="V190" s="47"/>
      <c r="W190" s="18"/>
      <c r="X190" s="46"/>
      <c r="Y190" s="9"/>
      <c r="Z190" s="46"/>
      <c r="AA190" s="7"/>
      <c r="AB190" s="46"/>
      <c r="AC190" s="47"/>
      <c r="AD190" s="7"/>
      <c r="AE190" s="47"/>
      <c r="AF190" s="18"/>
      <c r="AG190" s="26"/>
      <c r="AH190" s="34"/>
      <c r="AI190" s="34"/>
      <c r="AJ190" s="18"/>
      <c r="AK190" s="48"/>
      <c r="AL190" s="9" t="str">
        <f>IFERROR(__xludf.DUMMYFUNCTION("""COMPUTED_VALUE"""),"* JNC6C *")</f>
        <v>* JNC6C *</v>
      </c>
      <c r="AM190" s="9">
        <f>IFERROR(__xludf.DUMMYFUNCTION("""COMPUTED_VALUE"""),100.0)</f>
        <v>100</v>
      </c>
    </row>
    <row r="191">
      <c r="A191" s="51"/>
      <c r="B191" s="51"/>
      <c r="C191" s="52"/>
      <c r="D191" s="51"/>
      <c r="E191" s="53"/>
      <c r="F191" s="54"/>
      <c r="G191" s="51"/>
      <c r="H191" s="51"/>
      <c r="I191" s="55"/>
      <c r="J191" s="56"/>
      <c r="K191" s="46"/>
      <c r="L191" s="46"/>
      <c r="M191" s="47"/>
      <c r="N191" s="46"/>
      <c r="O191" s="57"/>
      <c r="P191" s="46"/>
      <c r="Q191" s="46"/>
      <c r="R191" s="57"/>
      <c r="S191" s="7"/>
      <c r="T191" s="54"/>
      <c r="U191" s="58"/>
      <c r="V191" s="47"/>
      <c r="W191" s="18"/>
      <c r="X191" s="46"/>
      <c r="Y191" s="9"/>
      <c r="Z191" s="46"/>
      <c r="AA191" s="7"/>
      <c r="AB191" s="46"/>
      <c r="AC191" s="47"/>
      <c r="AD191" s="7"/>
      <c r="AE191" s="47"/>
      <c r="AF191" s="18"/>
      <c r="AG191" s="26"/>
      <c r="AH191" s="34"/>
      <c r="AI191" s="34"/>
      <c r="AJ191" s="18"/>
      <c r="AK191" s="48"/>
      <c r="AL191" s="9" t="str">
        <f>IFERROR(__xludf.DUMMYFUNCTION("""COMPUTED_VALUE"""),"* JNC6D *")</f>
        <v>* JNC6D *</v>
      </c>
      <c r="AM191" s="9">
        <f>IFERROR(__xludf.DUMMYFUNCTION("""COMPUTED_VALUE"""),101.7)</f>
        <v>101.7</v>
      </c>
    </row>
    <row r="192">
      <c r="A192" s="51"/>
      <c r="B192" s="51"/>
      <c r="C192" s="52"/>
      <c r="D192" s="51"/>
      <c r="E192" s="53"/>
      <c r="F192" s="54"/>
      <c r="G192" s="51"/>
      <c r="H192" s="51"/>
      <c r="I192" s="55"/>
      <c r="J192" s="56"/>
      <c r="K192" s="46"/>
      <c r="L192" s="46"/>
      <c r="M192" s="47"/>
      <c r="N192" s="46"/>
      <c r="O192" s="57"/>
      <c r="P192" s="46"/>
      <c r="Q192" s="46"/>
      <c r="R192" s="57"/>
      <c r="S192" s="7"/>
      <c r="T192" s="54"/>
      <c r="U192" s="58"/>
      <c r="V192" s="47"/>
      <c r="W192" s="18"/>
      <c r="X192" s="46"/>
      <c r="Y192" s="9"/>
      <c r="Z192" s="46"/>
      <c r="AA192" s="7"/>
      <c r="AB192" s="46"/>
      <c r="AC192" s="47"/>
      <c r="AD192" s="7"/>
      <c r="AE192" s="47"/>
      <c r="AF192" s="18"/>
      <c r="AG192" s="26"/>
      <c r="AH192" s="34"/>
      <c r="AI192" s="34"/>
      <c r="AJ192" s="18"/>
      <c r="AK192" s="48"/>
      <c r="AL192" s="9" t="str">
        <f>IFERROR(__xludf.DUMMYFUNCTION("""COMPUTED_VALUE"""),"* JNC6O *")</f>
        <v>* JNC6O *</v>
      </c>
      <c r="AM192" s="9">
        <f>IFERROR(__xludf.DUMMYFUNCTION("""COMPUTED_VALUE"""),152500.0)</f>
        <v>152500</v>
      </c>
    </row>
    <row r="193">
      <c r="A193" s="51"/>
      <c r="B193" s="51"/>
      <c r="C193" s="52"/>
      <c r="D193" s="51"/>
      <c r="E193" s="53"/>
      <c r="F193" s="54"/>
      <c r="G193" s="51"/>
      <c r="H193" s="51"/>
      <c r="I193" s="55"/>
      <c r="J193" s="56"/>
      <c r="K193" s="46"/>
      <c r="L193" s="46"/>
      <c r="M193" s="47"/>
      <c r="N193" s="46"/>
      <c r="O193" s="57"/>
      <c r="P193" s="46"/>
      <c r="Q193" s="46"/>
      <c r="R193" s="57"/>
      <c r="S193" s="7"/>
      <c r="T193" s="54"/>
      <c r="U193" s="58"/>
      <c r="V193" s="47"/>
      <c r="W193" s="18"/>
      <c r="X193" s="46"/>
      <c r="Y193" s="9"/>
      <c r="Z193" s="46"/>
      <c r="AA193" s="7"/>
      <c r="AB193" s="46"/>
      <c r="AC193" s="47"/>
      <c r="AD193" s="7"/>
      <c r="AE193" s="47"/>
      <c r="AF193" s="18"/>
      <c r="AG193" s="26"/>
      <c r="AH193" s="34"/>
      <c r="AI193" s="34"/>
      <c r="AJ193" s="18"/>
      <c r="AK193" s="48"/>
      <c r="AL193" s="9" t="str">
        <f>IFERROR(__xludf.DUMMYFUNCTION("""COMPUTED_VALUE"""),"* KYS1P *")</f>
        <v>* KYS1P *</v>
      </c>
      <c r="AM193" s="9">
        <f>IFERROR(__xludf.DUMMYFUNCTION("""COMPUTED_VALUE"""),100.0)</f>
        <v>100</v>
      </c>
    </row>
    <row r="194">
      <c r="A194" s="51"/>
      <c r="B194" s="51"/>
      <c r="C194" s="52"/>
      <c r="D194" s="51"/>
      <c r="E194" s="53"/>
      <c r="F194" s="54"/>
      <c r="G194" s="51"/>
      <c r="H194" s="51"/>
      <c r="I194" s="55"/>
      <c r="J194" s="56"/>
      <c r="K194" s="46"/>
      <c r="L194" s="46"/>
      <c r="M194" s="47"/>
      <c r="N194" s="46"/>
      <c r="O194" s="57"/>
      <c r="P194" s="46"/>
      <c r="Q194" s="46"/>
      <c r="R194" s="57"/>
      <c r="S194" s="7"/>
      <c r="T194" s="54"/>
      <c r="U194" s="58"/>
      <c r="V194" s="47"/>
      <c r="W194" s="18"/>
      <c r="X194" s="46"/>
      <c r="Y194" s="9"/>
      <c r="Z194" s="46"/>
      <c r="AA194" s="7"/>
      <c r="AB194" s="46"/>
      <c r="AC194" s="47"/>
      <c r="AD194" s="7"/>
      <c r="AE194" s="47"/>
      <c r="AF194" s="18"/>
      <c r="AG194" s="26"/>
      <c r="AH194" s="34"/>
      <c r="AI194" s="34"/>
      <c r="AJ194" s="18"/>
      <c r="AK194" s="48"/>
      <c r="AL194" s="9" t="str">
        <f>IFERROR(__xludf.DUMMYFUNCTION("""COMPUTED_VALUE"""),"* LA21P *")</f>
        <v>* LA21P *</v>
      </c>
      <c r="AM194" s="9">
        <f>IFERROR(__xludf.DUMMYFUNCTION("""COMPUTED_VALUE"""),100.0)</f>
        <v>100</v>
      </c>
    </row>
    <row r="195">
      <c r="A195" s="51"/>
      <c r="B195" s="51"/>
      <c r="C195" s="52"/>
      <c r="D195" s="51"/>
      <c r="E195" s="53"/>
      <c r="F195" s="54"/>
      <c r="G195" s="51"/>
      <c r="H195" s="51"/>
      <c r="I195" s="55"/>
      <c r="J195" s="56"/>
      <c r="K195" s="46"/>
      <c r="L195" s="46"/>
      <c r="M195" s="47"/>
      <c r="N195" s="46"/>
      <c r="O195" s="57"/>
      <c r="P195" s="46"/>
      <c r="Q195" s="46"/>
      <c r="R195" s="57"/>
      <c r="S195" s="7"/>
      <c r="T195" s="54"/>
      <c r="U195" s="58"/>
      <c r="V195" s="47"/>
      <c r="W195" s="18"/>
      <c r="X195" s="46"/>
      <c r="Y195" s="9"/>
      <c r="Z195" s="46"/>
      <c r="AA195" s="7"/>
      <c r="AB195" s="46"/>
      <c r="AC195" s="47"/>
      <c r="AD195" s="7"/>
      <c r="AE195" s="47"/>
      <c r="AF195" s="18"/>
      <c r="AG195" s="26"/>
      <c r="AH195" s="34"/>
      <c r="AI195" s="34"/>
      <c r="AJ195" s="18"/>
      <c r="AK195" s="48"/>
      <c r="AL195" s="9" t="str">
        <f>IFERROR(__xludf.DUMMYFUNCTION("""COMPUTED_VALUE"""),"* LDCGD *")</f>
        <v>* LDCGD *</v>
      </c>
      <c r="AM195" s="9">
        <f>IFERROR(__xludf.DUMMYFUNCTION("""COMPUTED_VALUE"""),97.4)</f>
        <v>97.4</v>
      </c>
    </row>
    <row r="196">
      <c r="A196" s="51"/>
      <c r="B196" s="51"/>
      <c r="C196" s="52"/>
      <c r="D196" s="51"/>
      <c r="E196" s="53"/>
      <c r="F196" s="54"/>
      <c r="G196" s="51"/>
      <c r="H196" s="51"/>
      <c r="I196" s="55"/>
      <c r="J196" s="56"/>
      <c r="K196" s="46"/>
      <c r="L196" s="46"/>
      <c r="M196" s="47"/>
      <c r="N196" s="46"/>
      <c r="O196" s="57"/>
      <c r="P196" s="46"/>
      <c r="Q196" s="46"/>
      <c r="R196" s="57"/>
      <c r="S196" s="7"/>
      <c r="T196" s="54"/>
      <c r="U196" s="58"/>
      <c r="V196" s="47"/>
      <c r="W196" s="18"/>
      <c r="X196" s="46"/>
      <c r="Y196" s="9"/>
      <c r="Z196" s="46"/>
      <c r="AA196" s="7"/>
      <c r="AB196" s="46"/>
      <c r="AC196" s="47"/>
      <c r="AD196" s="7"/>
      <c r="AE196" s="47"/>
      <c r="AF196" s="18"/>
      <c r="AG196" s="26"/>
      <c r="AH196" s="34"/>
      <c r="AI196" s="34"/>
      <c r="AJ196" s="18"/>
      <c r="AK196" s="48"/>
      <c r="AL196" s="9" t="str">
        <f>IFERROR(__xludf.DUMMYFUNCTION("""COMPUTED_VALUE"""),"* LDCGO *")</f>
        <v>* LDCGO *</v>
      </c>
      <c r="AM196" s="9">
        <f>IFERROR(__xludf.DUMMYFUNCTION("""COMPUTED_VALUE"""),150000.0)</f>
        <v>150000</v>
      </c>
    </row>
    <row r="197">
      <c r="A197" s="51"/>
      <c r="B197" s="51"/>
      <c r="C197" s="52"/>
      <c r="D197" s="51"/>
      <c r="E197" s="53"/>
      <c r="F197" s="54"/>
      <c r="G197" s="51"/>
      <c r="H197" s="51"/>
      <c r="I197" s="55"/>
      <c r="J197" s="56"/>
      <c r="K197" s="46"/>
      <c r="L197" s="46"/>
      <c r="M197" s="47"/>
      <c r="N197" s="46"/>
      <c r="O197" s="57"/>
      <c r="P197" s="46"/>
      <c r="Q197" s="46"/>
      <c r="R197" s="57"/>
      <c r="S197" s="7"/>
      <c r="T197" s="54"/>
      <c r="U197" s="58"/>
      <c r="V197" s="47"/>
      <c r="W197" s="18"/>
      <c r="X197" s="46"/>
      <c r="Y197" s="9"/>
      <c r="Z197" s="46"/>
      <c r="AA197" s="7"/>
      <c r="AB197" s="46"/>
      <c r="AC197" s="47"/>
      <c r="AD197" s="7"/>
      <c r="AE197" s="47"/>
      <c r="AF197" s="18"/>
      <c r="AG197" s="26"/>
      <c r="AH197" s="34"/>
      <c r="AI197" s="34"/>
      <c r="AJ197" s="18"/>
      <c r="AK197" s="48"/>
      <c r="AL197" s="9" t="str">
        <f>IFERROR(__xludf.DUMMYFUNCTION("""COMPUTED_VALUE"""),"* LECAC *")</f>
        <v>* LECAC *</v>
      </c>
      <c r="AM197" s="9">
        <f>IFERROR(__xludf.DUMMYFUNCTION("""COMPUTED_VALUE"""),100.0)</f>
        <v>100</v>
      </c>
    </row>
    <row r="198">
      <c r="A198" s="51"/>
      <c r="B198" s="51"/>
      <c r="C198" s="52"/>
      <c r="D198" s="51"/>
      <c r="E198" s="53"/>
      <c r="F198" s="54"/>
      <c r="G198" s="51"/>
      <c r="H198" s="51"/>
      <c r="I198" s="55"/>
      <c r="J198" s="56"/>
      <c r="K198" s="46"/>
      <c r="L198" s="46"/>
      <c r="M198" s="47"/>
      <c r="N198" s="46"/>
      <c r="O198" s="57"/>
      <c r="P198" s="46"/>
      <c r="Q198" s="46"/>
      <c r="R198" s="57"/>
      <c r="S198" s="7"/>
      <c r="T198" s="54"/>
      <c r="U198" s="58"/>
      <c r="V198" s="47"/>
      <c r="W198" s="18"/>
      <c r="X198" s="46"/>
      <c r="Y198" s="9"/>
      <c r="Z198" s="46"/>
      <c r="AA198" s="7"/>
      <c r="AB198" s="46"/>
      <c r="AC198" s="47"/>
      <c r="AD198" s="7"/>
      <c r="AE198" s="47"/>
      <c r="AF198" s="18"/>
      <c r="AG198" s="26"/>
      <c r="AH198" s="34"/>
      <c r="AI198" s="34"/>
      <c r="AJ198" s="18"/>
      <c r="AK198" s="48"/>
      <c r="AL198" s="9" t="str">
        <f>IFERROR(__xludf.DUMMYFUNCTION("""COMPUTED_VALUE"""),"* LECAD *")</f>
        <v>* LECAD *</v>
      </c>
      <c r="AM198" s="9">
        <f>IFERROR(__xludf.DUMMYFUNCTION("""COMPUTED_VALUE"""),26.65)</f>
        <v>26.65</v>
      </c>
    </row>
    <row r="199">
      <c r="A199" s="51"/>
      <c r="B199" s="51"/>
      <c r="C199" s="52"/>
      <c r="D199" s="51"/>
      <c r="E199" s="53"/>
      <c r="F199" s="54"/>
      <c r="G199" s="51"/>
      <c r="H199" s="51"/>
      <c r="I199" s="55"/>
      <c r="J199" s="56"/>
      <c r="K199" s="46"/>
      <c r="L199" s="46"/>
      <c r="M199" s="47"/>
      <c r="N199" s="46"/>
      <c r="O199" s="57"/>
      <c r="P199" s="46"/>
      <c r="Q199" s="46"/>
      <c r="R199" s="57"/>
      <c r="S199" s="7"/>
      <c r="T199" s="54"/>
      <c r="U199" s="58"/>
      <c r="V199" s="47"/>
      <c r="W199" s="18"/>
      <c r="X199" s="46"/>
      <c r="Y199" s="9"/>
      <c r="Z199" s="46"/>
      <c r="AA199" s="7"/>
      <c r="AB199" s="46"/>
      <c r="AC199" s="47"/>
      <c r="AD199" s="7"/>
      <c r="AE199" s="47"/>
      <c r="AF199" s="18"/>
      <c r="AG199" s="26"/>
      <c r="AH199" s="34"/>
      <c r="AI199" s="34"/>
      <c r="AJ199" s="18"/>
      <c r="AK199" s="48"/>
      <c r="AL199" s="9" t="str">
        <f>IFERROR(__xludf.DUMMYFUNCTION("""COMPUTED_VALUE"""),"* LECAO *")</f>
        <v>* LECAO *</v>
      </c>
      <c r="AM199" s="9">
        <f>IFERROR(__xludf.DUMMYFUNCTION("""COMPUTED_VALUE"""),35000.0)</f>
        <v>35000</v>
      </c>
    </row>
    <row r="200">
      <c r="A200" s="51"/>
      <c r="B200" s="51"/>
      <c r="C200" s="52"/>
      <c r="D200" s="51"/>
      <c r="E200" s="53"/>
      <c r="F200" s="54"/>
      <c r="G200" s="51"/>
      <c r="H200" s="51"/>
      <c r="I200" s="55"/>
      <c r="J200" s="56"/>
      <c r="K200" s="46"/>
      <c r="L200" s="46"/>
      <c r="M200" s="47"/>
      <c r="N200" s="46"/>
      <c r="O200" s="57"/>
      <c r="P200" s="46"/>
      <c r="Q200" s="46"/>
      <c r="R200" s="57"/>
      <c r="S200" s="7"/>
      <c r="T200" s="54"/>
      <c r="U200" s="58"/>
      <c r="V200" s="47"/>
      <c r="W200" s="18"/>
      <c r="X200" s="46"/>
      <c r="Y200" s="9"/>
      <c r="Z200" s="46"/>
      <c r="AA200" s="7"/>
      <c r="AB200" s="46"/>
      <c r="AC200" s="47"/>
      <c r="AD200" s="7"/>
      <c r="AE200" s="47"/>
      <c r="AF200" s="18"/>
      <c r="AG200" s="26"/>
      <c r="AH200" s="34"/>
      <c r="AI200" s="34"/>
      <c r="AJ200" s="18"/>
      <c r="AK200" s="48"/>
      <c r="AL200" s="9" t="str">
        <f>IFERROR(__xludf.DUMMYFUNCTION("""COMPUTED_VALUE"""),"* LECBC *")</f>
        <v>* LECBC *</v>
      </c>
      <c r="AM200" s="9">
        <f>IFERROR(__xludf.DUMMYFUNCTION("""COMPUTED_VALUE"""),100.0)</f>
        <v>100</v>
      </c>
    </row>
    <row r="201">
      <c r="A201" s="51"/>
      <c r="B201" s="51"/>
      <c r="C201" s="52"/>
      <c r="D201" s="51"/>
      <c r="E201" s="53"/>
      <c r="F201" s="54"/>
      <c r="G201" s="51"/>
      <c r="H201" s="51"/>
      <c r="I201" s="55"/>
      <c r="J201" s="56"/>
      <c r="K201" s="46"/>
      <c r="L201" s="46"/>
      <c r="M201" s="47"/>
      <c r="N201" s="46"/>
      <c r="O201" s="57"/>
      <c r="P201" s="46"/>
      <c r="Q201" s="46"/>
      <c r="R201" s="57"/>
      <c r="S201" s="7"/>
      <c r="T201" s="54"/>
      <c r="U201" s="58"/>
      <c r="V201" s="47"/>
      <c r="W201" s="18"/>
      <c r="X201" s="46"/>
      <c r="Y201" s="9"/>
      <c r="Z201" s="46"/>
      <c r="AA201" s="7"/>
      <c r="AB201" s="46"/>
      <c r="AC201" s="47"/>
      <c r="AD201" s="7"/>
      <c r="AE201" s="47"/>
      <c r="AF201" s="18"/>
      <c r="AG201" s="26"/>
      <c r="AH201" s="34"/>
      <c r="AI201" s="34"/>
      <c r="AJ201" s="18"/>
      <c r="AK201" s="48"/>
      <c r="AL201" s="9" t="str">
        <f>IFERROR(__xludf.DUMMYFUNCTION("""COMPUTED_VALUE"""),"* LECBD *")</f>
        <v>* LECBD *</v>
      </c>
      <c r="AM201" s="9">
        <f>IFERROR(__xludf.DUMMYFUNCTION("""COMPUTED_VALUE"""),25.0)</f>
        <v>25</v>
      </c>
    </row>
    <row r="202">
      <c r="A202" s="51"/>
      <c r="B202" s="51"/>
      <c r="C202" s="52"/>
      <c r="D202" s="51"/>
      <c r="E202" s="53"/>
      <c r="F202" s="54"/>
      <c r="G202" s="51"/>
      <c r="H202" s="51"/>
      <c r="I202" s="55"/>
      <c r="J202" s="56"/>
      <c r="K202" s="46"/>
      <c r="L202" s="46"/>
      <c r="M202" s="47"/>
      <c r="N202" s="46"/>
      <c r="O202" s="57"/>
      <c r="P202" s="46"/>
      <c r="Q202" s="46"/>
      <c r="R202" s="57"/>
      <c r="S202" s="7"/>
      <c r="T202" s="54"/>
      <c r="U202" s="58"/>
      <c r="V202" s="47"/>
      <c r="W202" s="18"/>
      <c r="X202" s="46"/>
      <c r="Y202" s="9"/>
      <c r="Z202" s="46"/>
      <c r="AA202" s="7"/>
      <c r="AB202" s="46"/>
      <c r="AC202" s="47"/>
      <c r="AD202" s="7"/>
      <c r="AE202" s="47"/>
      <c r="AF202" s="18"/>
      <c r="AG202" s="26"/>
      <c r="AH202" s="34"/>
      <c r="AI202" s="34"/>
      <c r="AJ202" s="18"/>
      <c r="AK202" s="48"/>
      <c r="AL202" s="9" t="str">
        <f>IFERROR(__xludf.DUMMYFUNCTION("""COMPUTED_VALUE"""),"* LECBO *")</f>
        <v>* LECBO *</v>
      </c>
      <c r="AM202" s="9">
        <f>IFERROR(__xludf.DUMMYFUNCTION("""COMPUTED_VALUE"""),39000.0)</f>
        <v>39000</v>
      </c>
    </row>
    <row r="203">
      <c r="A203" s="51"/>
      <c r="B203" s="51"/>
      <c r="C203" s="52"/>
      <c r="D203" s="51"/>
      <c r="E203" s="53"/>
      <c r="F203" s="54"/>
      <c r="G203" s="51"/>
      <c r="H203" s="51"/>
      <c r="I203" s="55"/>
      <c r="J203" s="56"/>
      <c r="K203" s="46"/>
      <c r="L203" s="46"/>
      <c r="M203" s="47"/>
      <c r="N203" s="46"/>
      <c r="O203" s="57"/>
      <c r="P203" s="46"/>
      <c r="Q203" s="46"/>
      <c r="R203" s="57"/>
      <c r="S203" s="7"/>
      <c r="T203" s="54"/>
      <c r="U203" s="58"/>
      <c r="V203" s="47"/>
      <c r="W203" s="18"/>
      <c r="X203" s="46"/>
      <c r="Y203" s="9"/>
      <c r="Z203" s="46"/>
      <c r="AA203" s="7"/>
      <c r="AB203" s="46"/>
      <c r="AC203" s="47"/>
      <c r="AD203" s="7"/>
      <c r="AE203" s="47"/>
      <c r="AF203" s="18"/>
      <c r="AG203" s="26"/>
      <c r="AH203" s="34"/>
      <c r="AI203" s="34"/>
      <c r="AJ203" s="18"/>
      <c r="AK203" s="48"/>
      <c r="AL203" s="9" t="str">
        <f>IFERROR(__xludf.DUMMYFUNCTION("""COMPUTED_VALUE"""),"* LECDO *")</f>
        <v>* LECDO *</v>
      </c>
      <c r="AM203" s="9">
        <f>IFERROR(__xludf.DUMMYFUNCTION("""COMPUTED_VALUE"""),36500.0)</f>
        <v>36500</v>
      </c>
    </row>
    <row r="204">
      <c r="A204" s="51"/>
      <c r="B204" s="51"/>
      <c r="C204" s="52"/>
      <c r="D204" s="51"/>
      <c r="E204" s="53"/>
      <c r="F204" s="54"/>
      <c r="G204" s="51"/>
      <c r="H204" s="51"/>
      <c r="I204" s="55"/>
      <c r="J204" s="56"/>
      <c r="K204" s="46"/>
      <c r="L204" s="46"/>
      <c r="M204" s="47"/>
      <c r="N204" s="46"/>
      <c r="O204" s="57"/>
      <c r="P204" s="46"/>
      <c r="Q204" s="46"/>
      <c r="R204" s="57"/>
      <c r="S204" s="7"/>
      <c r="T204" s="54"/>
      <c r="U204" s="58"/>
      <c r="V204" s="47"/>
      <c r="W204" s="18"/>
      <c r="X204" s="46"/>
      <c r="Y204" s="9"/>
      <c r="Z204" s="46"/>
      <c r="AA204" s="7"/>
      <c r="AB204" s="46"/>
      <c r="AC204" s="47"/>
      <c r="AD204" s="7"/>
      <c r="AE204" s="47"/>
      <c r="AF204" s="18"/>
      <c r="AG204" s="26"/>
      <c r="AH204" s="34"/>
      <c r="AI204" s="34"/>
      <c r="AJ204" s="18"/>
      <c r="AK204" s="48"/>
      <c r="AL204" s="9" t="str">
        <f>IFERROR(__xludf.DUMMYFUNCTION("""COMPUTED_VALUE"""),"* LECEC *")</f>
        <v>* LECEC *</v>
      </c>
      <c r="AM204" s="9">
        <f>IFERROR(__xludf.DUMMYFUNCTION("""COMPUTED_VALUE"""),95.0)</f>
        <v>95</v>
      </c>
    </row>
    <row r="205">
      <c r="A205" s="51"/>
      <c r="B205" s="51"/>
      <c r="C205" s="52"/>
      <c r="D205" s="51"/>
      <c r="E205" s="53"/>
      <c r="F205" s="54"/>
      <c r="G205" s="51"/>
      <c r="H205" s="51"/>
      <c r="I205" s="55"/>
      <c r="J205" s="56"/>
      <c r="K205" s="46"/>
      <c r="L205" s="46"/>
      <c r="M205" s="47"/>
      <c r="N205" s="46"/>
      <c r="O205" s="57"/>
      <c r="P205" s="46"/>
      <c r="Q205" s="46"/>
      <c r="R205" s="57"/>
      <c r="S205" s="7"/>
      <c r="T205" s="54"/>
      <c r="U205" s="58"/>
      <c r="V205" s="47"/>
      <c r="W205" s="18"/>
      <c r="X205" s="46"/>
      <c r="Y205" s="9"/>
      <c r="Z205" s="46"/>
      <c r="AA205" s="7"/>
      <c r="AB205" s="46"/>
      <c r="AC205" s="47"/>
      <c r="AD205" s="7"/>
      <c r="AE205" s="47"/>
      <c r="AF205" s="18"/>
      <c r="AG205" s="26"/>
      <c r="AH205" s="34"/>
      <c r="AI205" s="34"/>
      <c r="AJ205" s="18"/>
      <c r="AK205" s="48"/>
      <c r="AL205" s="9" t="str">
        <f>IFERROR(__xludf.DUMMYFUNCTION("""COMPUTED_VALUE"""),"* LECED *")</f>
        <v>* LECED *</v>
      </c>
      <c r="AM205" s="9">
        <f>IFERROR(__xludf.DUMMYFUNCTION("""COMPUTED_VALUE"""),24.51)</f>
        <v>24.51</v>
      </c>
    </row>
    <row r="206">
      <c r="A206" s="51"/>
      <c r="B206" s="51"/>
      <c r="C206" s="52"/>
      <c r="D206" s="51"/>
      <c r="E206" s="53"/>
      <c r="F206" s="54"/>
      <c r="G206" s="51"/>
      <c r="H206" s="51"/>
      <c r="I206" s="55"/>
      <c r="J206" s="56"/>
      <c r="K206" s="46"/>
      <c r="L206" s="46"/>
      <c r="M206" s="47"/>
      <c r="N206" s="46"/>
      <c r="O206" s="57"/>
      <c r="P206" s="46"/>
      <c r="Q206" s="46"/>
      <c r="R206" s="57"/>
      <c r="S206" s="7"/>
      <c r="T206" s="54"/>
      <c r="U206" s="58"/>
      <c r="V206" s="47"/>
      <c r="W206" s="18"/>
      <c r="X206" s="46"/>
      <c r="Y206" s="9"/>
      <c r="Z206" s="46"/>
      <c r="AA206" s="7"/>
      <c r="AB206" s="46"/>
      <c r="AC206" s="47"/>
      <c r="AD206" s="7"/>
      <c r="AE206" s="47"/>
      <c r="AF206" s="18"/>
      <c r="AG206" s="26"/>
      <c r="AH206" s="34"/>
      <c r="AI206" s="34"/>
      <c r="AJ206" s="18"/>
      <c r="AK206" s="48"/>
      <c r="AL206" s="9" t="str">
        <f>IFERROR(__xludf.DUMMYFUNCTION("""COMPUTED_VALUE"""),"* LECEO *")</f>
        <v>* LECEO *</v>
      </c>
      <c r="AM206" s="9">
        <f>IFERROR(__xludf.DUMMYFUNCTION("""COMPUTED_VALUE"""),34910.0)</f>
        <v>34910</v>
      </c>
    </row>
    <row r="207">
      <c r="A207" s="51"/>
      <c r="B207" s="51"/>
      <c r="C207" s="52"/>
      <c r="D207" s="51"/>
      <c r="E207" s="53"/>
      <c r="F207" s="54"/>
      <c r="G207" s="51"/>
      <c r="H207" s="51"/>
      <c r="I207" s="55"/>
      <c r="J207" s="56"/>
      <c r="K207" s="46"/>
      <c r="L207" s="46"/>
      <c r="M207" s="47"/>
      <c r="N207" s="46"/>
      <c r="O207" s="57"/>
      <c r="P207" s="46"/>
      <c r="Q207" s="46"/>
      <c r="R207" s="57"/>
      <c r="S207" s="7"/>
      <c r="T207" s="54"/>
      <c r="U207" s="58"/>
      <c r="V207" s="47"/>
      <c r="W207" s="18"/>
      <c r="X207" s="46"/>
      <c r="Y207" s="9"/>
      <c r="Z207" s="46"/>
      <c r="AA207" s="7"/>
      <c r="AB207" s="46"/>
      <c r="AC207" s="47"/>
      <c r="AD207" s="7"/>
      <c r="AE207" s="47"/>
      <c r="AF207" s="18"/>
      <c r="AG207" s="26"/>
      <c r="AH207" s="34"/>
      <c r="AI207" s="34"/>
      <c r="AJ207" s="18"/>
      <c r="AK207" s="48"/>
      <c r="AL207" s="9" t="str">
        <f>IFERROR(__xludf.DUMMYFUNCTION("""COMPUTED_VALUE"""),"* LECGD *")</f>
        <v>* LECGD *</v>
      </c>
      <c r="AM207" s="9">
        <f>IFERROR(__xludf.DUMMYFUNCTION("""COMPUTED_VALUE"""),26.0)</f>
        <v>26</v>
      </c>
    </row>
    <row r="208">
      <c r="A208" s="51"/>
      <c r="B208" s="51"/>
      <c r="C208" s="52"/>
      <c r="D208" s="51"/>
      <c r="E208" s="53"/>
      <c r="F208" s="54"/>
      <c r="G208" s="51"/>
      <c r="H208" s="51"/>
      <c r="I208" s="55"/>
      <c r="J208" s="56"/>
      <c r="K208" s="46"/>
      <c r="L208" s="46"/>
      <c r="M208" s="47"/>
      <c r="N208" s="46"/>
      <c r="O208" s="57"/>
      <c r="P208" s="46"/>
      <c r="Q208" s="46"/>
      <c r="R208" s="57"/>
      <c r="S208" s="7"/>
      <c r="T208" s="54"/>
      <c r="U208" s="58"/>
      <c r="V208" s="47"/>
      <c r="W208" s="18"/>
      <c r="X208" s="46"/>
      <c r="Y208" s="9"/>
      <c r="Z208" s="46"/>
      <c r="AA208" s="7"/>
      <c r="AB208" s="46"/>
      <c r="AC208" s="47"/>
      <c r="AD208" s="7"/>
      <c r="AE208" s="47"/>
      <c r="AF208" s="18"/>
      <c r="AG208" s="26"/>
      <c r="AH208" s="34"/>
      <c r="AI208" s="34"/>
      <c r="AJ208" s="18"/>
      <c r="AK208" s="48"/>
      <c r="AL208" s="9" t="str">
        <f>IFERROR(__xludf.DUMMYFUNCTION("""COMPUTED_VALUE"""),"* LECGO *")</f>
        <v>* LECGO *</v>
      </c>
      <c r="AM208" s="9">
        <f>IFERROR(__xludf.DUMMYFUNCTION("""COMPUTED_VALUE"""),38450.0)</f>
        <v>38450</v>
      </c>
    </row>
    <row r="209">
      <c r="A209" s="51"/>
      <c r="B209" s="51"/>
      <c r="C209" s="52"/>
      <c r="D209" s="51"/>
      <c r="E209" s="53"/>
      <c r="F209" s="54"/>
      <c r="G209" s="51"/>
      <c r="H209" s="51"/>
      <c r="I209" s="55"/>
      <c r="J209" s="56"/>
      <c r="K209" s="46"/>
      <c r="L209" s="46"/>
      <c r="M209" s="47"/>
      <c r="N209" s="46"/>
      <c r="O209" s="57"/>
      <c r="P209" s="46"/>
      <c r="Q209" s="46"/>
      <c r="R209" s="57"/>
      <c r="S209" s="7"/>
      <c r="T209" s="54"/>
      <c r="U209" s="58"/>
      <c r="V209" s="47"/>
      <c r="W209" s="18"/>
      <c r="X209" s="46"/>
      <c r="Y209" s="9"/>
      <c r="Z209" s="46"/>
      <c r="AA209" s="7"/>
      <c r="AB209" s="46"/>
      <c r="AC209" s="47"/>
      <c r="AD209" s="7"/>
      <c r="AE209" s="47"/>
      <c r="AF209" s="18"/>
      <c r="AG209" s="26"/>
      <c r="AH209" s="34"/>
      <c r="AI209" s="34"/>
      <c r="AJ209" s="18"/>
      <c r="AK209" s="48"/>
      <c r="AL209" s="9" t="str">
        <f>IFERROR(__xludf.DUMMYFUNCTION("""COMPUTED_VALUE"""),"* LECHD *")</f>
        <v>* LECHD *</v>
      </c>
      <c r="AM209" s="9">
        <f>IFERROR(__xludf.DUMMYFUNCTION("""COMPUTED_VALUE"""),19.0)</f>
        <v>19</v>
      </c>
    </row>
    <row r="210">
      <c r="A210" s="51"/>
      <c r="B210" s="51"/>
      <c r="C210" s="52"/>
      <c r="D210" s="51"/>
      <c r="E210" s="53"/>
      <c r="F210" s="54"/>
      <c r="G210" s="51"/>
      <c r="H210" s="51"/>
      <c r="I210" s="55"/>
      <c r="J210" s="56"/>
      <c r="K210" s="46"/>
      <c r="L210" s="46"/>
      <c r="M210" s="47"/>
      <c r="N210" s="46"/>
      <c r="O210" s="57"/>
      <c r="P210" s="46"/>
      <c r="Q210" s="46"/>
      <c r="R210" s="57"/>
      <c r="S210" s="7"/>
      <c r="T210" s="54"/>
      <c r="U210" s="58"/>
      <c r="V210" s="47"/>
      <c r="W210" s="18"/>
      <c r="X210" s="46"/>
      <c r="Y210" s="9"/>
      <c r="Z210" s="46"/>
      <c r="AA210" s="7"/>
      <c r="AB210" s="46"/>
      <c r="AC210" s="47"/>
      <c r="AD210" s="7"/>
      <c r="AE210" s="47"/>
      <c r="AF210" s="18"/>
      <c r="AG210" s="26"/>
      <c r="AH210" s="34"/>
      <c r="AI210" s="34"/>
      <c r="AJ210" s="18"/>
      <c r="AK210" s="48"/>
      <c r="AL210" s="9" t="str">
        <f>IFERROR(__xludf.DUMMYFUNCTION("""COMPUTED_VALUE"""),"* LECHO *")</f>
        <v>* LECHO *</v>
      </c>
      <c r="AM210" s="9">
        <f>IFERROR(__xludf.DUMMYFUNCTION("""COMPUTED_VALUE"""),29970.0)</f>
        <v>29970</v>
      </c>
    </row>
    <row r="211">
      <c r="A211" s="51"/>
      <c r="B211" s="51"/>
      <c r="C211" s="52"/>
      <c r="D211" s="51"/>
      <c r="E211" s="53"/>
      <c r="F211" s="54"/>
      <c r="G211" s="51"/>
      <c r="H211" s="51"/>
      <c r="I211" s="55"/>
      <c r="J211" s="56"/>
      <c r="K211" s="46"/>
      <c r="L211" s="46"/>
      <c r="M211" s="47"/>
      <c r="N211" s="46"/>
      <c r="O211" s="57"/>
      <c r="P211" s="46"/>
      <c r="Q211" s="46"/>
      <c r="R211" s="57"/>
      <c r="S211" s="7"/>
      <c r="T211" s="54"/>
      <c r="U211" s="58"/>
      <c r="V211" s="47"/>
      <c r="W211" s="18"/>
      <c r="X211" s="46"/>
      <c r="Y211" s="9"/>
      <c r="Z211" s="46"/>
      <c r="AA211" s="7"/>
      <c r="AB211" s="46"/>
      <c r="AC211" s="47"/>
      <c r="AD211" s="7"/>
      <c r="AE211" s="47"/>
      <c r="AF211" s="18"/>
      <c r="AG211" s="26"/>
      <c r="AH211" s="34"/>
      <c r="AI211" s="34"/>
      <c r="AJ211" s="18"/>
      <c r="AK211" s="48"/>
      <c r="AL211" s="9" t="str">
        <f>IFERROR(__xludf.DUMMYFUNCTION("""COMPUTED_VALUE"""),"* LECID *")</f>
        <v>* LECID *</v>
      </c>
      <c r="AM211" s="9">
        <f>IFERROR(__xludf.DUMMYFUNCTION("""COMPUTED_VALUE"""),32.0)</f>
        <v>32</v>
      </c>
    </row>
    <row r="212">
      <c r="A212" s="51"/>
      <c r="B212" s="51"/>
      <c r="C212" s="52"/>
      <c r="D212" s="51"/>
      <c r="E212" s="53"/>
      <c r="F212" s="54"/>
      <c r="G212" s="51"/>
      <c r="H212" s="51"/>
      <c r="I212" s="55"/>
      <c r="J212" s="56"/>
      <c r="K212" s="46"/>
      <c r="L212" s="46"/>
      <c r="M212" s="47"/>
      <c r="N212" s="46"/>
      <c r="O212" s="57"/>
      <c r="P212" s="46"/>
      <c r="Q212" s="46"/>
      <c r="R212" s="57"/>
      <c r="S212" s="7"/>
      <c r="T212" s="54"/>
      <c r="U212" s="58"/>
      <c r="V212" s="47"/>
      <c r="W212" s="18"/>
      <c r="X212" s="46"/>
      <c r="Y212" s="9"/>
      <c r="Z212" s="46"/>
      <c r="AA212" s="7"/>
      <c r="AB212" s="46"/>
      <c r="AC212" s="47"/>
      <c r="AD212" s="7"/>
      <c r="AE212" s="47"/>
      <c r="AF212" s="18"/>
      <c r="AG212" s="26"/>
      <c r="AH212" s="34"/>
      <c r="AI212" s="34"/>
      <c r="AJ212" s="18"/>
      <c r="AK212" s="48"/>
      <c r="AL212" s="9" t="str">
        <f>IFERROR(__xludf.DUMMYFUNCTION("""COMPUTED_VALUE"""),"* LECIO *")</f>
        <v>* LECIO *</v>
      </c>
      <c r="AM212" s="9">
        <f>IFERROR(__xludf.DUMMYFUNCTION("""COMPUTED_VALUE"""),29500.0)</f>
        <v>29500</v>
      </c>
    </row>
    <row r="213">
      <c r="A213" s="51"/>
      <c r="B213" s="51"/>
      <c r="C213" s="52"/>
      <c r="D213" s="51"/>
      <c r="E213" s="53"/>
      <c r="F213" s="54"/>
      <c r="G213" s="51"/>
      <c r="H213" s="51"/>
      <c r="I213" s="55"/>
      <c r="J213" s="56"/>
      <c r="K213" s="46"/>
      <c r="L213" s="46"/>
      <c r="M213" s="47"/>
      <c r="N213" s="46"/>
      <c r="O213" s="57"/>
      <c r="P213" s="46"/>
      <c r="Q213" s="46"/>
      <c r="R213" s="57"/>
      <c r="S213" s="7"/>
      <c r="T213" s="54"/>
      <c r="U213" s="58"/>
      <c r="V213" s="47"/>
      <c r="W213" s="18"/>
      <c r="X213" s="46"/>
      <c r="Y213" s="9"/>
      <c r="Z213" s="46"/>
      <c r="AA213" s="7"/>
      <c r="AB213" s="46"/>
      <c r="AC213" s="47"/>
      <c r="AD213" s="7"/>
      <c r="AE213" s="47"/>
      <c r="AF213" s="18"/>
      <c r="AG213" s="26"/>
      <c r="AH213" s="34"/>
      <c r="AI213" s="34"/>
      <c r="AJ213" s="18"/>
      <c r="AK213" s="48"/>
      <c r="AL213" s="9" t="str">
        <f>IFERROR(__xludf.DUMMYFUNCTION("""COMPUTED_VALUE"""),"* LECLO *")</f>
        <v>* LECLO *</v>
      </c>
      <c r="AM213" s="9">
        <f>IFERROR(__xludf.DUMMYFUNCTION("""COMPUTED_VALUE"""),70300.0)</f>
        <v>70300</v>
      </c>
    </row>
    <row r="214">
      <c r="A214" s="51"/>
      <c r="B214" s="51"/>
      <c r="C214" s="52"/>
      <c r="D214" s="51"/>
      <c r="E214" s="53"/>
      <c r="F214" s="54"/>
      <c r="G214" s="51"/>
      <c r="H214" s="51"/>
      <c r="I214" s="55"/>
      <c r="J214" s="56"/>
      <c r="K214" s="46"/>
      <c r="L214" s="46"/>
      <c r="M214" s="47"/>
      <c r="N214" s="46"/>
      <c r="O214" s="57"/>
      <c r="P214" s="46"/>
      <c r="Q214" s="46"/>
      <c r="R214" s="57"/>
      <c r="S214" s="7"/>
      <c r="T214" s="54"/>
      <c r="U214" s="58"/>
      <c r="V214" s="47"/>
      <c r="W214" s="18"/>
      <c r="X214" s="46"/>
      <c r="Y214" s="9"/>
      <c r="Z214" s="46"/>
      <c r="AA214" s="7"/>
      <c r="AB214" s="46"/>
      <c r="AC214" s="47"/>
      <c r="AD214" s="7"/>
      <c r="AE214" s="47"/>
      <c r="AF214" s="18"/>
      <c r="AG214" s="26"/>
      <c r="AH214" s="34"/>
      <c r="AI214" s="34"/>
      <c r="AJ214" s="18"/>
      <c r="AK214" s="48"/>
      <c r="AL214" s="9" t="str">
        <f>IFERROR(__xludf.DUMMYFUNCTION("""COMPUTED_VALUE"""),"* LIC6D *")</f>
        <v>* LIC6D *</v>
      </c>
      <c r="AM214" s="9">
        <f>IFERROR(__xludf.DUMMYFUNCTION("""COMPUTED_VALUE"""),88.0)</f>
        <v>88</v>
      </c>
    </row>
    <row r="215">
      <c r="A215" s="51"/>
      <c r="B215" s="51"/>
      <c r="C215" s="52"/>
      <c r="D215" s="51"/>
      <c r="E215" s="53"/>
      <c r="F215" s="54"/>
      <c r="G215" s="51"/>
      <c r="H215" s="51"/>
      <c r="I215" s="55"/>
      <c r="J215" s="56"/>
      <c r="K215" s="46"/>
      <c r="L215" s="46"/>
      <c r="M215" s="47"/>
      <c r="N215" s="46"/>
      <c r="O215" s="57"/>
      <c r="P215" s="46"/>
      <c r="Q215" s="46"/>
      <c r="R215" s="57"/>
      <c r="S215" s="7"/>
      <c r="T215" s="54"/>
      <c r="U215" s="58"/>
      <c r="V215" s="47"/>
      <c r="W215" s="18"/>
      <c r="X215" s="46"/>
      <c r="Y215" s="9"/>
      <c r="Z215" s="46"/>
      <c r="AA215" s="7"/>
      <c r="AB215" s="46"/>
      <c r="AC215" s="47"/>
      <c r="AD215" s="7"/>
      <c r="AE215" s="47"/>
      <c r="AF215" s="18"/>
      <c r="AG215" s="26"/>
      <c r="AH215" s="34"/>
      <c r="AI215" s="34"/>
      <c r="AJ215" s="18"/>
      <c r="AK215" s="48"/>
      <c r="AL215" s="9" t="str">
        <f>IFERROR(__xludf.DUMMYFUNCTION("""COMPUTED_VALUE"""),"* LIC6O *")</f>
        <v>* LIC6O *</v>
      </c>
      <c r="AM215" s="9">
        <f>IFERROR(__xludf.DUMMYFUNCTION("""COMPUTED_VALUE"""),129000.0)</f>
        <v>129000</v>
      </c>
    </row>
    <row r="216">
      <c r="A216" s="51"/>
      <c r="B216" s="51"/>
      <c r="C216" s="52"/>
      <c r="D216" s="51"/>
      <c r="E216" s="53"/>
      <c r="F216" s="54"/>
      <c r="G216" s="51"/>
      <c r="H216" s="51"/>
      <c r="I216" s="55"/>
      <c r="J216" s="56"/>
      <c r="K216" s="46"/>
      <c r="L216" s="46"/>
      <c r="M216" s="47"/>
      <c r="N216" s="46"/>
      <c r="O216" s="57"/>
      <c r="P216" s="46"/>
      <c r="Q216" s="46"/>
      <c r="R216" s="57"/>
      <c r="S216" s="7"/>
      <c r="T216" s="54"/>
      <c r="U216" s="58"/>
      <c r="V216" s="47"/>
      <c r="W216" s="18"/>
      <c r="X216" s="46"/>
      <c r="Y216" s="9"/>
      <c r="Z216" s="46"/>
      <c r="AA216" s="7"/>
      <c r="AB216" s="46"/>
      <c r="AC216" s="47"/>
      <c r="AD216" s="7"/>
      <c r="AE216" s="47"/>
      <c r="AF216" s="18"/>
      <c r="AG216" s="26"/>
      <c r="AH216" s="34"/>
      <c r="AI216" s="34"/>
      <c r="AJ216" s="18"/>
      <c r="AK216" s="48"/>
      <c r="AL216" s="9" t="str">
        <f>IFERROR(__xludf.DUMMYFUNCTION("""COMPUTED_VALUE"""),"* LMS4O *")</f>
        <v>* LMS4O *</v>
      </c>
      <c r="AM216" s="9">
        <f>IFERROR(__xludf.DUMMYFUNCTION("""COMPUTED_VALUE"""),130970.0)</f>
        <v>130970</v>
      </c>
    </row>
    <row r="217">
      <c r="A217" s="51"/>
      <c r="B217" s="51"/>
      <c r="C217" s="52"/>
      <c r="D217" s="51"/>
      <c r="E217" s="53"/>
      <c r="F217" s="54"/>
      <c r="G217" s="51"/>
      <c r="H217" s="51"/>
      <c r="I217" s="55"/>
      <c r="J217" s="56"/>
      <c r="K217" s="46"/>
      <c r="L217" s="46"/>
      <c r="M217" s="47"/>
      <c r="N217" s="46"/>
      <c r="O217" s="57"/>
      <c r="P217" s="46"/>
      <c r="Q217" s="46"/>
      <c r="R217" s="57"/>
      <c r="S217" s="7"/>
      <c r="T217" s="54"/>
      <c r="U217" s="58"/>
      <c r="V217" s="47"/>
      <c r="W217" s="18"/>
      <c r="X217" s="46"/>
      <c r="Y217" s="9"/>
      <c r="Z217" s="46"/>
      <c r="AA217" s="7"/>
      <c r="AB217" s="46"/>
      <c r="AC217" s="47"/>
      <c r="AD217" s="7"/>
      <c r="AE217" s="47"/>
      <c r="AF217" s="18"/>
      <c r="AG217" s="26"/>
      <c r="AH217" s="34"/>
      <c r="AI217" s="34"/>
      <c r="AJ217" s="18"/>
      <c r="AK217" s="48"/>
      <c r="AL217" s="9" t="str">
        <f>IFERROR(__xludf.DUMMYFUNCTION("""COMPUTED_VALUE"""),"* LMS7D *")</f>
        <v>* LMS7D *</v>
      </c>
      <c r="AM217" s="9">
        <f>IFERROR(__xludf.DUMMYFUNCTION("""COMPUTED_VALUE"""),102.5)</f>
        <v>102.5</v>
      </c>
    </row>
    <row r="218">
      <c r="A218" s="51"/>
      <c r="B218" s="51"/>
      <c r="C218" s="52"/>
      <c r="D218" s="51"/>
      <c r="E218" s="53"/>
      <c r="F218" s="54"/>
      <c r="G218" s="51"/>
      <c r="H218" s="51"/>
      <c r="I218" s="55"/>
      <c r="J218" s="56"/>
      <c r="K218" s="46"/>
      <c r="L218" s="46"/>
      <c r="M218" s="47"/>
      <c r="N218" s="46"/>
      <c r="O218" s="57"/>
      <c r="P218" s="46"/>
      <c r="Q218" s="46"/>
      <c r="R218" s="57"/>
      <c r="S218" s="7"/>
      <c r="T218" s="54"/>
      <c r="U218" s="58"/>
      <c r="V218" s="47"/>
      <c r="W218" s="18"/>
      <c r="X218" s="46"/>
      <c r="Y218" s="9"/>
      <c r="Z218" s="46"/>
      <c r="AA218" s="7"/>
      <c r="AB218" s="46"/>
      <c r="AC218" s="47"/>
      <c r="AD218" s="7"/>
      <c r="AE218" s="47"/>
      <c r="AF218" s="18"/>
      <c r="AG218" s="26"/>
      <c r="AH218" s="34"/>
      <c r="AI218" s="34"/>
      <c r="AJ218" s="18"/>
      <c r="AK218" s="48"/>
      <c r="AL218" s="9" t="str">
        <f>IFERROR(__xludf.DUMMYFUNCTION("""COMPUTED_VALUE"""),"* LMS7O *")</f>
        <v>* LMS7O *</v>
      </c>
      <c r="AM218" s="9">
        <f>IFERROR(__xludf.DUMMYFUNCTION("""COMPUTED_VALUE"""),157810.0)</f>
        <v>157810</v>
      </c>
    </row>
    <row r="219">
      <c r="A219" s="51"/>
      <c r="B219" s="51"/>
      <c r="C219" s="52"/>
      <c r="D219" s="51"/>
      <c r="E219" s="53"/>
      <c r="F219" s="54"/>
      <c r="G219" s="51"/>
      <c r="H219" s="51"/>
      <c r="I219" s="55"/>
      <c r="J219" s="56"/>
      <c r="K219" s="46"/>
      <c r="L219" s="46"/>
      <c r="M219" s="47"/>
      <c r="N219" s="46"/>
      <c r="O219" s="57"/>
      <c r="P219" s="46"/>
      <c r="Q219" s="46"/>
      <c r="R219" s="57"/>
      <c r="S219" s="7"/>
      <c r="T219" s="54"/>
      <c r="U219" s="58"/>
      <c r="V219" s="47"/>
      <c r="W219" s="18"/>
      <c r="X219" s="46"/>
      <c r="Y219" s="9"/>
      <c r="Z219" s="46"/>
      <c r="AA219" s="7"/>
      <c r="AB219" s="46"/>
      <c r="AC219" s="47"/>
      <c r="AD219" s="7"/>
      <c r="AE219" s="47"/>
      <c r="AF219" s="18"/>
      <c r="AG219" s="26"/>
      <c r="AH219" s="34"/>
      <c r="AI219" s="34"/>
      <c r="AJ219" s="18"/>
      <c r="AK219" s="48"/>
      <c r="AL219" s="9" t="str">
        <f>IFERROR(__xludf.DUMMYFUNCTION("""COMPUTED_VALUE"""),"* LMS8D *")</f>
        <v>* LMS8D *</v>
      </c>
      <c r="AM219" s="9">
        <f>IFERROR(__xludf.DUMMYFUNCTION("""COMPUTED_VALUE"""),103.55)</f>
        <v>103.55</v>
      </c>
    </row>
    <row r="220">
      <c r="A220" s="51"/>
      <c r="B220" s="51"/>
      <c r="C220" s="52"/>
      <c r="D220" s="51"/>
      <c r="E220" s="53"/>
      <c r="F220" s="54"/>
      <c r="G220" s="51"/>
      <c r="H220" s="51"/>
      <c r="I220" s="55"/>
      <c r="J220" s="56"/>
      <c r="K220" s="46"/>
      <c r="L220" s="46"/>
      <c r="M220" s="47"/>
      <c r="N220" s="46"/>
      <c r="O220" s="57"/>
      <c r="P220" s="46"/>
      <c r="Q220" s="46"/>
      <c r="R220" s="57"/>
      <c r="S220" s="7"/>
      <c r="T220" s="54"/>
      <c r="U220" s="58"/>
      <c r="V220" s="47"/>
      <c r="W220" s="18"/>
      <c r="X220" s="46"/>
      <c r="Y220" s="9"/>
      <c r="Z220" s="46"/>
      <c r="AA220" s="7"/>
      <c r="AB220" s="46"/>
      <c r="AC220" s="47"/>
      <c r="AD220" s="7"/>
      <c r="AE220" s="47"/>
      <c r="AF220" s="18"/>
      <c r="AG220" s="26"/>
      <c r="AH220" s="34"/>
      <c r="AI220" s="34"/>
      <c r="AJ220" s="18"/>
      <c r="AK220" s="48"/>
      <c r="AL220" s="9" t="str">
        <f>IFERROR(__xludf.DUMMYFUNCTION("""COMPUTED_VALUE"""),"* LMS8O *")</f>
        <v>* LMS8O *</v>
      </c>
      <c r="AM220" s="9">
        <f>IFERROR(__xludf.DUMMYFUNCTION("""COMPUTED_VALUE"""),151690.0)</f>
        <v>151690</v>
      </c>
    </row>
    <row r="221">
      <c r="A221" s="51"/>
      <c r="B221" s="51"/>
      <c r="C221" s="52"/>
      <c r="D221" s="51"/>
      <c r="E221" s="53"/>
      <c r="F221" s="54"/>
      <c r="G221" s="51"/>
      <c r="H221" s="51"/>
      <c r="I221" s="55"/>
      <c r="J221" s="56"/>
      <c r="K221" s="46"/>
      <c r="L221" s="46"/>
      <c r="M221" s="47"/>
      <c r="N221" s="46"/>
      <c r="O221" s="57"/>
      <c r="P221" s="46"/>
      <c r="Q221" s="46"/>
      <c r="R221" s="57"/>
      <c r="S221" s="7"/>
      <c r="T221" s="54"/>
      <c r="U221" s="58"/>
      <c r="V221" s="47"/>
      <c r="W221" s="18"/>
      <c r="X221" s="46"/>
      <c r="Y221" s="9"/>
      <c r="Z221" s="46"/>
      <c r="AA221" s="7"/>
      <c r="AB221" s="46"/>
      <c r="AC221" s="47"/>
      <c r="AD221" s="7"/>
      <c r="AE221" s="47"/>
      <c r="AF221" s="18"/>
      <c r="AG221" s="26"/>
      <c r="AH221" s="34"/>
      <c r="AI221" s="34"/>
      <c r="AJ221" s="18"/>
      <c r="AK221" s="48"/>
      <c r="AL221" s="9" t="str">
        <f>IFERROR(__xludf.DUMMYFUNCTION("""COMPUTED_VALUE"""),"* LMS9D *")</f>
        <v>* LMS9D *</v>
      </c>
      <c r="AM221" s="9">
        <f>IFERROR(__xludf.DUMMYFUNCTION("""COMPUTED_VALUE"""),103.9)</f>
        <v>103.9</v>
      </c>
    </row>
    <row r="222">
      <c r="A222" s="51"/>
      <c r="B222" s="51"/>
      <c r="C222" s="52"/>
      <c r="D222" s="51"/>
      <c r="E222" s="53"/>
      <c r="F222" s="54"/>
      <c r="G222" s="51"/>
      <c r="H222" s="51"/>
      <c r="I222" s="55"/>
      <c r="J222" s="56"/>
      <c r="K222" s="46"/>
      <c r="L222" s="46"/>
      <c r="M222" s="47"/>
      <c r="N222" s="46"/>
      <c r="O222" s="57"/>
      <c r="P222" s="46"/>
      <c r="Q222" s="46"/>
      <c r="R222" s="57"/>
      <c r="S222" s="7"/>
      <c r="T222" s="54"/>
      <c r="U222" s="58"/>
      <c r="V222" s="47"/>
      <c r="W222" s="18"/>
      <c r="X222" s="46"/>
      <c r="Y222" s="9"/>
      <c r="Z222" s="46"/>
      <c r="AA222" s="7"/>
      <c r="AB222" s="46"/>
      <c r="AC222" s="47"/>
      <c r="AD222" s="7"/>
      <c r="AE222" s="47"/>
      <c r="AF222" s="18"/>
      <c r="AG222" s="26"/>
      <c r="AH222" s="34"/>
      <c r="AI222" s="34"/>
      <c r="AJ222" s="18"/>
      <c r="AK222" s="48"/>
      <c r="AL222" s="9" t="str">
        <f>IFERROR(__xludf.DUMMYFUNCTION("""COMPUTED_VALUE"""),"* LMS9O *")</f>
        <v>* LMS9O *</v>
      </c>
      <c r="AM222" s="9">
        <f>IFERROR(__xludf.DUMMYFUNCTION("""COMPUTED_VALUE"""),151060.0)</f>
        <v>151060</v>
      </c>
    </row>
    <row r="223">
      <c r="A223" s="51"/>
      <c r="B223" s="51"/>
      <c r="C223" s="52"/>
      <c r="D223" s="51"/>
      <c r="E223" s="53"/>
      <c r="F223" s="54"/>
      <c r="G223" s="51"/>
      <c r="H223" s="51"/>
      <c r="I223" s="55"/>
      <c r="J223" s="56"/>
      <c r="K223" s="46"/>
      <c r="L223" s="46"/>
      <c r="M223" s="47"/>
      <c r="N223" s="46"/>
      <c r="O223" s="57"/>
      <c r="P223" s="46"/>
      <c r="Q223" s="46"/>
      <c r="R223" s="57"/>
      <c r="S223" s="7"/>
      <c r="T223" s="54"/>
      <c r="U223" s="58"/>
      <c r="V223" s="47"/>
      <c r="W223" s="18"/>
      <c r="X223" s="46"/>
      <c r="Y223" s="9"/>
      <c r="Z223" s="46"/>
      <c r="AA223" s="7"/>
      <c r="AB223" s="46"/>
      <c r="AC223" s="47"/>
      <c r="AD223" s="7"/>
      <c r="AE223" s="47"/>
      <c r="AF223" s="18"/>
      <c r="AG223" s="26"/>
      <c r="AH223" s="34"/>
      <c r="AI223" s="34"/>
      <c r="AJ223" s="18"/>
      <c r="AK223" s="48"/>
      <c r="AL223" s="9" t="str">
        <f>IFERROR(__xludf.DUMMYFUNCTION("""COMPUTED_VALUE"""),"* LOC2C *")</f>
        <v>* LOC2C *</v>
      </c>
      <c r="AM223" s="9">
        <f>IFERROR(__xludf.DUMMYFUNCTION("""COMPUTED_VALUE"""),100.55)</f>
        <v>100.55</v>
      </c>
    </row>
    <row r="224">
      <c r="A224" s="51"/>
      <c r="B224" s="51"/>
      <c r="C224" s="52"/>
      <c r="D224" s="51"/>
      <c r="E224" s="53"/>
      <c r="F224" s="54"/>
      <c r="G224" s="51"/>
      <c r="H224" s="51"/>
      <c r="I224" s="55"/>
      <c r="J224" s="56"/>
      <c r="K224" s="46"/>
      <c r="L224" s="46"/>
      <c r="M224" s="47"/>
      <c r="N224" s="46"/>
      <c r="O224" s="57"/>
      <c r="P224" s="46"/>
      <c r="Q224" s="46"/>
      <c r="R224" s="57"/>
      <c r="S224" s="7"/>
      <c r="T224" s="54"/>
      <c r="U224" s="58"/>
      <c r="V224" s="47"/>
      <c r="W224" s="18"/>
      <c r="X224" s="46"/>
      <c r="Y224" s="9"/>
      <c r="Z224" s="46"/>
      <c r="AA224" s="7"/>
      <c r="AB224" s="46"/>
      <c r="AC224" s="47"/>
      <c r="AD224" s="7"/>
      <c r="AE224" s="47"/>
      <c r="AF224" s="18"/>
      <c r="AG224" s="26"/>
      <c r="AH224" s="34"/>
      <c r="AI224" s="34"/>
      <c r="AJ224" s="18"/>
      <c r="AK224" s="48"/>
      <c r="AL224" s="9" t="str">
        <f>IFERROR(__xludf.DUMMYFUNCTION("""COMPUTED_VALUE"""),"* LOC2D *")</f>
        <v>* LOC2D *</v>
      </c>
      <c r="AM224" s="9">
        <f>IFERROR(__xludf.DUMMYFUNCTION("""COMPUTED_VALUE"""),103.0)</f>
        <v>103</v>
      </c>
    </row>
    <row r="225">
      <c r="A225" s="51"/>
      <c r="B225" s="51"/>
      <c r="C225" s="52"/>
      <c r="D225" s="51"/>
      <c r="E225" s="53"/>
      <c r="F225" s="54"/>
      <c r="G225" s="51"/>
      <c r="H225" s="51"/>
      <c r="I225" s="55"/>
      <c r="J225" s="56"/>
      <c r="K225" s="46"/>
      <c r="L225" s="46"/>
      <c r="M225" s="47"/>
      <c r="N225" s="46"/>
      <c r="O225" s="57"/>
      <c r="P225" s="46"/>
      <c r="Q225" s="46"/>
      <c r="R225" s="57"/>
      <c r="S225" s="7"/>
      <c r="T225" s="54"/>
      <c r="U225" s="58"/>
      <c r="V225" s="47"/>
      <c r="W225" s="18"/>
      <c r="X225" s="46"/>
      <c r="Y225" s="9"/>
      <c r="Z225" s="46"/>
      <c r="AA225" s="7"/>
      <c r="AB225" s="46"/>
      <c r="AC225" s="47"/>
      <c r="AD225" s="7"/>
      <c r="AE225" s="47"/>
      <c r="AF225" s="18"/>
      <c r="AG225" s="26"/>
      <c r="AH225" s="34"/>
      <c r="AI225" s="34"/>
      <c r="AJ225" s="18"/>
      <c r="AK225" s="48"/>
      <c r="AL225" s="9" t="str">
        <f>IFERROR(__xludf.DUMMYFUNCTION("""COMPUTED_VALUE"""),"* LOC2O *")</f>
        <v>* LOC2O *</v>
      </c>
      <c r="AM225" s="9">
        <f>IFERROR(__xludf.DUMMYFUNCTION("""COMPUTED_VALUE"""),149410.0)</f>
        <v>149410</v>
      </c>
    </row>
    <row r="226">
      <c r="A226" s="51"/>
      <c r="B226" s="51"/>
      <c r="C226" s="52"/>
      <c r="D226" s="51"/>
      <c r="E226" s="53"/>
      <c r="F226" s="54"/>
      <c r="G226" s="51"/>
      <c r="H226" s="51"/>
      <c r="I226" s="55"/>
      <c r="J226" s="56"/>
      <c r="K226" s="46"/>
      <c r="L226" s="46"/>
      <c r="M226" s="47"/>
      <c r="N226" s="46"/>
      <c r="O226" s="57"/>
      <c r="P226" s="46"/>
      <c r="Q226" s="46"/>
      <c r="R226" s="57"/>
      <c r="S226" s="7"/>
      <c r="T226" s="54"/>
      <c r="U226" s="58"/>
      <c r="V226" s="47"/>
      <c r="W226" s="18"/>
      <c r="X226" s="46"/>
      <c r="Y226" s="9"/>
      <c r="Z226" s="46"/>
      <c r="AA226" s="7"/>
      <c r="AB226" s="46"/>
      <c r="AC226" s="47"/>
      <c r="AD226" s="7"/>
      <c r="AE226" s="47"/>
      <c r="AF226" s="18"/>
      <c r="AG226" s="26"/>
      <c r="AH226" s="34"/>
      <c r="AI226" s="34"/>
      <c r="AJ226" s="18"/>
      <c r="AK226" s="48"/>
      <c r="AL226" s="9" t="str">
        <f>IFERROR(__xludf.DUMMYFUNCTION("""COMPUTED_VALUE"""),"* LOC3C *")</f>
        <v>* LOC3C *</v>
      </c>
      <c r="AM226" s="9">
        <f>IFERROR(__xludf.DUMMYFUNCTION("""COMPUTED_VALUE"""),103.4)</f>
        <v>103.4</v>
      </c>
    </row>
    <row r="227">
      <c r="A227" s="51"/>
      <c r="B227" s="51"/>
      <c r="C227" s="52"/>
      <c r="D227" s="51"/>
      <c r="E227" s="53"/>
      <c r="F227" s="54"/>
      <c r="G227" s="51"/>
      <c r="H227" s="51"/>
      <c r="I227" s="55"/>
      <c r="J227" s="56"/>
      <c r="K227" s="46"/>
      <c r="L227" s="46"/>
      <c r="M227" s="47"/>
      <c r="N227" s="46"/>
      <c r="O227" s="57"/>
      <c r="P227" s="46"/>
      <c r="Q227" s="46"/>
      <c r="R227" s="57"/>
      <c r="S227" s="7"/>
      <c r="T227" s="54"/>
      <c r="U227" s="58"/>
      <c r="V227" s="47"/>
      <c r="W227" s="18"/>
      <c r="X227" s="46"/>
      <c r="Y227" s="9"/>
      <c r="Z227" s="46"/>
      <c r="AA227" s="7"/>
      <c r="AB227" s="46"/>
      <c r="AC227" s="47"/>
      <c r="AD227" s="7"/>
      <c r="AE227" s="47"/>
      <c r="AF227" s="18"/>
      <c r="AG227" s="26"/>
      <c r="AH227" s="34"/>
      <c r="AI227" s="34"/>
      <c r="AJ227" s="18"/>
      <c r="AK227" s="48"/>
      <c r="AL227" s="9" t="str">
        <f>IFERROR(__xludf.DUMMYFUNCTION("""COMPUTED_VALUE"""),"* LOC3D *")</f>
        <v>* LOC3D *</v>
      </c>
      <c r="AM227" s="9">
        <f>IFERROR(__xludf.DUMMYFUNCTION("""COMPUTED_VALUE"""),101.7)</f>
        <v>101.7</v>
      </c>
    </row>
    <row r="228">
      <c r="A228" s="51"/>
      <c r="B228" s="51"/>
      <c r="C228" s="52"/>
      <c r="D228" s="51"/>
      <c r="E228" s="53"/>
      <c r="F228" s="54"/>
      <c r="G228" s="51"/>
      <c r="H228" s="51"/>
      <c r="I228" s="55"/>
      <c r="J228" s="56"/>
      <c r="K228" s="46"/>
      <c r="L228" s="46"/>
      <c r="M228" s="47"/>
      <c r="N228" s="46"/>
      <c r="O228" s="57"/>
      <c r="P228" s="46"/>
      <c r="Q228" s="46"/>
      <c r="R228" s="57"/>
      <c r="S228" s="7"/>
      <c r="T228" s="54"/>
      <c r="U228" s="58"/>
      <c r="V228" s="47"/>
      <c r="W228" s="18"/>
      <c r="X228" s="46"/>
      <c r="Y228" s="9"/>
      <c r="Z228" s="46"/>
      <c r="AA228" s="7"/>
      <c r="AB228" s="46"/>
      <c r="AC228" s="47"/>
      <c r="AD228" s="7"/>
      <c r="AE228" s="47"/>
      <c r="AF228" s="18"/>
      <c r="AG228" s="26"/>
      <c r="AH228" s="34"/>
      <c r="AI228" s="34"/>
      <c r="AJ228" s="18"/>
      <c r="AK228" s="48"/>
      <c r="AL228" s="9" t="str">
        <f>IFERROR(__xludf.DUMMYFUNCTION("""COMPUTED_VALUE"""),"* LOC3O *")</f>
        <v>* LOC3O *</v>
      </c>
      <c r="AM228" s="9">
        <f>IFERROR(__xludf.DUMMYFUNCTION("""COMPUTED_VALUE"""),148900.0)</f>
        <v>148900</v>
      </c>
    </row>
    <row r="229">
      <c r="A229" s="51"/>
      <c r="B229" s="51"/>
      <c r="C229" s="52"/>
      <c r="D229" s="51"/>
      <c r="E229" s="53"/>
      <c r="F229" s="54"/>
      <c r="G229" s="51"/>
      <c r="H229" s="51"/>
      <c r="I229" s="55"/>
      <c r="J229" s="56"/>
      <c r="K229" s="46"/>
      <c r="L229" s="46"/>
      <c r="M229" s="47"/>
      <c r="N229" s="46"/>
      <c r="O229" s="57"/>
      <c r="P229" s="46"/>
      <c r="Q229" s="46"/>
      <c r="R229" s="57"/>
      <c r="S229" s="7"/>
      <c r="T229" s="54"/>
      <c r="U229" s="58"/>
      <c r="V229" s="47"/>
      <c r="W229" s="18"/>
      <c r="X229" s="46"/>
      <c r="Y229" s="9"/>
      <c r="Z229" s="46"/>
      <c r="AA229" s="7"/>
      <c r="AB229" s="46"/>
      <c r="AC229" s="47"/>
      <c r="AD229" s="7"/>
      <c r="AE229" s="47"/>
      <c r="AF229" s="18"/>
      <c r="AG229" s="26"/>
      <c r="AH229" s="34"/>
      <c r="AI229" s="34"/>
      <c r="AJ229" s="18"/>
      <c r="AK229" s="48"/>
      <c r="AL229" s="9" t="str">
        <f>IFERROR(__xludf.DUMMYFUNCTION("""COMPUTED_VALUE"""),"* LOC5C *")</f>
        <v>* LOC5C *</v>
      </c>
      <c r="AM229" s="9">
        <f>IFERROR(__xludf.DUMMYFUNCTION("""COMPUTED_VALUE"""),104.5)</f>
        <v>104.5</v>
      </c>
    </row>
    <row r="230">
      <c r="A230" s="51"/>
      <c r="B230" s="51"/>
      <c r="C230" s="52"/>
      <c r="D230" s="51"/>
      <c r="E230" s="53"/>
      <c r="F230" s="54"/>
      <c r="G230" s="51"/>
      <c r="H230" s="51"/>
      <c r="I230" s="55"/>
      <c r="J230" s="56"/>
      <c r="K230" s="46"/>
      <c r="L230" s="46"/>
      <c r="M230" s="47"/>
      <c r="N230" s="46"/>
      <c r="O230" s="57"/>
      <c r="P230" s="46"/>
      <c r="Q230" s="46"/>
      <c r="R230" s="57"/>
      <c r="S230" s="7"/>
      <c r="T230" s="54"/>
      <c r="U230" s="58"/>
      <c r="V230" s="47"/>
      <c r="W230" s="18"/>
      <c r="X230" s="46"/>
      <c r="Y230" s="9"/>
      <c r="Z230" s="46"/>
      <c r="AA230" s="7"/>
      <c r="AB230" s="46"/>
      <c r="AC230" s="47"/>
      <c r="AD230" s="7"/>
      <c r="AE230" s="47"/>
      <c r="AF230" s="18"/>
      <c r="AG230" s="26"/>
      <c r="AH230" s="34"/>
      <c r="AI230" s="34"/>
      <c r="AJ230" s="18"/>
      <c r="AK230" s="48"/>
      <c r="AL230" s="9" t="str">
        <f>IFERROR(__xludf.DUMMYFUNCTION("""COMPUTED_VALUE"""),"* LOC5D *")</f>
        <v>* LOC5D *</v>
      </c>
      <c r="AM230" s="9">
        <f>IFERROR(__xludf.DUMMYFUNCTION("""COMPUTED_VALUE"""),104.4)</f>
        <v>104.4</v>
      </c>
    </row>
    <row r="231">
      <c r="A231" s="51"/>
      <c r="B231" s="51"/>
      <c r="C231" s="52"/>
      <c r="D231" s="51"/>
      <c r="E231" s="53"/>
      <c r="F231" s="54"/>
      <c r="G231" s="51"/>
      <c r="H231" s="51"/>
      <c r="I231" s="55"/>
      <c r="J231" s="56"/>
      <c r="K231" s="46"/>
      <c r="L231" s="46"/>
      <c r="M231" s="47"/>
      <c r="N231" s="46"/>
      <c r="O231" s="57"/>
      <c r="P231" s="46"/>
      <c r="Q231" s="46"/>
      <c r="R231" s="57"/>
      <c r="S231" s="7"/>
      <c r="T231" s="54"/>
      <c r="U231" s="58"/>
      <c r="V231" s="47"/>
      <c r="W231" s="18"/>
      <c r="X231" s="46"/>
      <c r="Y231" s="9"/>
      <c r="Z231" s="46"/>
      <c r="AA231" s="7"/>
      <c r="AB231" s="46"/>
      <c r="AC231" s="47"/>
      <c r="AD231" s="7"/>
      <c r="AE231" s="47"/>
      <c r="AF231" s="18"/>
      <c r="AG231" s="26"/>
      <c r="AH231" s="34"/>
      <c r="AI231" s="34"/>
      <c r="AJ231" s="18"/>
      <c r="AK231" s="48"/>
      <c r="AL231" s="9" t="str">
        <f>IFERROR(__xludf.DUMMYFUNCTION("""COMPUTED_VALUE"""),"* LOC5O *")</f>
        <v>* LOC5O *</v>
      </c>
      <c r="AM231" s="9">
        <f>IFERROR(__xludf.DUMMYFUNCTION("""COMPUTED_VALUE"""),153790.0)</f>
        <v>153790</v>
      </c>
    </row>
    <row r="232">
      <c r="A232" s="51"/>
      <c r="B232" s="51"/>
      <c r="C232" s="52"/>
      <c r="D232" s="51"/>
      <c r="E232" s="53"/>
      <c r="F232" s="54"/>
      <c r="G232" s="51"/>
      <c r="H232" s="51"/>
      <c r="I232" s="55"/>
      <c r="J232" s="56"/>
      <c r="K232" s="46"/>
      <c r="L232" s="46"/>
      <c r="M232" s="47"/>
      <c r="N232" s="46"/>
      <c r="O232" s="57"/>
      <c r="P232" s="46"/>
      <c r="Q232" s="46"/>
      <c r="R232" s="57"/>
      <c r="S232" s="7"/>
      <c r="T232" s="54"/>
      <c r="U232" s="58"/>
      <c r="V232" s="47"/>
      <c r="W232" s="18"/>
      <c r="X232" s="46"/>
      <c r="Y232" s="9"/>
      <c r="Z232" s="46"/>
      <c r="AA232" s="7"/>
      <c r="AB232" s="46"/>
      <c r="AC232" s="47"/>
      <c r="AD232" s="7"/>
      <c r="AE232" s="47"/>
      <c r="AF232" s="18"/>
      <c r="AG232" s="26"/>
      <c r="AH232" s="34"/>
      <c r="AI232" s="34"/>
      <c r="AJ232" s="18"/>
      <c r="AK232" s="48"/>
      <c r="AL232" s="9" t="str">
        <f>IFERROR(__xludf.DUMMYFUNCTION("""COMPUTED_VALUE"""),"* LR3DO *")</f>
        <v>* LR3DO *</v>
      </c>
      <c r="AM232" s="9">
        <f>IFERROR(__xludf.DUMMYFUNCTION("""COMPUTED_VALUE"""),125000.0)</f>
        <v>125000</v>
      </c>
    </row>
    <row r="233">
      <c r="A233" s="51"/>
      <c r="B233" s="51"/>
      <c r="C233" s="52"/>
      <c r="D233" s="51"/>
      <c r="E233" s="53"/>
      <c r="F233" s="54"/>
      <c r="G233" s="51"/>
      <c r="H233" s="51"/>
      <c r="I233" s="55"/>
      <c r="J233" s="56"/>
      <c r="K233" s="46"/>
      <c r="L233" s="46"/>
      <c r="M233" s="47"/>
      <c r="N233" s="46"/>
      <c r="O233" s="57"/>
      <c r="P233" s="46"/>
      <c r="Q233" s="46"/>
      <c r="R233" s="57"/>
      <c r="S233" s="7"/>
      <c r="T233" s="54"/>
      <c r="U233" s="58"/>
      <c r="V233" s="47"/>
      <c r="W233" s="18"/>
      <c r="X233" s="46"/>
      <c r="Y233" s="9"/>
      <c r="Z233" s="46"/>
      <c r="AA233" s="7"/>
      <c r="AB233" s="46"/>
      <c r="AC233" s="47"/>
      <c r="AD233" s="7"/>
      <c r="AE233" s="47"/>
      <c r="AF233" s="18"/>
      <c r="AG233" s="26"/>
      <c r="AH233" s="34"/>
      <c r="AI233" s="34"/>
      <c r="AJ233" s="18"/>
      <c r="AK233" s="48"/>
      <c r="AL233" s="9" t="str">
        <f>IFERROR(__xludf.DUMMYFUNCTION("""COMPUTED_VALUE"""),"* MCC1D *")</f>
        <v>* MCC1D *</v>
      </c>
      <c r="AM233" s="9">
        <f>IFERROR(__xludf.DUMMYFUNCTION("""COMPUTED_VALUE"""),97.5)</f>
        <v>97.5</v>
      </c>
    </row>
    <row r="234">
      <c r="A234" s="51"/>
      <c r="B234" s="51"/>
      <c r="C234" s="52"/>
      <c r="D234" s="51"/>
      <c r="E234" s="53"/>
      <c r="F234" s="54"/>
      <c r="G234" s="51"/>
      <c r="H234" s="51"/>
      <c r="I234" s="55"/>
      <c r="J234" s="56"/>
      <c r="K234" s="46"/>
      <c r="L234" s="46"/>
      <c r="M234" s="47"/>
      <c r="N234" s="46"/>
      <c r="O234" s="57"/>
      <c r="P234" s="46"/>
      <c r="Q234" s="46"/>
      <c r="R234" s="57"/>
      <c r="S234" s="7"/>
      <c r="T234" s="54"/>
      <c r="U234" s="58"/>
      <c r="V234" s="47"/>
      <c r="W234" s="18"/>
      <c r="X234" s="46"/>
      <c r="Y234" s="9"/>
      <c r="Z234" s="46"/>
      <c r="AA234" s="7"/>
      <c r="AB234" s="46"/>
      <c r="AC234" s="47"/>
      <c r="AD234" s="7"/>
      <c r="AE234" s="47"/>
      <c r="AF234" s="18"/>
      <c r="AG234" s="26"/>
      <c r="AH234" s="34"/>
      <c r="AI234" s="34"/>
      <c r="AJ234" s="18"/>
      <c r="AK234" s="48"/>
      <c r="AL234" s="9" t="str">
        <f>IFERROR(__xludf.DUMMYFUNCTION("""COMPUTED_VALUE"""),"* MCC1O *")</f>
        <v>* MCC1O *</v>
      </c>
      <c r="AM234" s="9">
        <f>IFERROR(__xludf.DUMMYFUNCTION("""COMPUTED_VALUE"""),141510.0)</f>
        <v>141510</v>
      </c>
    </row>
    <row r="235">
      <c r="A235" s="51"/>
      <c r="B235" s="51"/>
      <c r="C235" s="52"/>
      <c r="D235" s="51"/>
      <c r="E235" s="53"/>
      <c r="F235" s="54"/>
      <c r="G235" s="51"/>
      <c r="H235" s="51"/>
      <c r="I235" s="55"/>
      <c r="J235" s="56"/>
      <c r="K235" s="46"/>
      <c r="L235" s="46"/>
      <c r="M235" s="47"/>
      <c r="N235" s="46"/>
      <c r="O235" s="57"/>
      <c r="P235" s="46"/>
      <c r="Q235" s="46"/>
      <c r="R235" s="57"/>
      <c r="S235" s="7"/>
      <c r="T235" s="54"/>
      <c r="U235" s="58"/>
      <c r="V235" s="47"/>
      <c r="W235" s="18"/>
      <c r="X235" s="46"/>
      <c r="Y235" s="9"/>
      <c r="Z235" s="46"/>
      <c r="AA235" s="7"/>
      <c r="AB235" s="46"/>
      <c r="AC235" s="47"/>
      <c r="AD235" s="7"/>
      <c r="AE235" s="47"/>
      <c r="AF235" s="18"/>
      <c r="AG235" s="26"/>
      <c r="AH235" s="34"/>
      <c r="AI235" s="34"/>
      <c r="AJ235" s="18"/>
      <c r="AK235" s="48"/>
      <c r="AL235" s="9" t="str">
        <f>IFERROR(__xludf.DUMMYFUNCTION("""COMPUTED_VALUE"""),"* MCC2D *")</f>
        <v>* MCC2D *</v>
      </c>
      <c r="AM235" s="9">
        <f>IFERROR(__xludf.DUMMYFUNCTION("""COMPUTED_VALUE"""),97.5)</f>
        <v>97.5</v>
      </c>
    </row>
    <row r="236">
      <c r="A236" s="51"/>
      <c r="B236" s="51"/>
      <c r="C236" s="52"/>
      <c r="D236" s="51"/>
      <c r="E236" s="53"/>
      <c r="F236" s="54"/>
      <c r="G236" s="51"/>
      <c r="H236" s="51"/>
      <c r="I236" s="55"/>
      <c r="J236" s="56"/>
      <c r="K236" s="46"/>
      <c r="L236" s="46"/>
      <c r="M236" s="47"/>
      <c r="N236" s="46"/>
      <c r="O236" s="57"/>
      <c r="P236" s="46"/>
      <c r="Q236" s="46"/>
      <c r="R236" s="57"/>
      <c r="S236" s="7"/>
      <c r="T236" s="54"/>
      <c r="U236" s="58"/>
      <c r="V236" s="47"/>
      <c r="W236" s="18"/>
      <c r="X236" s="46"/>
      <c r="Y236" s="9"/>
      <c r="Z236" s="46"/>
      <c r="AA236" s="7"/>
      <c r="AB236" s="46"/>
      <c r="AC236" s="47"/>
      <c r="AD236" s="7"/>
      <c r="AE236" s="47"/>
      <c r="AF236" s="18"/>
      <c r="AG236" s="26"/>
      <c r="AH236" s="34"/>
      <c r="AI236" s="34"/>
      <c r="AJ236" s="18"/>
      <c r="AK236" s="48"/>
      <c r="AL236" s="9" t="str">
        <f>IFERROR(__xludf.DUMMYFUNCTION("""COMPUTED_VALUE"""),"* MCC2O *")</f>
        <v>* MCC2O *</v>
      </c>
      <c r="AM236" s="9">
        <f>IFERROR(__xludf.DUMMYFUNCTION("""COMPUTED_VALUE"""),141000.0)</f>
        <v>141000</v>
      </c>
    </row>
    <row r="237">
      <c r="A237" s="51"/>
      <c r="B237" s="51"/>
      <c r="C237" s="52"/>
      <c r="D237" s="51"/>
      <c r="E237" s="53"/>
      <c r="F237" s="54"/>
      <c r="G237" s="51"/>
      <c r="H237" s="51"/>
      <c r="I237" s="55"/>
      <c r="J237" s="56"/>
      <c r="K237" s="46"/>
      <c r="L237" s="46"/>
      <c r="M237" s="47"/>
      <c r="N237" s="46"/>
      <c r="O237" s="57"/>
      <c r="P237" s="46"/>
      <c r="Q237" s="46"/>
      <c r="R237" s="57"/>
      <c r="S237" s="7"/>
      <c r="T237" s="54"/>
      <c r="U237" s="58"/>
      <c r="V237" s="47"/>
      <c r="W237" s="18"/>
      <c r="X237" s="46"/>
      <c r="Y237" s="9"/>
      <c r="Z237" s="46"/>
      <c r="AA237" s="7"/>
      <c r="AB237" s="46"/>
      <c r="AC237" s="47"/>
      <c r="AD237" s="7"/>
      <c r="AE237" s="47"/>
      <c r="AF237" s="18"/>
      <c r="AG237" s="26"/>
      <c r="AH237" s="34"/>
      <c r="AI237" s="34"/>
      <c r="AJ237" s="18"/>
      <c r="AK237" s="48"/>
      <c r="AL237" s="9" t="str">
        <f>IFERROR(__xludf.DUMMYFUNCTION("""COMPUTED_VALUE"""),"* MGC1D *")</f>
        <v>* MGC1D *</v>
      </c>
      <c r="AM237" s="9">
        <f>IFERROR(__xludf.DUMMYFUNCTION("""COMPUTED_VALUE"""),104.75)</f>
        <v>104.75</v>
      </c>
    </row>
    <row r="238">
      <c r="A238" s="51"/>
      <c r="B238" s="51"/>
      <c r="C238" s="52"/>
      <c r="D238" s="51"/>
      <c r="E238" s="53"/>
      <c r="F238" s="54"/>
      <c r="G238" s="51"/>
      <c r="H238" s="51"/>
      <c r="I238" s="55"/>
      <c r="J238" s="56"/>
      <c r="K238" s="46"/>
      <c r="L238" s="46"/>
      <c r="M238" s="47"/>
      <c r="N238" s="46"/>
      <c r="O238" s="57"/>
      <c r="P238" s="46"/>
      <c r="Q238" s="46"/>
      <c r="R238" s="57"/>
      <c r="S238" s="7"/>
      <c r="T238" s="54"/>
      <c r="U238" s="58"/>
      <c r="V238" s="47"/>
      <c r="W238" s="18"/>
      <c r="X238" s="46"/>
      <c r="Y238" s="9"/>
      <c r="Z238" s="46"/>
      <c r="AA238" s="7"/>
      <c r="AB238" s="46"/>
      <c r="AC238" s="47"/>
      <c r="AD238" s="7"/>
      <c r="AE238" s="47"/>
      <c r="AF238" s="18"/>
      <c r="AG238" s="26"/>
      <c r="AH238" s="34"/>
      <c r="AI238" s="34"/>
      <c r="AJ238" s="18"/>
      <c r="AK238" s="48"/>
      <c r="AL238" s="9" t="str">
        <f>IFERROR(__xludf.DUMMYFUNCTION("""COMPUTED_VALUE"""),"* MGC1O *")</f>
        <v>* MGC1O *</v>
      </c>
      <c r="AM238" s="9">
        <f>IFERROR(__xludf.DUMMYFUNCTION("""COMPUTED_VALUE"""),111000.0)</f>
        <v>111000</v>
      </c>
    </row>
    <row r="239">
      <c r="A239" s="51"/>
      <c r="B239" s="51"/>
      <c r="C239" s="52"/>
      <c r="D239" s="51"/>
      <c r="E239" s="53"/>
      <c r="F239" s="54"/>
      <c r="G239" s="51"/>
      <c r="H239" s="51"/>
      <c r="I239" s="55"/>
      <c r="J239" s="56"/>
      <c r="K239" s="46"/>
      <c r="L239" s="46"/>
      <c r="M239" s="47"/>
      <c r="N239" s="46"/>
      <c r="O239" s="57"/>
      <c r="P239" s="46"/>
      <c r="Q239" s="46"/>
      <c r="R239" s="57"/>
      <c r="S239" s="7"/>
      <c r="T239" s="54"/>
      <c r="U239" s="58"/>
      <c r="V239" s="47"/>
      <c r="W239" s="18"/>
      <c r="X239" s="46"/>
      <c r="Y239" s="9"/>
      <c r="Z239" s="46"/>
      <c r="AA239" s="7"/>
      <c r="AB239" s="46"/>
      <c r="AC239" s="47"/>
      <c r="AD239" s="7"/>
      <c r="AE239" s="47"/>
      <c r="AF239" s="18"/>
      <c r="AG239" s="26"/>
      <c r="AH239" s="34"/>
      <c r="AI239" s="34"/>
      <c r="AJ239" s="18"/>
      <c r="AK239" s="48"/>
      <c r="AL239" s="9" t="str">
        <f>IFERROR(__xludf.DUMMYFUNCTION("""COMPUTED_VALUE"""),"* MGC3O *")</f>
        <v>* MGC3O *</v>
      </c>
      <c r="AM239" s="9">
        <f>IFERROR(__xludf.DUMMYFUNCTION("""COMPUTED_VALUE"""),125900.0)</f>
        <v>125900</v>
      </c>
    </row>
    <row r="240">
      <c r="A240" s="51"/>
      <c r="B240" s="51"/>
      <c r="C240" s="52"/>
      <c r="D240" s="51"/>
      <c r="E240" s="53"/>
      <c r="F240" s="54"/>
      <c r="G240" s="51"/>
      <c r="H240" s="51"/>
      <c r="I240" s="55"/>
      <c r="J240" s="56"/>
      <c r="K240" s="46"/>
      <c r="L240" s="46"/>
      <c r="M240" s="47"/>
      <c r="N240" s="46"/>
      <c r="O240" s="57"/>
      <c r="P240" s="46"/>
      <c r="Q240" s="46"/>
      <c r="R240" s="57"/>
      <c r="S240" s="7"/>
      <c r="T240" s="54"/>
      <c r="U240" s="58"/>
      <c r="V240" s="47"/>
      <c r="W240" s="18"/>
      <c r="X240" s="46"/>
      <c r="Y240" s="9"/>
      <c r="Z240" s="46"/>
      <c r="AA240" s="7"/>
      <c r="AB240" s="46"/>
      <c r="AC240" s="47"/>
      <c r="AD240" s="7"/>
      <c r="AE240" s="47"/>
      <c r="AF240" s="18"/>
      <c r="AG240" s="26"/>
      <c r="AH240" s="34"/>
      <c r="AI240" s="34"/>
      <c r="AJ240" s="18"/>
      <c r="AK240" s="48"/>
      <c r="AL240" s="9" t="str">
        <f>IFERROR(__xludf.DUMMYFUNCTION("""COMPUTED_VALUE"""),"* MGC9C *")</f>
        <v>* MGC9C *</v>
      </c>
      <c r="AM240" s="9">
        <f>IFERROR(__xludf.DUMMYFUNCTION("""COMPUTED_VALUE"""),70.3)</f>
        <v>70.3</v>
      </c>
    </row>
    <row r="241">
      <c r="A241" s="51"/>
      <c r="B241" s="51"/>
      <c r="C241" s="52"/>
      <c r="D241" s="51"/>
      <c r="E241" s="53"/>
      <c r="F241" s="54"/>
      <c r="G241" s="51"/>
      <c r="H241" s="51"/>
      <c r="I241" s="55"/>
      <c r="J241" s="56"/>
      <c r="K241" s="46"/>
      <c r="L241" s="46"/>
      <c r="M241" s="47"/>
      <c r="N241" s="46"/>
      <c r="O241" s="57"/>
      <c r="P241" s="46"/>
      <c r="Q241" s="46"/>
      <c r="R241" s="57"/>
      <c r="S241" s="7"/>
      <c r="T241" s="54"/>
      <c r="U241" s="58"/>
      <c r="V241" s="47"/>
      <c r="W241" s="18"/>
      <c r="X241" s="46"/>
      <c r="Y241" s="9"/>
      <c r="Z241" s="46"/>
      <c r="AA241" s="7"/>
      <c r="AB241" s="46"/>
      <c r="AC241" s="47"/>
      <c r="AD241" s="7"/>
      <c r="AE241" s="47"/>
      <c r="AF241" s="18"/>
      <c r="AG241" s="26"/>
      <c r="AH241" s="34"/>
      <c r="AI241" s="34"/>
      <c r="AJ241" s="18"/>
      <c r="AK241" s="48"/>
      <c r="AL241" s="9" t="str">
        <f>IFERROR(__xludf.DUMMYFUNCTION("""COMPUTED_VALUE"""),"* MGC9D *")</f>
        <v>* MGC9D *</v>
      </c>
      <c r="AM241" s="9">
        <f>IFERROR(__xludf.DUMMYFUNCTION("""COMPUTED_VALUE"""),71.9)</f>
        <v>71.9</v>
      </c>
    </row>
    <row r="242">
      <c r="A242" s="51"/>
      <c r="B242" s="51"/>
      <c r="C242" s="52"/>
      <c r="D242" s="51"/>
      <c r="E242" s="53"/>
      <c r="F242" s="54"/>
      <c r="G242" s="51"/>
      <c r="H242" s="51"/>
      <c r="I242" s="55"/>
      <c r="J242" s="56"/>
      <c r="K242" s="46"/>
      <c r="L242" s="46"/>
      <c r="M242" s="47"/>
      <c r="N242" s="46"/>
      <c r="O242" s="57"/>
      <c r="P242" s="46"/>
      <c r="Q242" s="46"/>
      <c r="R242" s="57"/>
      <c r="S242" s="7"/>
      <c r="T242" s="54"/>
      <c r="U242" s="58"/>
      <c r="V242" s="47"/>
      <c r="W242" s="18"/>
      <c r="X242" s="46"/>
      <c r="Y242" s="9"/>
      <c r="Z242" s="46"/>
      <c r="AA242" s="7"/>
      <c r="AB242" s="46"/>
      <c r="AC242" s="47"/>
      <c r="AD242" s="7"/>
      <c r="AE242" s="47"/>
      <c r="AF242" s="18"/>
      <c r="AG242" s="26"/>
      <c r="AH242" s="34"/>
      <c r="AI242" s="34"/>
      <c r="AJ242" s="18"/>
      <c r="AK242" s="48"/>
      <c r="AL242" s="9" t="str">
        <f>IFERROR(__xludf.DUMMYFUNCTION("""COMPUTED_VALUE"""),"* MGC9O *")</f>
        <v>* MGC9O *</v>
      </c>
      <c r="AM242" s="9">
        <f>IFERROR(__xludf.DUMMYFUNCTION("""COMPUTED_VALUE"""),105700.0)</f>
        <v>105700</v>
      </c>
    </row>
    <row r="243">
      <c r="A243" s="51"/>
      <c r="B243" s="51"/>
      <c r="C243" s="52"/>
      <c r="D243" s="51"/>
      <c r="E243" s="53"/>
      <c r="F243" s="54"/>
      <c r="G243" s="51"/>
      <c r="H243" s="51"/>
      <c r="I243" s="55"/>
      <c r="J243" s="56"/>
      <c r="K243" s="46"/>
      <c r="L243" s="46"/>
      <c r="M243" s="47"/>
      <c r="N243" s="46"/>
      <c r="O243" s="57"/>
      <c r="P243" s="46"/>
      <c r="Q243" s="46"/>
      <c r="R243" s="57"/>
      <c r="S243" s="7"/>
      <c r="T243" s="54"/>
      <c r="U243" s="58"/>
      <c r="V243" s="47"/>
      <c r="W243" s="18"/>
      <c r="X243" s="46"/>
      <c r="Y243" s="9"/>
      <c r="Z243" s="46"/>
      <c r="AA243" s="7"/>
      <c r="AB243" s="46"/>
      <c r="AC243" s="47"/>
      <c r="AD243" s="7"/>
      <c r="AE243" s="47"/>
      <c r="AF243" s="18"/>
      <c r="AG243" s="26"/>
      <c r="AH243" s="34"/>
      <c r="AI243" s="34"/>
      <c r="AJ243" s="18"/>
      <c r="AK243" s="48"/>
      <c r="AL243" s="9" t="str">
        <f>IFERROR(__xludf.DUMMYFUNCTION("""COMPUTED_VALUE"""),"* MGCED *")</f>
        <v>* MGCED *</v>
      </c>
      <c r="AM243" s="9">
        <f>IFERROR(__xludf.DUMMYFUNCTION("""COMPUTED_VALUE"""),86.0)</f>
        <v>86</v>
      </c>
    </row>
    <row r="244">
      <c r="A244" s="51"/>
      <c r="B244" s="51"/>
      <c r="C244" s="52"/>
      <c r="D244" s="51"/>
      <c r="E244" s="53"/>
      <c r="F244" s="54"/>
      <c r="G244" s="51"/>
      <c r="H244" s="51"/>
      <c r="I244" s="55"/>
      <c r="J244" s="56"/>
      <c r="K244" s="46"/>
      <c r="L244" s="46"/>
      <c r="M244" s="47"/>
      <c r="N244" s="46"/>
      <c r="O244" s="57"/>
      <c r="P244" s="46"/>
      <c r="Q244" s="46"/>
      <c r="R244" s="57"/>
      <c r="S244" s="7"/>
      <c r="T244" s="54"/>
      <c r="U244" s="58"/>
      <c r="V244" s="47"/>
      <c r="W244" s="18"/>
      <c r="X244" s="46"/>
      <c r="Y244" s="9"/>
      <c r="Z244" s="46"/>
      <c r="AA244" s="7"/>
      <c r="AB244" s="46"/>
      <c r="AC244" s="47"/>
      <c r="AD244" s="7"/>
      <c r="AE244" s="47"/>
      <c r="AF244" s="18"/>
      <c r="AG244" s="26"/>
      <c r="AH244" s="34"/>
      <c r="AI244" s="34"/>
      <c r="AJ244" s="18"/>
      <c r="AK244" s="48"/>
      <c r="AL244" s="9" t="str">
        <f>IFERROR(__xludf.DUMMYFUNCTION("""COMPUTED_VALUE"""),"* MGCEO *")</f>
        <v>* MGCEO *</v>
      </c>
      <c r="AM244" s="9">
        <f>IFERROR(__xludf.DUMMYFUNCTION("""COMPUTED_VALUE"""),114330.0)</f>
        <v>114330</v>
      </c>
    </row>
    <row r="245">
      <c r="A245" s="51"/>
      <c r="B245" s="51"/>
      <c r="C245" s="52"/>
      <c r="D245" s="51"/>
      <c r="E245" s="53"/>
      <c r="F245" s="54"/>
      <c r="G245" s="51"/>
      <c r="H245" s="51"/>
      <c r="I245" s="55"/>
      <c r="J245" s="56"/>
      <c r="K245" s="46"/>
      <c r="L245" s="46"/>
      <c r="M245" s="47"/>
      <c r="N245" s="46"/>
      <c r="O245" s="57"/>
      <c r="P245" s="46"/>
      <c r="Q245" s="46"/>
      <c r="R245" s="57"/>
      <c r="S245" s="7"/>
      <c r="T245" s="54"/>
      <c r="U245" s="58"/>
      <c r="V245" s="47"/>
      <c r="W245" s="18"/>
      <c r="X245" s="46"/>
      <c r="Y245" s="9"/>
      <c r="Z245" s="46"/>
      <c r="AA245" s="7"/>
      <c r="AB245" s="46"/>
      <c r="AC245" s="47"/>
      <c r="AD245" s="7"/>
      <c r="AE245" s="47"/>
      <c r="AF245" s="18"/>
      <c r="AG245" s="26"/>
      <c r="AH245" s="34"/>
      <c r="AI245" s="34"/>
      <c r="AJ245" s="18"/>
      <c r="AK245" s="48"/>
      <c r="AL245" s="9" t="str">
        <f>IFERROR(__xludf.DUMMYFUNCTION("""COMPUTED_VALUE"""),"* MGCHC *")</f>
        <v>* MGCHC *</v>
      </c>
      <c r="AM245" s="9">
        <f>IFERROR(__xludf.DUMMYFUNCTION("""COMPUTED_VALUE"""),101.35)</f>
        <v>101.35</v>
      </c>
    </row>
    <row r="246">
      <c r="A246" s="51"/>
      <c r="B246" s="51"/>
      <c r="C246" s="52"/>
      <c r="D246" s="51"/>
      <c r="E246" s="53"/>
      <c r="F246" s="54"/>
      <c r="G246" s="51"/>
      <c r="H246" s="51"/>
      <c r="I246" s="55"/>
      <c r="J246" s="56"/>
      <c r="K246" s="46"/>
      <c r="L246" s="46"/>
      <c r="M246" s="47"/>
      <c r="N246" s="46"/>
      <c r="O246" s="57"/>
      <c r="P246" s="46"/>
      <c r="Q246" s="46"/>
      <c r="R246" s="57"/>
      <c r="S246" s="7"/>
      <c r="T246" s="54"/>
      <c r="U246" s="58"/>
      <c r="V246" s="47"/>
      <c r="W246" s="18"/>
      <c r="X246" s="46"/>
      <c r="Y246" s="9"/>
      <c r="Z246" s="46"/>
      <c r="AA246" s="7"/>
      <c r="AB246" s="46"/>
      <c r="AC246" s="47"/>
      <c r="AD246" s="7"/>
      <c r="AE246" s="47"/>
      <c r="AF246" s="18"/>
      <c r="AG246" s="26"/>
      <c r="AH246" s="34"/>
      <c r="AI246" s="34"/>
      <c r="AJ246" s="18"/>
      <c r="AK246" s="48"/>
      <c r="AL246" s="9" t="str">
        <f>IFERROR(__xludf.DUMMYFUNCTION("""COMPUTED_VALUE"""),"* MGCHD *")</f>
        <v>* MGCHD *</v>
      </c>
      <c r="AM246" s="9">
        <f>IFERROR(__xludf.DUMMYFUNCTION("""COMPUTED_VALUE"""),102.6)</f>
        <v>102.6</v>
      </c>
    </row>
    <row r="247">
      <c r="A247" s="51"/>
      <c r="B247" s="51"/>
      <c r="C247" s="52"/>
      <c r="D247" s="51"/>
      <c r="E247" s="53"/>
      <c r="F247" s="54"/>
      <c r="G247" s="51"/>
      <c r="H247" s="51"/>
      <c r="I247" s="55"/>
      <c r="J247" s="56"/>
      <c r="K247" s="46"/>
      <c r="L247" s="46"/>
      <c r="M247" s="47"/>
      <c r="N247" s="46"/>
      <c r="O247" s="57"/>
      <c r="P247" s="46"/>
      <c r="Q247" s="46"/>
      <c r="R247" s="57"/>
      <c r="S247" s="7"/>
      <c r="T247" s="54"/>
      <c r="U247" s="58"/>
      <c r="V247" s="47"/>
      <c r="W247" s="18"/>
      <c r="X247" s="46"/>
      <c r="Y247" s="9"/>
      <c r="Z247" s="46"/>
      <c r="AA247" s="7"/>
      <c r="AB247" s="46"/>
      <c r="AC247" s="47"/>
      <c r="AD247" s="7"/>
      <c r="AE247" s="47"/>
      <c r="AF247" s="18"/>
      <c r="AG247" s="26"/>
      <c r="AH247" s="34"/>
      <c r="AI247" s="34"/>
      <c r="AJ247" s="18"/>
      <c r="AK247" s="48"/>
      <c r="AL247" s="9" t="str">
        <f>IFERROR(__xludf.DUMMYFUNCTION("""COMPUTED_VALUE"""),"* MGCHO *")</f>
        <v>* MGCHO *</v>
      </c>
      <c r="AM247" s="9">
        <f>IFERROR(__xludf.DUMMYFUNCTION("""COMPUTED_VALUE"""),149490.0)</f>
        <v>149490</v>
      </c>
    </row>
    <row r="248">
      <c r="A248" s="51"/>
      <c r="B248" s="51"/>
      <c r="C248" s="52"/>
      <c r="D248" s="51"/>
      <c r="E248" s="53"/>
      <c r="F248" s="54"/>
      <c r="G248" s="51"/>
      <c r="H248" s="51"/>
      <c r="I248" s="55"/>
      <c r="J248" s="56"/>
      <c r="K248" s="46"/>
      <c r="L248" s="46"/>
      <c r="M248" s="47"/>
      <c r="N248" s="46"/>
      <c r="O248" s="57"/>
      <c r="P248" s="46"/>
      <c r="Q248" s="46"/>
      <c r="R248" s="57"/>
      <c r="S248" s="7"/>
      <c r="T248" s="54"/>
      <c r="U248" s="58"/>
      <c r="V248" s="47"/>
      <c r="W248" s="18"/>
      <c r="X248" s="46"/>
      <c r="Y248" s="9"/>
      <c r="Z248" s="46"/>
      <c r="AA248" s="7"/>
      <c r="AB248" s="46"/>
      <c r="AC248" s="47"/>
      <c r="AD248" s="7"/>
      <c r="AE248" s="47"/>
      <c r="AF248" s="18"/>
      <c r="AG248" s="26"/>
      <c r="AH248" s="34"/>
      <c r="AI248" s="34"/>
      <c r="AJ248" s="18"/>
      <c r="AK248" s="48"/>
      <c r="AL248" s="9" t="str">
        <f>IFERROR(__xludf.DUMMYFUNCTION("""COMPUTED_VALUE"""),"* MGCJC *")</f>
        <v>* MGCJC *</v>
      </c>
      <c r="AM248" s="9">
        <f>IFERROR(__xludf.DUMMYFUNCTION("""COMPUTED_VALUE"""),100.0)</f>
        <v>100</v>
      </c>
    </row>
    <row r="249">
      <c r="A249" s="51"/>
      <c r="B249" s="51"/>
      <c r="C249" s="52"/>
      <c r="D249" s="51"/>
      <c r="E249" s="53"/>
      <c r="F249" s="54"/>
      <c r="G249" s="51"/>
      <c r="H249" s="51"/>
      <c r="I249" s="55"/>
      <c r="J249" s="56"/>
      <c r="K249" s="46"/>
      <c r="L249" s="46"/>
      <c r="M249" s="47"/>
      <c r="N249" s="46"/>
      <c r="O249" s="57"/>
      <c r="P249" s="46"/>
      <c r="Q249" s="46"/>
      <c r="R249" s="57"/>
      <c r="S249" s="7"/>
      <c r="T249" s="54"/>
      <c r="U249" s="58"/>
      <c r="V249" s="47"/>
      <c r="W249" s="18"/>
      <c r="X249" s="46"/>
      <c r="Y249" s="9"/>
      <c r="Z249" s="46"/>
      <c r="AA249" s="7"/>
      <c r="AB249" s="46"/>
      <c r="AC249" s="47"/>
      <c r="AD249" s="7"/>
      <c r="AE249" s="47"/>
      <c r="AF249" s="18"/>
      <c r="AG249" s="26"/>
      <c r="AH249" s="34"/>
      <c r="AI249" s="34"/>
      <c r="AJ249" s="18"/>
      <c r="AK249" s="48"/>
      <c r="AL249" s="9" t="str">
        <f>IFERROR(__xludf.DUMMYFUNCTION("""COMPUTED_VALUE"""),"* MGCJD *")</f>
        <v>* MGCJD *</v>
      </c>
      <c r="AM249" s="9">
        <f>IFERROR(__xludf.DUMMYFUNCTION("""COMPUTED_VALUE"""),101.15)</f>
        <v>101.15</v>
      </c>
    </row>
    <row r="250">
      <c r="A250" s="51"/>
      <c r="B250" s="51"/>
      <c r="C250" s="52"/>
      <c r="D250" s="51"/>
      <c r="E250" s="53"/>
      <c r="F250" s="54"/>
      <c r="G250" s="51"/>
      <c r="H250" s="51"/>
      <c r="I250" s="55"/>
      <c r="J250" s="56"/>
      <c r="K250" s="46"/>
      <c r="L250" s="46"/>
      <c r="M250" s="47"/>
      <c r="N250" s="46"/>
      <c r="O250" s="57"/>
      <c r="P250" s="46"/>
      <c r="Q250" s="46"/>
      <c r="R250" s="57"/>
      <c r="S250" s="7"/>
      <c r="T250" s="54"/>
      <c r="U250" s="58"/>
      <c r="V250" s="47"/>
      <c r="W250" s="18"/>
      <c r="X250" s="46"/>
      <c r="Y250" s="9"/>
      <c r="Z250" s="46"/>
      <c r="AA250" s="7"/>
      <c r="AB250" s="46"/>
      <c r="AC250" s="47"/>
      <c r="AD250" s="7"/>
      <c r="AE250" s="47"/>
      <c r="AF250" s="18"/>
      <c r="AG250" s="26"/>
      <c r="AH250" s="34"/>
      <c r="AI250" s="34"/>
      <c r="AJ250" s="18"/>
      <c r="AK250" s="48"/>
      <c r="AL250" s="9" t="str">
        <f>IFERROR(__xludf.DUMMYFUNCTION("""COMPUTED_VALUE"""),"* MGCJO *")</f>
        <v>* MGCJO *</v>
      </c>
      <c r="AM250" s="9">
        <f>IFERROR(__xludf.DUMMYFUNCTION("""COMPUTED_VALUE"""),122650.0)</f>
        <v>122650</v>
      </c>
    </row>
    <row r="251">
      <c r="A251" s="51"/>
      <c r="B251" s="51"/>
      <c r="C251" s="52"/>
      <c r="D251" s="51"/>
      <c r="E251" s="53"/>
      <c r="F251" s="54"/>
      <c r="G251" s="51"/>
      <c r="H251" s="51"/>
      <c r="I251" s="55"/>
      <c r="J251" s="56"/>
      <c r="K251" s="46"/>
      <c r="L251" s="46"/>
      <c r="M251" s="47"/>
      <c r="N251" s="46"/>
      <c r="O251" s="57"/>
      <c r="P251" s="46"/>
      <c r="Q251" s="46"/>
      <c r="R251" s="57"/>
      <c r="S251" s="7"/>
      <c r="T251" s="54"/>
      <c r="U251" s="58"/>
      <c r="V251" s="47"/>
      <c r="W251" s="18"/>
      <c r="X251" s="46"/>
      <c r="Y251" s="9"/>
      <c r="Z251" s="46"/>
      <c r="AA251" s="7"/>
      <c r="AB251" s="46"/>
      <c r="AC251" s="47"/>
      <c r="AD251" s="7"/>
      <c r="AE251" s="47"/>
      <c r="AF251" s="18"/>
      <c r="AG251" s="26"/>
      <c r="AH251" s="34"/>
      <c r="AI251" s="34"/>
      <c r="AJ251" s="18"/>
      <c r="AK251" s="48"/>
      <c r="AL251" s="9" t="str">
        <f>IFERROR(__xludf.DUMMYFUNCTION("""COMPUTED_VALUE"""),"* MGCLD *")</f>
        <v>* MGCLD *</v>
      </c>
      <c r="AM251" s="9">
        <f>IFERROR(__xludf.DUMMYFUNCTION("""COMPUTED_VALUE"""),102.0)</f>
        <v>102</v>
      </c>
    </row>
    <row r="252">
      <c r="A252" s="51"/>
      <c r="B252" s="51"/>
      <c r="C252" s="52"/>
      <c r="D252" s="51"/>
      <c r="E252" s="53"/>
      <c r="F252" s="54"/>
      <c r="G252" s="51"/>
      <c r="H252" s="51"/>
      <c r="I252" s="55"/>
      <c r="J252" s="56"/>
      <c r="K252" s="46"/>
      <c r="L252" s="46"/>
      <c r="M252" s="47"/>
      <c r="N252" s="46"/>
      <c r="O252" s="57"/>
      <c r="P252" s="46"/>
      <c r="Q252" s="46"/>
      <c r="R252" s="57"/>
      <c r="S252" s="7"/>
      <c r="T252" s="54"/>
      <c r="U252" s="58"/>
      <c r="V252" s="47"/>
      <c r="W252" s="18"/>
      <c r="X252" s="46"/>
      <c r="Y252" s="9"/>
      <c r="Z252" s="46"/>
      <c r="AA252" s="7"/>
      <c r="AB252" s="46"/>
      <c r="AC252" s="47"/>
      <c r="AD252" s="7"/>
      <c r="AE252" s="47"/>
      <c r="AF252" s="18"/>
      <c r="AG252" s="26"/>
      <c r="AH252" s="34"/>
      <c r="AI252" s="34"/>
      <c r="AJ252" s="18"/>
      <c r="AK252" s="48"/>
      <c r="AL252" s="9" t="str">
        <f>IFERROR(__xludf.DUMMYFUNCTION("""COMPUTED_VALUE"""),"* MGCLO *")</f>
        <v>* MGCLO *</v>
      </c>
      <c r="AM252" s="9">
        <f>IFERROR(__xludf.DUMMYFUNCTION("""COMPUTED_VALUE"""),148500.0)</f>
        <v>148500</v>
      </c>
    </row>
    <row r="253">
      <c r="A253" s="51"/>
      <c r="B253" s="51"/>
      <c r="C253" s="52"/>
      <c r="D253" s="51"/>
      <c r="E253" s="53"/>
      <c r="F253" s="54"/>
      <c r="G253" s="51"/>
      <c r="H253" s="51"/>
      <c r="I253" s="55"/>
      <c r="J253" s="56"/>
      <c r="K253" s="46"/>
      <c r="L253" s="46"/>
      <c r="M253" s="47"/>
      <c r="N253" s="46"/>
      <c r="O253" s="57"/>
      <c r="P253" s="46"/>
      <c r="Q253" s="46"/>
      <c r="R253" s="57"/>
      <c r="S253" s="7"/>
      <c r="T253" s="54"/>
      <c r="U253" s="58"/>
      <c r="V253" s="47"/>
      <c r="W253" s="18"/>
      <c r="X253" s="46"/>
      <c r="Y253" s="9"/>
      <c r="Z253" s="46"/>
      <c r="AA253" s="7"/>
      <c r="AB253" s="46"/>
      <c r="AC253" s="47"/>
      <c r="AD253" s="7"/>
      <c r="AE253" s="47"/>
      <c r="AF253" s="18"/>
      <c r="AG253" s="26"/>
      <c r="AH253" s="34"/>
      <c r="AI253" s="34"/>
      <c r="AJ253" s="18"/>
      <c r="AK253" s="48"/>
      <c r="AL253" s="9" t="str">
        <f>IFERROR(__xludf.DUMMYFUNCTION("""COMPUTED_VALUE"""),"* MGCMD *")</f>
        <v>* MGCMD *</v>
      </c>
      <c r="AM253" s="9">
        <f>IFERROR(__xludf.DUMMYFUNCTION("""COMPUTED_VALUE"""),107.35)</f>
        <v>107.35</v>
      </c>
    </row>
    <row r="254">
      <c r="A254" s="51"/>
      <c r="B254" s="51"/>
      <c r="C254" s="52"/>
      <c r="D254" s="51"/>
      <c r="E254" s="53"/>
      <c r="F254" s="54"/>
      <c r="G254" s="51"/>
      <c r="H254" s="51"/>
      <c r="I254" s="55"/>
      <c r="J254" s="56"/>
      <c r="K254" s="46"/>
      <c r="L254" s="46"/>
      <c r="M254" s="47"/>
      <c r="N254" s="46"/>
      <c r="O254" s="57"/>
      <c r="P254" s="46"/>
      <c r="Q254" s="46"/>
      <c r="R254" s="57"/>
      <c r="S254" s="7"/>
      <c r="T254" s="54"/>
      <c r="U254" s="58"/>
      <c r="V254" s="47"/>
      <c r="W254" s="18"/>
      <c r="X254" s="46"/>
      <c r="Y254" s="9"/>
      <c r="Z254" s="46"/>
      <c r="AA254" s="7"/>
      <c r="AB254" s="46"/>
      <c r="AC254" s="47"/>
      <c r="AD254" s="7"/>
      <c r="AE254" s="47"/>
      <c r="AF254" s="18"/>
      <c r="AG254" s="26"/>
      <c r="AH254" s="34"/>
      <c r="AI254" s="34"/>
      <c r="AJ254" s="18"/>
      <c r="AK254" s="48"/>
      <c r="AL254" s="9" t="str">
        <f>IFERROR(__xludf.DUMMYFUNCTION("""COMPUTED_VALUE"""),"* MGCMO *")</f>
        <v>* MGCMO *</v>
      </c>
      <c r="AM254" s="9">
        <f>IFERROR(__xludf.DUMMYFUNCTION("""COMPUTED_VALUE"""),156500.0)</f>
        <v>156500</v>
      </c>
    </row>
    <row r="255">
      <c r="A255" s="51"/>
      <c r="B255" s="51"/>
      <c r="C255" s="52"/>
      <c r="D255" s="51"/>
      <c r="E255" s="53"/>
      <c r="F255" s="54"/>
      <c r="G255" s="51"/>
      <c r="H255" s="51"/>
      <c r="I255" s="55"/>
      <c r="J255" s="56"/>
      <c r="K255" s="46"/>
      <c r="L255" s="46"/>
      <c r="M255" s="47"/>
      <c r="N255" s="46"/>
      <c r="O255" s="57"/>
      <c r="P255" s="46"/>
      <c r="Q255" s="46"/>
      <c r="R255" s="57"/>
      <c r="S255" s="7"/>
      <c r="T255" s="54"/>
      <c r="U255" s="58"/>
      <c r="V255" s="47"/>
      <c r="W255" s="18"/>
      <c r="X255" s="46"/>
      <c r="Y255" s="9"/>
      <c r="Z255" s="46"/>
      <c r="AA255" s="7"/>
      <c r="AB255" s="46"/>
      <c r="AC255" s="47"/>
      <c r="AD255" s="7"/>
      <c r="AE255" s="47"/>
      <c r="AF255" s="18"/>
      <c r="AG255" s="26"/>
      <c r="AH255" s="34"/>
      <c r="AI255" s="34"/>
      <c r="AJ255" s="18"/>
      <c r="AK255" s="48"/>
      <c r="AL255" s="9" t="str">
        <f>IFERROR(__xludf.DUMMYFUNCTION("""COMPUTED_VALUE"""),"* MGCND *")</f>
        <v>* MGCND *</v>
      </c>
      <c r="AM255" s="9">
        <f>IFERROR(__xludf.DUMMYFUNCTION("""COMPUTED_VALUE"""),101.45)</f>
        <v>101.45</v>
      </c>
    </row>
    <row r="256">
      <c r="A256" s="51"/>
      <c r="B256" s="51"/>
      <c r="C256" s="52"/>
      <c r="D256" s="51"/>
      <c r="E256" s="53"/>
      <c r="F256" s="54"/>
      <c r="G256" s="51"/>
      <c r="H256" s="51"/>
      <c r="I256" s="55"/>
      <c r="J256" s="56"/>
      <c r="K256" s="46"/>
      <c r="L256" s="46"/>
      <c r="M256" s="47"/>
      <c r="N256" s="46"/>
      <c r="O256" s="57"/>
      <c r="P256" s="46"/>
      <c r="Q256" s="46"/>
      <c r="R256" s="57"/>
      <c r="S256" s="7"/>
      <c r="T256" s="54"/>
      <c r="U256" s="58"/>
      <c r="V256" s="47"/>
      <c r="W256" s="18"/>
      <c r="X256" s="46"/>
      <c r="Y256" s="9"/>
      <c r="Z256" s="46"/>
      <c r="AA256" s="7"/>
      <c r="AB256" s="46"/>
      <c r="AC256" s="47"/>
      <c r="AD256" s="7"/>
      <c r="AE256" s="47"/>
      <c r="AF256" s="18"/>
      <c r="AG256" s="26"/>
      <c r="AH256" s="34"/>
      <c r="AI256" s="34"/>
      <c r="AJ256" s="18"/>
      <c r="AK256" s="48"/>
      <c r="AL256" s="9" t="str">
        <f>IFERROR(__xludf.DUMMYFUNCTION("""COMPUTED_VALUE"""),"* MGCNO *")</f>
        <v>* MGCNO *</v>
      </c>
      <c r="AM256" s="9">
        <f>IFERROR(__xludf.DUMMYFUNCTION("""COMPUTED_VALUE"""),153840.0)</f>
        <v>153840</v>
      </c>
    </row>
    <row r="257">
      <c r="A257" s="51"/>
      <c r="B257" s="51"/>
      <c r="C257" s="52"/>
      <c r="D257" s="51"/>
      <c r="E257" s="53"/>
      <c r="F257" s="54"/>
      <c r="G257" s="51"/>
      <c r="H257" s="51"/>
      <c r="I257" s="55"/>
      <c r="J257" s="56"/>
      <c r="K257" s="46"/>
      <c r="L257" s="46"/>
      <c r="M257" s="47"/>
      <c r="N257" s="46"/>
      <c r="O257" s="57"/>
      <c r="P257" s="46"/>
      <c r="Q257" s="46"/>
      <c r="R257" s="57"/>
      <c r="S257" s="7"/>
      <c r="T257" s="54"/>
      <c r="U257" s="58"/>
      <c r="V257" s="47"/>
      <c r="W257" s="18"/>
      <c r="X257" s="46"/>
      <c r="Y257" s="9"/>
      <c r="Z257" s="46"/>
      <c r="AA257" s="7"/>
      <c r="AB257" s="46"/>
      <c r="AC257" s="47"/>
      <c r="AD257" s="7"/>
      <c r="AE257" s="47"/>
      <c r="AF257" s="18"/>
      <c r="AG257" s="26"/>
      <c r="AH257" s="34"/>
      <c r="AI257" s="34"/>
      <c r="AJ257" s="18"/>
      <c r="AK257" s="48"/>
      <c r="AL257" s="9" t="str">
        <f>IFERROR(__xludf.DUMMYFUNCTION("""COMPUTED_VALUE"""),"* MGCOC *")</f>
        <v>* MGCOC *</v>
      </c>
      <c r="AM257" s="9">
        <f>IFERROR(__xludf.DUMMYFUNCTION("""COMPUTED_VALUE"""),103.5)</f>
        <v>103.5</v>
      </c>
    </row>
    <row r="258">
      <c r="A258" s="51"/>
      <c r="B258" s="51"/>
      <c r="C258" s="52"/>
      <c r="D258" s="51"/>
      <c r="E258" s="53"/>
      <c r="F258" s="54"/>
      <c r="G258" s="51"/>
      <c r="H258" s="51"/>
      <c r="I258" s="55"/>
      <c r="J258" s="56"/>
      <c r="K258" s="46"/>
      <c r="L258" s="46"/>
      <c r="M258" s="47"/>
      <c r="N258" s="46"/>
      <c r="O258" s="57"/>
      <c r="P258" s="46"/>
      <c r="Q258" s="46"/>
      <c r="R258" s="57"/>
      <c r="S258" s="7"/>
      <c r="T258" s="54"/>
      <c r="U258" s="58"/>
      <c r="V258" s="47"/>
      <c r="W258" s="18"/>
      <c r="X258" s="46"/>
      <c r="Y258" s="9"/>
      <c r="Z258" s="46"/>
      <c r="AA258" s="7"/>
      <c r="AB258" s="46"/>
      <c r="AC258" s="47"/>
      <c r="AD258" s="7"/>
      <c r="AE258" s="47"/>
      <c r="AF258" s="18"/>
      <c r="AG258" s="26"/>
      <c r="AH258" s="34"/>
      <c r="AI258" s="34"/>
      <c r="AJ258" s="18"/>
      <c r="AK258" s="48"/>
      <c r="AL258" s="9" t="str">
        <f>IFERROR(__xludf.DUMMYFUNCTION("""COMPUTED_VALUE"""),"* MGCOD *")</f>
        <v>* MGCOD *</v>
      </c>
      <c r="AM258" s="9">
        <f>IFERROR(__xludf.DUMMYFUNCTION("""COMPUTED_VALUE"""),106.0)</f>
        <v>106</v>
      </c>
    </row>
    <row r="259">
      <c r="A259" s="51"/>
      <c r="B259" s="51"/>
      <c r="C259" s="52"/>
      <c r="D259" s="51"/>
      <c r="E259" s="53"/>
      <c r="F259" s="54"/>
      <c r="G259" s="51"/>
      <c r="H259" s="51"/>
      <c r="I259" s="55"/>
      <c r="J259" s="56"/>
      <c r="K259" s="46"/>
      <c r="L259" s="46"/>
      <c r="M259" s="47"/>
      <c r="N259" s="46"/>
      <c r="O259" s="57"/>
      <c r="P259" s="46"/>
      <c r="Q259" s="46"/>
      <c r="R259" s="57"/>
      <c r="S259" s="7"/>
      <c r="T259" s="54"/>
      <c r="U259" s="58"/>
      <c r="V259" s="47"/>
      <c r="W259" s="18"/>
      <c r="X259" s="46"/>
      <c r="Y259" s="9"/>
      <c r="Z259" s="46"/>
      <c r="AA259" s="7"/>
      <c r="AB259" s="46"/>
      <c r="AC259" s="47"/>
      <c r="AD259" s="7"/>
      <c r="AE259" s="47"/>
      <c r="AF259" s="18"/>
      <c r="AG259" s="26"/>
      <c r="AH259" s="34"/>
      <c r="AI259" s="34"/>
      <c r="AJ259" s="18"/>
      <c r="AK259" s="48"/>
      <c r="AL259" s="9" t="str">
        <f>IFERROR(__xludf.DUMMYFUNCTION("""COMPUTED_VALUE"""),"* MGCOO *")</f>
        <v>* MGCOO *</v>
      </c>
      <c r="AM259" s="9">
        <f>IFERROR(__xludf.DUMMYFUNCTION("""COMPUTED_VALUE"""),154210.0)</f>
        <v>154210</v>
      </c>
    </row>
    <row r="260">
      <c r="A260" s="51"/>
      <c r="B260" s="51"/>
      <c r="C260" s="52"/>
      <c r="D260" s="51"/>
      <c r="E260" s="53"/>
      <c r="F260" s="54"/>
      <c r="G260" s="51"/>
      <c r="H260" s="51"/>
      <c r="I260" s="55"/>
      <c r="J260" s="56"/>
      <c r="K260" s="46"/>
      <c r="L260" s="46"/>
      <c r="M260" s="47"/>
      <c r="N260" s="46"/>
      <c r="O260" s="57"/>
      <c r="P260" s="46"/>
      <c r="Q260" s="46"/>
      <c r="R260" s="57"/>
      <c r="S260" s="7"/>
      <c r="T260" s="54"/>
      <c r="U260" s="58"/>
      <c r="V260" s="47"/>
      <c r="W260" s="18"/>
      <c r="X260" s="46"/>
      <c r="Y260" s="9"/>
      <c r="Z260" s="46"/>
      <c r="AA260" s="7"/>
      <c r="AB260" s="46"/>
      <c r="AC260" s="47"/>
      <c r="AD260" s="7"/>
      <c r="AE260" s="47"/>
      <c r="AF260" s="18"/>
      <c r="AG260" s="26"/>
      <c r="AH260" s="34"/>
      <c r="AI260" s="34"/>
      <c r="AJ260" s="18"/>
      <c r="AK260" s="48"/>
      <c r="AL260" s="9" t="str">
        <f>IFERROR(__xludf.DUMMYFUNCTION("""COMPUTED_VALUE"""),"* MGCQC *")</f>
        <v>* MGCQC *</v>
      </c>
      <c r="AM260" s="9">
        <f>IFERROR(__xludf.DUMMYFUNCTION("""COMPUTED_VALUE"""),102.0)</f>
        <v>102</v>
      </c>
    </row>
    <row r="261">
      <c r="A261" s="51"/>
      <c r="B261" s="51"/>
      <c r="C261" s="52"/>
      <c r="D261" s="51"/>
      <c r="E261" s="53"/>
      <c r="F261" s="54"/>
      <c r="G261" s="51"/>
      <c r="H261" s="51"/>
      <c r="I261" s="55"/>
      <c r="J261" s="56"/>
      <c r="K261" s="46"/>
      <c r="L261" s="46"/>
      <c r="M261" s="47"/>
      <c r="N261" s="46"/>
      <c r="O261" s="57"/>
      <c r="P261" s="46"/>
      <c r="Q261" s="46"/>
      <c r="R261" s="57"/>
      <c r="S261" s="7"/>
      <c r="T261" s="54"/>
      <c r="U261" s="58"/>
      <c r="V261" s="47"/>
      <c r="W261" s="18"/>
      <c r="X261" s="46"/>
      <c r="Y261" s="9"/>
      <c r="Z261" s="46"/>
      <c r="AA261" s="7"/>
      <c r="AB261" s="46"/>
      <c r="AC261" s="47"/>
      <c r="AD261" s="7"/>
      <c r="AE261" s="47"/>
      <c r="AF261" s="18"/>
      <c r="AG261" s="26"/>
      <c r="AH261" s="34"/>
      <c r="AI261" s="34"/>
      <c r="AJ261" s="18"/>
      <c r="AK261" s="48"/>
      <c r="AL261" s="9" t="str">
        <f>IFERROR(__xludf.DUMMYFUNCTION("""COMPUTED_VALUE"""),"* MGCQD *")</f>
        <v>* MGCQD *</v>
      </c>
      <c r="AM261" s="9">
        <f>IFERROR(__xludf.DUMMYFUNCTION("""COMPUTED_VALUE"""),105.35)</f>
        <v>105.35</v>
      </c>
    </row>
    <row r="262">
      <c r="A262" s="51"/>
      <c r="B262" s="51"/>
      <c r="C262" s="52"/>
      <c r="D262" s="51"/>
      <c r="E262" s="53"/>
      <c r="F262" s="54"/>
      <c r="G262" s="51"/>
      <c r="H262" s="51"/>
      <c r="I262" s="55"/>
      <c r="J262" s="56"/>
      <c r="K262" s="46"/>
      <c r="L262" s="46"/>
      <c r="M262" s="47"/>
      <c r="N262" s="46"/>
      <c r="O262" s="57"/>
      <c r="P262" s="46"/>
      <c r="Q262" s="46"/>
      <c r="R262" s="57"/>
      <c r="S262" s="7"/>
      <c r="T262" s="54"/>
      <c r="U262" s="58"/>
      <c r="V262" s="47"/>
      <c r="W262" s="18"/>
      <c r="X262" s="46"/>
      <c r="Y262" s="9"/>
      <c r="Z262" s="46"/>
      <c r="AA262" s="7"/>
      <c r="AB262" s="46"/>
      <c r="AC262" s="47"/>
      <c r="AD262" s="7"/>
      <c r="AE262" s="47"/>
      <c r="AF262" s="18"/>
      <c r="AG262" s="26"/>
      <c r="AH262" s="34"/>
      <c r="AI262" s="34"/>
      <c r="AJ262" s="18"/>
      <c r="AK262" s="48"/>
      <c r="AL262" s="9" t="str">
        <f>IFERROR(__xludf.DUMMYFUNCTION("""COMPUTED_VALUE"""),"* MGCQO *")</f>
        <v>* MGCQO *</v>
      </c>
      <c r="AM262" s="9">
        <f>IFERROR(__xludf.DUMMYFUNCTION("""COMPUTED_VALUE"""),154500.0)</f>
        <v>154500</v>
      </c>
    </row>
    <row r="263">
      <c r="A263" s="51"/>
      <c r="B263" s="51"/>
      <c r="C263" s="52"/>
      <c r="D263" s="51"/>
      <c r="E263" s="53"/>
      <c r="F263" s="54"/>
      <c r="G263" s="51"/>
      <c r="H263" s="51"/>
      <c r="I263" s="55"/>
      <c r="J263" s="56"/>
      <c r="K263" s="46"/>
      <c r="L263" s="46"/>
      <c r="M263" s="47"/>
      <c r="N263" s="46"/>
      <c r="O263" s="57"/>
      <c r="P263" s="46"/>
      <c r="Q263" s="46"/>
      <c r="R263" s="57"/>
      <c r="S263" s="7"/>
      <c r="T263" s="54"/>
      <c r="U263" s="58"/>
      <c r="V263" s="47"/>
      <c r="W263" s="18"/>
      <c r="X263" s="46"/>
      <c r="Y263" s="9"/>
      <c r="Z263" s="46"/>
      <c r="AA263" s="7"/>
      <c r="AB263" s="46"/>
      <c r="AC263" s="47"/>
      <c r="AD263" s="7"/>
      <c r="AE263" s="47"/>
      <c r="AF263" s="18"/>
      <c r="AG263" s="26"/>
      <c r="AH263" s="34"/>
      <c r="AI263" s="34"/>
      <c r="AJ263" s="18"/>
      <c r="AK263" s="48"/>
      <c r="AL263" s="9" t="str">
        <f>IFERROR(__xludf.DUMMYFUNCTION("""COMPUTED_VALUE"""),"* MGCRC *")</f>
        <v>* MGCRC *</v>
      </c>
      <c r="AM263" s="9">
        <f>IFERROR(__xludf.DUMMYFUNCTION("""COMPUTED_VALUE"""),98.65)</f>
        <v>98.65</v>
      </c>
    </row>
    <row r="264">
      <c r="A264" s="51"/>
      <c r="B264" s="51"/>
      <c r="C264" s="52"/>
      <c r="D264" s="51"/>
      <c r="E264" s="53"/>
      <c r="F264" s="54"/>
      <c r="G264" s="51"/>
      <c r="H264" s="51"/>
      <c r="I264" s="55"/>
      <c r="J264" s="56"/>
      <c r="K264" s="46"/>
      <c r="L264" s="46"/>
      <c r="M264" s="47"/>
      <c r="N264" s="46"/>
      <c r="O264" s="57"/>
      <c r="P264" s="46"/>
      <c r="Q264" s="46"/>
      <c r="R264" s="57"/>
      <c r="S264" s="7"/>
      <c r="T264" s="54"/>
      <c r="U264" s="58"/>
      <c r="V264" s="47"/>
      <c r="W264" s="18"/>
      <c r="X264" s="46"/>
      <c r="Y264" s="9"/>
      <c r="Z264" s="46"/>
      <c r="AA264" s="7"/>
      <c r="AB264" s="46"/>
      <c r="AC264" s="47"/>
      <c r="AD264" s="7"/>
      <c r="AE264" s="47"/>
      <c r="AF264" s="18"/>
      <c r="AG264" s="26"/>
      <c r="AH264" s="34"/>
      <c r="AI264" s="34"/>
      <c r="AJ264" s="18"/>
      <c r="AK264" s="48"/>
      <c r="AL264" s="9" t="str">
        <f>IFERROR(__xludf.DUMMYFUNCTION("""COMPUTED_VALUE"""),"* MGCRD *")</f>
        <v>* MGCRD *</v>
      </c>
      <c r="AM264" s="9">
        <f>IFERROR(__xludf.DUMMYFUNCTION("""COMPUTED_VALUE"""),100.9)</f>
        <v>100.9</v>
      </c>
    </row>
    <row r="265">
      <c r="A265" s="51"/>
      <c r="B265" s="51"/>
      <c r="C265" s="52"/>
      <c r="D265" s="51"/>
      <c r="E265" s="53"/>
      <c r="F265" s="54"/>
      <c r="G265" s="51"/>
      <c r="H265" s="51"/>
      <c r="I265" s="55"/>
      <c r="J265" s="56"/>
      <c r="K265" s="46"/>
      <c r="L265" s="46"/>
      <c r="M265" s="47"/>
      <c r="N265" s="46"/>
      <c r="O265" s="57"/>
      <c r="P265" s="46"/>
      <c r="Q265" s="46"/>
      <c r="R265" s="57"/>
      <c r="S265" s="7"/>
      <c r="T265" s="54"/>
      <c r="U265" s="58"/>
      <c r="V265" s="47"/>
      <c r="W265" s="18"/>
      <c r="X265" s="46"/>
      <c r="Y265" s="9"/>
      <c r="Z265" s="46"/>
      <c r="AA265" s="7"/>
      <c r="AB265" s="46"/>
      <c r="AC265" s="47"/>
      <c r="AD265" s="7"/>
      <c r="AE265" s="47"/>
      <c r="AF265" s="18"/>
      <c r="AG265" s="26"/>
      <c r="AH265" s="34"/>
      <c r="AI265" s="34"/>
      <c r="AJ265" s="18"/>
      <c r="AK265" s="48"/>
      <c r="AL265" s="9" t="str">
        <f>IFERROR(__xludf.DUMMYFUNCTION("""COMPUTED_VALUE"""),"* MGCRO *")</f>
        <v>* MGCRO *</v>
      </c>
      <c r="AM265" s="9">
        <f>IFERROR(__xludf.DUMMYFUNCTION("""COMPUTED_VALUE"""),147820.0)</f>
        <v>147820</v>
      </c>
    </row>
    <row r="266">
      <c r="A266" s="51"/>
      <c r="B266" s="51"/>
      <c r="C266" s="52"/>
      <c r="D266" s="51"/>
      <c r="E266" s="53"/>
      <c r="F266" s="54"/>
      <c r="G266" s="51"/>
      <c r="H266" s="51"/>
      <c r="I266" s="55"/>
      <c r="J266" s="56"/>
      <c r="K266" s="46"/>
      <c r="L266" s="46"/>
      <c r="M266" s="47"/>
      <c r="N266" s="46"/>
      <c r="O266" s="57"/>
      <c r="P266" s="46"/>
      <c r="Q266" s="46"/>
      <c r="R266" s="57"/>
      <c r="S266" s="7"/>
      <c r="T266" s="54"/>
      <c r="U266" s="58"/>
      <c r="V266" s="47"/>
      <c r="W266" s="18"/>
      <c r="X266" s="46"/>
      <c r="Y266" s="9"/>
      <c r="Z266" s="46"/>
      <c r="AA266" s="7"/>
      <c r="AB266" s="46"/>
      <c r="AC266" s="47"/>
      <c r="AD266" s="7"/>
      <c r="AE266" s="47"/>
      <c r="AF266" s="18"/>
      <c r="AG266" s="26"/>
      <c r="AH266" s="34"/>
      <c r="AI266" s="34"/>
      <c r="AJ266" s="18"/>
      <c r="AK266" s="48"/>
      <c r="AL266" s="9" t="str">
        <f>IFERROR(__xludf.DUMMYFUNCTION("""COMPUTED_VALUE"""),"* MR35D *")</f>
        <v>* MR35D *</v>
      </c>
      <c r="AM266" s="9">
        <f>IFERROR(__xludf.DUMMYFUNCTION("""COMPUTED_VALUE"""),26.0)</f>
        <v>26</v>
      </c>
    </row>
    <row r="267">
      <c r="A267" s="51"/>
      <c r="B267" s="51"/>
      <c r="C267" s="52"/>
      <c r="D267" s="51"/>
      <c r="E267" s="53"/>
      <c r="F267" s="54"/>
      <c r="G267" s="51"/>
      <c r="H267" s="51"/>
      <c r="I267" s="55"/>
      <c r="J267" s="56"/>
      <c r="K267" s="46"/>
      <c r="L267" s="46"/>
      <c r="M267" s="47"/>
      <c r="N267" s="46"/>
      <c r="O267" s="57"/>
      <c r="P267" s="46"/>
      <c r="Q267" s="46"/>
      <c r="R267" s="57"/>
      <c r="S267" s="7"/>
      <c r="T267" s="54"/>
      <c r="U267" s="58"/>
      <c r="V267" s="47"/>
      <c r="W267" s="18"/>
      <c r="X267" s="46"/>
      <c r="Y267" s="9"/>
      <c r="Z267" s="46"/>
      <c r="AA267" s="7"/>
      <c r="AB267" s="46"/>
      <c r="AC267" s="47"/>
      <c r="AD267" s="7"/>
      <c r="AE267" s="47"/>
      <c r="AF267" s="18"/>
      <c r="AG267" s="26"/>
      <c r="AH267" s="34"/>
      <c r="AI267" s="34"/>
      <c r="AJ267" s="18"/>
      <c r="AK267" s="48"/>
      <c r="AL267" s="9" t="str">
        <f>IFERROR(__xludf.DUMMYFUNCTION("""COMPUTED_VALUE"""),"* MR35O *")</f>
        <v>* MR35O *</v>
      </c>
      <c r="AM267" s="9">
        <f>IFERROR(__xludf.DUMMYFUNCTION("""COMPUTED_VALUE"""),40495.0)</f>
        <v>40495</v>
      </c>
    </row>
    <row r="268">
      <c r="A268" s="51"/>
      <c r="B268" s="51"/>
      <c r="C268" s="52"/>
      <c r="D268" s="51"/>
      <c r="E268" s="53"/>
      <c r="F268" s="54"/>
      <c r="G268" s="51"/>
      <c r="H268" s="51"/>
      <c r="I268" s="55"/>
      <c r="J268" s="56"/>
      <c r="K268" s="46"/>
      <c r="L268" s="46"/>
      <c r="M268" s="47"/>
      <c r="N268" s="46"/>
      <c r="O268" s="57"/>
      <c r="P268" s="46"/>
      <c r="Q268" s="46"/>
      <c r="R268" s="57"/>
      <c r="S268" s="7"/>
      <c r="T268" s="54"/>
      <c r="U268" s="58"/>
      <c r="V268" s="47"/>
      <c r="W268" s="18"/>
      <c r="X268" s="46"/>
      <c r="Y268" s="9"/>
      <c r="Z268" s="46"/>
      <c r="AA268" s="7"/>
      <c r="AB268" s="46"/>
      <c r="AC268" s="47"/>
      <c r="AD268" s="7"/>
      <c r="AE268" s="47"/>
      <c r="AF268" s="18"/>
      <c r="AG268" s="26"/>
      <c r="AH268" s="34"/>
      <c r="AI268" s="34"/>
      <c r="AJ268" s="18"/>
      <c r="AK268" s="48"/>
      <c r="AL268" s="9" t="str">
        <f>IFERROR(__xludf.DUMMYFUNCTION("""COMPUTED_VALUE"""),"* MR36D *")</f>
        <v>* MR36D *</v>
      </c>
      <c r="AM268" s="9">
        <f>IFERROR(__xludf.DUMMYFUNCTION("""COMPUTED_VALUE"""),23.28)</f>
        <v>23.28</v>
      </c>
    </row>
    <row r="269">
      <c r="A269" s="51"/>
      <c r="B269" s="51"/>
      <c r="C269" s="52"/>
      <c r="D269" s="51"/>
      <c r="E269" s="53"/>
      <c r="F269" s="54"/>
      <c r="G269" s="51"/>
      <c r="H269" s="51"/>
      <c r="I269" s="55"/>
      <c r="J269" s="56"/>
      <c r="K269" s="46"/>
      <c r="L269" s="46"/>
      <c r="M269" s="47"/>
      <c r="N269" s="46"/>
      <c r="O269" s="57"/>
      <c r="P269" s="46"/>
      <c r="Q269" s="46"/>
      <c r="R269" s="57"/>
      <c r="S269" s="7"/>
      <c r="T269" s="54"/>
      <c r="U269" s="58"/>
      <c r="V269" s="47"/>
      <c r="W269" s="18"/>
      <c r="X269" s="46"/>
      <c r="Y269" s="9"/>
      <c r="Z269" s="46"/>
      <c r="AA269" s="7"/>
      <c r="AB269" s="46"/>
      <c r="AC269" s="47"/>
      <c r="AD269" s="7"/>
      <c r="AE269" s="47"/>
      <c r="AF269" s="18"/>
      <c r="AG269" s="26"/>
      <c r="AH269" s="34"/>
      <c r="AI269" s="34"/>
      <c r="AJ269" s="18"/>
      <c r="AK269" s="48"/>
      <c r="AL269" s="9" t="str">
        <f>IFERROR(__xludf.DUMMYFUNCTION("""COMPUTED_VALUE"""),"* MR36O *")</f>
        <v>* MR36O *</v>
      </c>
      <c r="AM269" s="9">
        <f>IFERROR(__xludf.DUMMYFUNCTION("""COMPUTED_VALUE"""),32695.0)</f>
        <v>32695</v>
      </c>
    </row>
    <row r="270">
      <c r="A270" s="51"/>
      <c r="B270" s="51"/>
      <c r="C270" s="52"/>
      <c r="D270" s="51"/>
      <c r="E270" s="53"/>
      <c r="F270" s="54"/>
      <c r="G270" s="51"/>
      <c r="H270" s="51"/>
      <c r="I270" s="55"/>
      <c r="J270" s="56"/>
      <c r="K270" s="46"/>
      <c r="L270" s="46"/>
      <c r="M270" s="47"/>
      <c r="N270" s="46"/>
      <c r="O270" s="57"/>
      <c r="P270" s="46"/>
      <c r="Q270" s="46"/>
      <c r="R270" s="57"/>
      <c r="S270" s="7"/>
      <c r="T270" s="54"/>
      <c r="U270" s="58"/>
      <c r="V270" s="47"/>
      <c r="W270" s="18"/>
      <c r="X270" s="46"/>
      <c r="Y270" s="9"/>
      <c r="Z270" s="46"/>
      <c r="AA270" s="7"/>
      <c r="AB270" s="46"/>
      <c r="AC270" s="47"/>
      <c r="AD270" s="7"/>
      <c r="AE270" s="47"/>
      <c r="AF270" s="18"/>
      <c r="AG270" s="26"/>
      <c r="AH270" s="34"/>
      <c r="AI270" s="34"/>
      <c r="AJ270" s="18"/>
      <c r="AK270" s="48"/>
      <c r="AL270" s="9" t="str">
        <f>IFERROR(__xludf.DUMMYFUNCTION("""COMPUTED_VALUE"""),"* MR37D *")</f>
        <v>* MR37D *</v>
      </c>
      <c r="AM270" s="9">
        <f>IFERROR(__xludf.DUMMYFUNCTION("""COMPUTED_VALUE"""),21.0)</f>
        <v>21</v>
      </c>
    </row>
    <row r="271">
      <c r="A271" s="51"/>
      <c r="B271" s="51"/>
      <c r="C271" s="52"/>
      <c r="D271" s="51"/>
      <c r="E271" s="53"/>
      <c r="F271" s="54"/>
      <c r="G271" s="51"/>
      <c r="H271" s="51"/>
      <c r="I271" s="55"/>
      <c r="J271" s="56"/>
      <c r="K271" s="46"/>
      <c r="L271" s="46"/>
      <c r="M271" s="47"/>
      <c r="N271" s="46"/>
      <c r="O271" s="57"/>
      <c r="P271" s="46"/>
      <c r="Q271" s="46"/>
      <c r="R271" s="57"/>
      <c r="S271" s="7"/>
      <c r="T271" s="54"/>
      <c r="U271" s="58"/>
      <c r="V271" s="47"/>
      <c r="W271" s="18"/>
      <c r="X271" s="46"/>
      <c r="Y271" s="9"/>
      <c r="Z271" s="46"/>
      <c r="AA271" s="7"/>
      <c r="AB271" s="46"/>
      <c r="AC271" s="47"/>
      <c r="AD271" s="7"/>
      <c r="AE271" s="47"/>
      <c r="AF271" s="18"/>
      <c r="AG271" s="26"/>
      <c r="AH271" s="34"/>
      <c r="AI271" s="34"/>
      <c r="AJ271" s="18"/>
      <c r="AK271" s="48"/>
      <c r="AL271" s="9" t="str">
        <f>IFERROR(__xludf.DUMMYFUNCTION("""COMPUTED_VALUE"""),"* MR37O *")</f>
        <v>* MR37O *</v>
      </c>
      <c r="AM271" s="9">
        <f>IFERROR(__xludf.DUMMYFUNCTION("""COMPUTED_VALUE"""),32775.0)</f>
        <v>32775</v>
      </c>
    </row>
    <row r="272">
      <c r="A272" s="51"/>
      <c r="B272" s="51"/>
      <c r="C272" s="52"/>
      <c r="D272" s="51"/>
      <c r="E272" s="53"/>
      <c r="F272" s="54"/>
      <c r="G272" s="51"/>
      <c r="H272" s="51"/>
      <c r="I272" s="55"/>
      <c r="J272" s="56"/>
      <c r="K272" s="46"/>
      <c r="L272" s="46"/>
      <c r="M272" s="47"/>
      <c r="N272" s="46"/>
      <c r="O272" s="57"/>
      <c r="P272" s="46"/>
      <c r="Q272" s="46"/>
      <c r="R272" s="57"/>
      <c r="S272" s="7"/>
      <c r="T272" s="54"/>
      <c r="U272" s="58"/>
      <c r="V272" s="47"/>
      <c r="W272" s="18"/>
      <c r="X272" s="46"/>
      <c r="Y272" s="9"/>
      <c r="Z272" s="46"/>
      <c r="AA272" s="7"/>
      <c r="AB272" s="46"/>
      <c r="AC272" s="47"/>
      <c r="AD272" s="7"/>
      <c r="AE272" s="47"/>
      <c r="AF272" s="18"/>
      <c r="AG272" s="26"/>
      <c r="AH272" s="34"/>
      <c r="AI272" s="34"/>
      <c r="AJ272" s="18"/>
      <c r="AK272" s="48"/>
      <c r="AL272" s="9" t="str">
        <f>IFERROR(__xludf.DUMMYFUNCTION("""COMPUTED_VALUE"""),"* MR38O *")</f>
        <v>* MR38O *</v>
      </c>
      <c r="AM272" s="9">
        <f>IFERROR(__xludf.DUMMYFUNCTION("""COMPUTED_VALUE"""),33000.0)</f>
        <v>33000</v>
      </c>
    </row>
    <row r="273">
      <c r="A273" s="51"/>
      <c r="B273" s="51"/>
      <c r="C273" s="52"/>
      <c r="D273" s="51"/>
      <c r="E273" s="53"/>
      <c r="F273" s="54"/>
      <c r="G273" s="51"/>
      <c r="H273" s="51"/>
      <c r="I273" s="55"/>
      <c r="J273" s="56"/>
      <c r="K273" s="46"/>
      <c r="L273" s="46"/>
      <c r="M273" s="47"/>
      <c r="N273" s="46"/>
      <c r="O273" s="57"/>
      <c r="P273" s="46"/>
      <c r="Q273" s="46"/>
      <c r="R273" s="57"/>
      <c r="S273" s="7"/>
      <c r="T273" s="54"/>
      <c r="U273" s="58"/>
      <c r="V273" s="47"/>
      <c r="W273" s="18"/>
      <c r="X273" s="46"/>
      <c r="Y273" s="9"/>
      <c r="Z273" s="46"/>
      <c r="AA273" s="7"/>
      <c r="AB273" s="46"/>
      <c r="AC273" s="47"/>
      <c r="AD273" s="7"/>
      <c r="AE273" s="47"/>
      <c r="AF273" s="18"/>
      <c r="AG273" s="26"/>
      <c r="AH273" s="34"/>
      <c r="AI273" s="34"/>
      <c r="AJ273" s="18"/>
      <c r="AK273" s="48"/>
      <c r="AL273" s="9" t="str">
        <f>IFERROR(__xludf.DUMMYFUNCTION("""COMPUTED_VALUE"""),"* MR39D *")</f>
        <v>* MR39D *</v>
      </c>
      <c r="AM273" s="9">
        <f>IFERROR(__xludf.DUMMYFUNCTION("""COMPUTED_VALUE"""),61.5)</f>
        <v>61.5</v>
      </c>
    </row>
    <row r="274">
      <c r="A274" s="51"/>
      <c r="B274" s="51"/>
      <c r="C274" s="52"/>
      <c r="D274" s="51"/>
      <c r="E274" s="53"/>
      <c r="F274" s="54"/>
      <c r="G274" s="51"/>
      <c r="H274" s="51"/>
      <c r="I274" s="55"/>
      <c r="J274" s="56"/>
      <c r="K274" s="46"/>
      <c r="L274" s="46"/>
      <c r="M274" s="47"/>
      <c r="N274" s="46"/>
      <c r="O274" s="57"/>
      <c r="P274" s="46"/>
      <c r="Q274" s="46"/>
      <c r="R274" s="57"/>
      <c r="S274" s="7"/>
      <c r="T274" s="54"/>
      <c r="U274" s="58"/>
      <c r="V274" s="47"/>
      <c r="W274" s="18"/>
      <c r="X274" s="46"/>
      <c r="Y274" s="9"/>
      <c r="Z274" s="46"/>
      <c r="AA274" s="7"/>
      <c r="AB274" s="46"/>
      <c r="AC274" s="47"/>
      <c r="AD274" s="7"/>
      <c r="AE274" s="47"/>
      <c r="AF274" s="18"/>
      <c r="AG274" s="26"/>
      <c r="AH274" s="34"/>
      <c r="AI274" s="34"/>
      <c r="AJ274" s="18"/>
      <c r="AK274" s="48"/>
      <c r="AL274" s="9" t="str">
        <f>IFERROR(__xludf.DUMMYFUNCTION("""COMPUTED_VALUE"""),"* MR39O *")</f>
        <v>* MR39O *</v>
      </c>
      <c r="AM274" s="9">
        <f>IFERROR(__xludf.DUMMYFUNCTION("""COMPUTED_VALUE"""),88500.0)</f>
        <v>88500</v>
      </c>
    </row>
    <row r="275">
      <c r="A275" s="51"/>
      <c r="B275" s="51"/>
      <c r="C275" s="52"/>
      <c r="D275" s="51"/>
      <c r="E275" s="53"/>
      <c r="F275" s="54"/>
      <c r="G275" s="51"/>
      <c r="H275" s="51"/>
      <c r="I275" s="55"/>
      <c r="J275" s="56"/>
      <c r="K275" s="46"/>
      <c r="L275" s="46"/>
      <c r="M275" s="47"/>
      <c r="N275" s="46"/>
      <c r="O275" s="57"/>
      <c r="P275" s="46"/>
      <c r="Q275" s="46"/>
      <c r="R275" s="57"/>
      <c r="S275" s="7"/>
      <c r="T275" s="54"/>
      <c r="U275" s="58"/>
      <c r="V275" s="47"/>
      <c r="W275" s="18"/>
      <c r="X275" s="46"/>
      <c r="Y275" s="9"/>
      <c r="Z275" s="46"/>
      <c r="AA275" s="7"/>
      <c r="AB275" s="46"/>
      <c r="AC275" s="47"/>
      <c r="AD275" s="7"/>
      <c r="AE275" s="47"/>
      <c r="AF275" s="18"/>
      <c r="AG275" s="26"/>
      <c r="AH275" s="34"/>
      <c r="AI275" s="34"/>
      <c r="AJ275" s="18"/>
      <c r="AK275" s="48"/>
      <c r="AL275" s="9" t="str">
        <f>IFERROR(__xludf.DUMMYFUNCTION("""COMPUTED_VALUE"""),"* MR40O *")</f>
        <v>* MR40O *</v>
      </c>
      <c r="AM275" s="9">
        <f>IFERROR(__xludf.DUMMYFUNCTION("""COMPUTED_VALUE"""),77500.0)</f>
        <v>77500</v>
      </c>
    </row>
    <row r="276">
      <c r="A276" s="51"/>
      <c r="B276" s="51"/>
      <c r="C276" s="52"/>
      <c r="D276" s="51"/>
      <c r="E276" s="53"/>
      <c r="F276" s="54"/>
      <c r="G276" s="51"/>
      <c r="H276" s="51"/>
      <c r="I276" s="55"/>
      <c r="J276" s="56"/>
      <c r="K276" s="46"/>
      <c r="L276" s="46"/>
      <c r="M276" s="47"/>
      <c r="N276" s="46"/>
      <c r="O276" s="57"/>
      <c r="P276" s="46"/>
      <c r="Q276" s="46"/>
      <c r="R276" s="57"/>
      <c r="S276" s="7"/>
      <c r="T276" s="54"/>
      <c r="U276" s="58"/>
      <c r="V276" s="47"/>
      <c r="W276" s="18"/>
      <c r="X276" s="46"/>
      <c r="Y276" s="9"/>
      <c r="Z276" s="46"/>
      <c r="AA276" s="7"/>
      <c r="AB276" s="46"/>
      <c r="AC276" s="47"/>
      <c r="AD276" s="7"/>
      <c r="AE276" s="47"/>
      <c r="AF276" s="18"/>
      <c r="AG276" s="26"/>
      <c r="AH276" s="34"/>
      <c r="AI276" s="34"/>
      <c r="AJ276" s="18"/>
      <c r="AK276" s="48"/>
      <c r="AL276" s="9" t="str">
        <f>IFERROR(__xludf.DUMMYFUNCTION("""COMPUTED_VALUE"""),"* MR41O *")</f>
        <v>* MR41O *</v>
      </c>
      <c r="AM276" s="9">
        <f>IFERROR(__xludf.DUMMYFUNCTION("""COMPUTED_VALUE"""),65000.0)</f>
        <v>65000</v>
      </c>
    </row>
    <row r="277">
      <c r="A277" s="51"/>
      <c r="B277" s="51"/>
      <c r="C277" s="52"/>
      <c r="D277" s="51"/>
      <c r="E277" s="53"/>
      <c r="F277" s="54"/>
      <c r="G277" s="51"/>
      <c r="H277" s="51"/>
      <c r="I277" s="55"/>
      <c r="J277" s="56"/>
      <c r="K277" s="46"/>
      <c r="L277" s="46"/>
      <c r="M277" s="47"/>
      <c r="N277" s="46"/>
      <c r="O277" s="57"/>
      <c r="P277" s="46"/>
      <c r="Q277" s="46"/>
      <c r="R277" s="57"/>
      <c r="S277" s="7"/>
      <c r="T277" s="54"/>
      <c r="U277" s="58"/>
      <c r="V277" s="47"/>
      <c r="W277" s="18"/>
      <c r="X277" s="46"/>
      <c r="Y277" s="9"/>
      <c r="Z277" s="46"/>
      <c r="AA277" s="7"/>
      <c r="AB277" s="46"/>
      <c r="AC277" s="47"/>
      <c r="AD277" s="7"/>
      <c r="AE277" s="47"/>
      <c r="AF277" s="18"/>
      <c r="AG277" s="26"/>
      <c r="AH277" s="34"/>
      <c r="AI277" s="34"/>
      <c r="AJ277" s="18"/>
      <c r="AK277" s="48"/>
      <c r="AL277" s="9" t="str">
        <f>IFERROR(__xludf.DUMMYFUNCTION("""COMPUTED_VALUE"""),"* MR42O *")</f>
        <v>* MR42O *</v>
      </c>
      <c r="AM277" s="9">
        <f>IFERROR(__xludf.DUMMYFUNCTION("""COMPUTED_VALUE"""),46.0)</f>
        <v>46</v>
      </c>
    </row>
    <row r="278">
      <c r="A278" s="51"/>
      <c r="B278" s="51"/>
      <c r="C278" s="52"/>
      <c r="D278" s="51"/>
      <c r="E278" s="53"/>
      <c r="F278" s="54"/>
      <c r="G278" s="51"/>
      <c r="H278" s="51"/>
      <c r="I278" s="55"/>
      <c r="J278" s="56"/>
      <c r="K278" s="46"/>
      <c r="L278" s="46"/>
      <c r="M278" s="47"/>
      <c r="N278" s="46"/>
      <c r="O278" s="57"/>
      <c r="P278" s="46"/>
      <c r="Q278" s="46"/>
      <c r="R278" s="57"/>
      <c r="S278" s="7"/>
      <c r="T278" s="54"/>
      <c r="U278" s="58"/>
      <c r="V278" s="47"/>
      <c r="W278" s="18"/>
      <c r="X278" s="46"/>
      <c r="Y278" s="9"/>
      <c r="Z278" s="46"/>
      <c r="AA278" s="7"/>
      <c r="AB278" s="46"/>
      <c r="AC278" s="47"/>
      <c r="AD278" s="7"/>
      <c r="AE278" s="47"/>
      <c r="AF278" s="18"/>
      <c r="AG278" s="26"/>
      <c r="AH278" s="34"/>
      <c r="AI278" s="34"/>
      <c r="AJ278" s="18"/>
      <c r="AK278" s="48"/>
      <c r="AL278" s="9" t="str">
        <f>IFERROR(__xludf.DUMMYFUNCTION("""COMPUTED_VALUE"""),"* MRCAD *")</f>
        <v>* MRCAD *</v>
      </c>
      <c r="AM278" s="9">
        <f>IFERROR(__xludf.DUMMYFUNCTION("""COMPUTED_VALUE"""),18.5)</f>
        <v>18.5</v>
      </c>
    </row>
    <row r="279">
      <c r="A279" s="51"/>
      <c r="B279" s="51"/>
      <c r="C279" s="52"/>
      <c r="D279" s="51"/>
      <c r="E279" s="53"/>
      <c r="F279" s="54"/>
      <c r="G279" s="51"/>
      <c r="H279" s="51"/>
      <c r="I279" s="55"/>
      <c r="J279" s="56"/>
      <c r="K279" s="46"/>
      <c r="L279" s="46"/>
      <c r="M279" s="47"/>
      <c r="N279" s="46"/>
      <c r="O279" s="57"/>
      <c r="P279" s="46"/>
      <c r="Q279" s="46"/>
      <c r="R279" s="57"/>
      <c r="S279" s="7"/>
      <c r="T279" s="54"/>
      <c r="U279" s="58"/>
      <c r="V279" s="47"/>
      <c r="W279" s="18"/>
      <c r="X279" s="46"/>
      <c r="Y279" s="9"/>
      <c r="Z279" s="46"/>
      <c r="AA279" s="7"/>
      <c r="AB279" s="46"/>
      <c r="AC279" s="47"/>
      <c r="AD279" s="7"/>
      <c r="AE279" s="47"/>
      <c r="AF279" s="18"/>
      <c r="AG279" s="26"/>
      <c r="AH279" s="34"/>
      <c r="AI279" s="34"/>
      <c r="AJ279" s="18"/>
      <c r="AK279" s="48"/>
      <c r="AL279" s="9" t="str">
        <f>IFERROR(__xludf.DUMMYFUNCTION("""COMPUTED_VALUE"""),"* MRCAO *")</f>
        <v>* MRCAO *</v>
      </c>
      <c r="AM279" s="9">
        <f>IFERROR(__xludf.DUMMYFUNCTION("""COMPUTED_VALUE"""),27100.0)</f>
        <v>27100</v>
      </c>
    </row>
    <row r="280">
      <c r="A280" s="51"/>
      <c r="B280" s="51"/>
      <c r="C280" s="52"/>
      <c r="D280" s="51"/>
      <c r="E280" s="53"/>
      <c r="F280" s="54"/>
      <c r="G280" s="51"/>
      <c r="H280" s="51"/>
      <c r="I280" s="55"/>
      <c r="J280" s="56"/>
      <c r="K280" s="46"/>
      <c r="L280" s="46"/>
      <c r="M280" s="47"/>
      <c r="N280" s="46"/>
      <c r="O280" s="57"/>
      <c r="P280" s="46"/>
      <c r="Q280" s="46"/>
      <c r="R280" s="57"/>
      <c r="S280" s="7"/>
      <c r="T280" s="54"/>
      <c r="U280" s="58"/>
      <c r="V280" s="47"/>
      <c r="W280" s="18"/>
      <c r="X280" s="46"/>
      <c r="Y280" s="9"/>
      <c r="Z280" s="46"/>
      <c r="AA280" s="7"/>
      <c r="AB280" s="46"/>
      <c r="AC280" s="47"/>
      <c r="AD280" s="7"/>
      <c r="AE280" s="47"/>
      <c r="AF280" s="18"/>
      <c r="AG280" s="26"/>
      <c r="AH280" s="34"/>
      <c r="AI280" s="34"/>
      <c r="AJ280" s="18"/>
      <c r="AK280" s="48"/>
      <c r="AL280" s="9" t="str">
        <f>IFERROR(__xludf.DUMMYFUNCTION("""COMPUTED_VALUE"""),"* MRCGO *")</f>
        <v>* MRCGO *</v>
      </c>
      <c r="AM280" s="9">
        <f>IFERROR(__xludf.DUMMYFUNCTION("""COMPUTED_VALUE"""),35000.0)</f>
        <v>35000</v>
      </c>
    </row>
    <row r="281">
      <c r="A281" s="51"/>
      <c r="B281" s="51"/>
      <c r="C281" s="52"/>
      <c r="D281" s="51"/>
      <c r="E281" s="53"/>
      <c r="F281" s="54"/>
      <c r="G281" s="51"/>
      <c r="H281" s="51"/>
      <c r="I281" s="55"/>
      <c r="J281" s="56"/>
      <c r="K281" s="46"/>
      <c r="L281" s="46"/>
      <c r="M281" s="47"/>
      <c r="N281" s="46"/>
      <c r="O281" s="57"/>
      <c r="P281" s="46"/>
      <c r="Q281" s="46"/>
      <c r="R281" s="57"/>
      <c r="S281" s="7"/>
      <c r="T281" s="54"/>
      <c r="U281" s="58"/>
      <c r="V281" s="47"/>
      <c r="W281" s="18"/>
      <c r="X281" s="46"/>
      <c r="Y281" s="9"/>
      <c r="Z281" s="46"/>
      <c r="AA281" s="7"/>
      <c r="AB281" s="46"/>
      <c r="AC281" s="47"/>
      <c r="AD281" s="7"/>
      <c r="AE281" s="47"/>
      <c r="AF281" s="18"/>
      <c r="AG281" s="26"/>
      <c r="AH281" s="34"/>
      <c r="AI281" s="34"/>
      <c r="AJ281" s="18"/>
      <c r="AK281" s="48"/>
      <c r="AL281" s="9" t="str">
        <f>IFERROR(__xludf.DUMMYFUNCTION("""COMPUTED_VALUE"""),"* MRCKO *")</f>
        <v>* MRCKO *</v>
      </c>
      <c r="AM281" s="9">
        <f>IFERROR(__xludf.DUMMYFUNCTION("""COMPUTED_VALUE"""),126000.0)</f>
        <v>126000</v>
      </c>
    </row>
    <row r="282">
      <c r="A282" s="51"/>
      <c r="B282" s="51"/>
      <c r="C282" s="52"/>
      <c r="D282" s="51"/>
      <c r="E282" s="53"/>
      <c r="F282" s="54"/>
      <c r="G282" s="51"/>
      <c r="H282" s="51"/>
      <c r="I282" s="55"/>
      <c r="J282" s="56"/>
      <c r="K282" s="46"/>
      <c r="L282" s="46"/>
      <c r="M282" s="47"/>
      <c r="N282" s="46"/>
      <c r="O282" s="57"/>
      <c r="P282" s="46"/>
      <c r="Q282" s="46"/>
      <c r="R282" s="57"/>
      <c r="S282" s="7"/>
      <c r="T282" s="54"/>
      <c r="U282" s="58"/>
      <c r="V282" s="47"/>
      <c r="W282" s="18"/>
      <c r="X282" s="46"/>
      <c r="Y282" s="9"/>
      <c r="Z282" s="46"/>
      <c r="AA282" s="7"/>
      <c r="AB282" s="46"/>
      <c r="AC282" s="47"/>
      <c r="AD282" s="7"/>
      <c r="AE282" s="47"/>
      <c r="AF282" s="18"/>
      <c r="AG282" s="26"/>
      <c r="AH282" s="34"/>
      <c r="AI282" s="34"/>
      <c r="AJ282" s="18"/>
      <c r="AK282" s="48"/>
      <c r="AL282" s="9" t="str">
        <f>IFERROR(__xludf.DUMMYFUNCTION("""COMPUTED_VALUE"""),"* MRCLD *")</f>
        <v>* MRCLD *</v>
      </c>
      <c r="AM282" s="9">
        <f>IFERROR(__xludf.DUMMYFUNCTION("""COMPUTED_VALUE"""),27.0)</f>
        <v>27</v>
      </c>
    </row>
    <row r="283">
      <c r="A283" s="51"/>
      <c r="B283" s="51"/>
      <c r="C283" s="52"/>
      <c r="D283" s="51"/>
      <c r="E283" s="53"/>
      <c r="F283" s="54"/>
      <c r="G283" s="51"/>
      <c r="H283" s="51"/>
      <c r="I283" s="55"/>
      <c r="J283" s="56"/>
      <c r="K283" s="46"/>
      <c r="L283" s="46"/>
      <c r="M283" s="47"/>
      <c r="N283" s="46"/>
      <c r="O283" s="57"/>
      <c r="P283" s="46"/>
      <c r="Q283" s="46"/>
      <c r="R283" s="57"/>
      <c r="S283" s="7"/>
      <c r="T283" s="54"/>
      <c r="U283" s="58"/>
      <c r="V283" s="47"/>
      <c r="W283" s="18"/>
      <c r="X283" s="46"/>
      <c r="Y283" s="9"/>
      <c r="Z283" s="46"/>
      <c r="AA283" s="7"/>
      <c r="AB283" s="46"/>
      <c r="AC283" s="47"/>
      <c r="AD283" s="7"/>
      <c r="AE283" s="47"/>
      <c r="AF283" s="18"/>
      <c r="AG283" s="26"/>
      <c r="AH283" s="34"/>
      <c r="AI283" s="34"/>
      <c r="AJ283" s="18"/>
      <c r="AK283" s="48"/>
      <c r="AL283" s="9" t="str">
        <f>IFERROR(__xludf.DUMMYFUNCTION("""COMPUTED_VALUE"""),"* MRCLO *")</f>
        <v>* MRCLO *</v>
      </c>
      <c r="AM283" s="9">
        <f>IFERROR(__xludf.DUMMYFUNCTION("""COMPUTED_VALUE"""),30500.0)</f>
        <v>30500</v>
      </c>
    </row>
    <row r="284">
      <c r="A284" s="51"/>
      <c r="B284" s="51"/>
      <c r="C284" s="52"/>
      <c r="D284" s="51"/>
      <c r="E284" s="53"/>
      <c r="F284" s="54"/>
      <c r="G284" s="51"/>
      <c r="H284" s="51"/>
      <c r="I284" s="55"/>
      <c r="J284" s="56"/>
      <c r="K284" s="46"/>
      <c r="L284" s="46"/>
      <c r="M284" s="47"/>
      <c r="N284" s="46"/>
      <c r="O284" s="57"/>
      <c r="P284" s="46"/>
      <c r="Q284" s="46"/>
      <c r="R284" s="57"/>
      <c r="S284" s="7"/>
      <c r="T284" s="54"/>
      <c r="U284" s="58"/>
      <c r="V284" s="47"/>
      <c r="W284" s="18"/>
      <c r="X284" s="46"/>
      <c r="Y284" s="9"/>
      <c r="Z284" s="46"/>
      <c r="AA284" s="7"/>
      <c r="AB284" s="46"/>
      <c r="AC284" s="47"/>
      <c r="AD284" s="7"/>
      <c r="AE284" s="47"/>
      <c r="AF284" s="18"/>
      <c r="AG284" s="26"/>
      <c r="AH284" s="34"/>
      <c r="AI284" s="34"/>
      <c r="AJ284" s="18"/>
      <c r="AK284" s="48"/>
      <c r="AL284" s="9" t="str">
        <f>IFERROR(__xludf.DUMMYFUNCTION("""COMPUTED_VALUE"""),"* MRCOO *")</f>
        <v>* MRCOO *</v>
      </c>
      <c r="AM284" s="9">
        <f>IFERROR(__xludf.DUMMYFUNCTION("""COMPUTED_VALUE"""),32005.0)</f>
        <v>32005</v>
      </c>
    </row>
    <row r="285">
      <c r="A285" s="51"/>
      <c r="B285" s="51"/>
      <c r="C285" s="52"/>
      <c r="D285" s="51"/>
      <c r="E285" s="53"/>
      <c r="F285" s="54"/>
      <c r="G285" s="51"/>
      <c r="H285" s="51"/>
      <c r="I285" s="55"/>
      <c r="J285" s="56"/>
      <c r="K285" s="46"/>
      <c r="L285" s="46"/>
      <c r="M285" s="47"/>
      <c r="N285" s="46"/>
      <c r="O285" s="57"/>
      <c r="P285" s="46"/>
      <c r="Q285" s="46"/>
      <c r="R285" s="57"/>
      <c r="S285" s="7"/>
      <c r="T285" s="54"/>
      <c r="U285" s="58"/>
      <c r="V285" s="47"/>
      <c r="W285" s="18"/>
      <c r="X285" s="46"/>
      <c r="Y285" s="9"/>
      <c r="Z285" s="46"/>
      <c r="AA285" s="7"/>
      <c r="AB285" s="46"/>
      <c r="AC285" s="47"/>
      <c r="AD285" s="7"/>
      <c r="AE285" s="47"/>
      <c r="AF285" s="18"/>
      <c r="AG285" s="26"/>
      <c r="AH285" s="34"/>
      <c r="AI285" s="34"/>
      <c r="AJ285" s="18"/>
      <c r="AK285" s="48"/>
      <c r="AL285" s="9" t="str">
        <f>IFERROR(__xludf.DUMMYFUNCTION("""COMPUTED_VALUE"""),"* MRCPC *")</f>
        <v>* MRCPC *</v>
      </c>
      <c r="AM285" s="9">
        <f>IFERROR(__xludf.DUMMYFUNCTION("""COMPUTED_VALUE"""),100.0)</f>
        <v>100</v>
      </c>
    </row>
    <row r="286">
      <c r="A286" s="51"/>
      <c r="B286" s="51"/>
      <c r="C286" s="52"/>
      <c r="D286" s="51"/>
      <c r="E286" s="53"/>
      <c r="F286" s="54"/>
      <c r="G286" s="51"/>
      <c r="H286" s="51"/>
      <c r="I286" s="55"/>
      <c r="J286" s="56"/>
      <c r="K286" s="46"/>
      <c r="L286" s="46"/>
      <c r="M286" s="47"/>
      <c r="N286" s="46"/>
      <c r="O286" s="57"/>
      <c r="P286" s="46"/>
      <c r="Q286" s="46"/>
      <c r="R286" s="57"/>
      <c r="S286" s="7"/>
      <c r="T286" s="54"/>
      <c r="U286" s="58"/>
      <c r="V286" s="47"/>
      <c r="W286" s="18"/>
      <c r="X286" s="46"/>
      <c r="Y286" s="9"/>
      <c r="Z286" s="46"/>
      <c r="AA286" s="7"/>
      <c r="AB286" s="46"/>
      <c r="AC286" s="47"/>
      <c r="AD286" s="7"/>
      <c r="AE286" s="47"/>
      <c r="AF286" s="18"/>
      <c r="AG286" s="26"/>
      <c r="AH286" s="34"/>
      <c r="AI286" s="34"/>
      <c r="AJ286" s="18"/>
      <c r="AK286" s="48"/>
      <c r="AL286" s="26" t="str">
        <f>IFERROR(__xludf.DUMMYFUNCTION("""COMPUTED_VALUE"""),"* MRCPD *")</f>
        <v>* MRCPD *</v>
      </c>
      <c r="AM286" s="59">
        <f>IFERROR(__xludf.DUMMYFUNCTION("""COMPUTED_VALUE"""),100.0)</f>
        <v>100</v>
      </c>
    </row>
    <row r="287">
      <c r="A287" s="51"/>
      <c r="B287" s="51"/>
      <c r="C287" s="52"/>
      <c r="D287" s="51"/>
      <c r="E287" s="53"/>
      <c r="F287" s="54"/>
      <c r="G287" s="51"/>
      <c r="H287" s="51"/>
      <c r="I287" s="55"/>
      <c r="J287" s="56"/>
      <c r="K287" s="46"/>
      <c r="L287" s="46"/>
      <c r="M287" s="47"/>
      <c r="N287" s="46"/>
      <c r="O287" s="57"/>
      <c r="P287" s="46"/>
      <c r="Q287" s="46"/>
      <c r="R287" s="57"/>
      <c r="S287" s="7"/>
      <c r="T287" s="54"/>
      <c r="U287" s="58"/>
      <c r="V287" s="47"/>
      <c r="W287" s="18"/>
      <c r="X287" s="46"/>
      <c r="Y287" s="9"/>
      <c r="Z287" s="46"/>
      <c r="AA287" s="7"/>
      <c r="AB287" s="46"/>
      <c r="AC287" s="47"/>
      <c r="AD287" s="7"/>
      <c r="AE287" s="47"/>
      <c r="AF287" s="18"/>
      <c r="AG287" s="26"/>
      <c r="AH287" s="34"/>
      <c r="AI287" s="34"/>
      <c r="AJ287" s="18"/>
      <c r="AK287" s="48"/>
      <c r="AL287" s="26" t="str">
        <f>IFERROR(__xludf.DUMMYFUNCTION("""COMPUTED_VALUE"""),"* MRCPO *")</f>
        <v>* MRCPO *</v>
      </c>
      <c r="AM287" s="59">
        <f>IFERROR(__xludf.DUMMYFUNCTION("""COMPUTED_VALUE"""),34000.0)</f>
        <v>34000</v>
      </c>
    </row>
    <row r="288">
      <c r="A288" s="51"/>
      <c r="B288" s="51"/>
      <c r="C288" s="52"/>
      <c r="D288" s="51"/>
      <c r="E288" s="53"/>
      <c r="F288" s="54"/>
      <c r="G288" s="51"/>
      <c r="H288" s="51"/>
      <c r="I288" s="55"/>
      <c r="J288" s="56"/>
      <c r="K288" s="46"/>
      <c r="L288" s="46"/>
      <c r="M288" s="47"/>
      <c r="N288" s="46"/>
      <c r="O288" s="57"/>
      <c r="P288" s="46"/>
      <c r="Q288" s="46"/>
      <c r="R288" s="57"/>
      <c r="S288" s="7"/>
      <c r="T288" s="54"/>
      <c r="U288" s="58"/>
      <c r="V288" s="47"/>
      <c r="W288" s="18"/>
      <c r="X288" s="46"/>
      <c r="Y288" s="9"/>
      <c r="Z288" s="46"/>
      <c r="AA288" s="7"/>
      <c r="AB288" s="46"/>
      <c r="AC288" s="47"/>
      <c r="AD288" s="7"/>
      <c r="AE288" s="47"/>
      <c r="AF288" s="18"/>
      <c r="AG288" s="26"/>
      <c r="AH288" s="34"/>
      <c r="AI288" s="34"/>
      <c r="AJ288" s="18"/>
      <c r="AK288" s="48"/>
      <c r="AL288" s="26" t="str">
        <f>IFERROR(__xludf.DUMMYFUNCTION("""COMPUTED_VALUE"""),"* MRCQD *")</f>
        <v>* MRCQD *</v>
      </c>
      <c r="AM288" s="59">
        <f>IFERROR(__xludf.DUMMYFUNCTION("""COMPUTED_VALUE"""),39.99)</f>
        <v>39.99</v>
      </c>
    </row>
    <row r="289">
      <c r="A289" s="51"/>
      <c r="B289" s="51"/>
      <c r="C289" s="52"/>
      <c r="D289" s="51"/>
      <c r="E289" s="53"/>
      <c r="F289" s="54"/>
      <c r="G289" s="51"/>
      <c r="H289" s="51"/>
      <c r="I289" s="55"/>
      <c r="J289" s="56"/>
      <c r="K289" s="46"/>
      <c r="L289" s="46"/>
      <c r="M289" s="47"/>
      <c r="N289" s="46"/>
      <c r="O289" s="57"/>
      <c r="P289" s="46"/>
      <c r="Q289" s="46"/>
      <c r="R289" s="57"/>
      <c r="S289" s="7"/>
      <c r="T289" s="54"/>
      <c r="U289" s="58"/>
      <c r="V289" s="47"/>
      <c r="W289" s="18"/>
      <c r="X289" s="46"/>
      <c r="Y289" s="9"/>
      <c r="Z289" s="46"/>
      <c r="AA289" s="7"/>
      <c r="AB289" s="46"/>
      <c r="AC289" s="47"/>
      <c r="AD289" s="7"/>
      <c r="AE289" s="47"/>
      <c r="AF289" s="18"/>
      <c r="AG289" s="26"/>
      <c r="AH289" s="34"/>
      <c r="AI289" s="34"/>
      <c r="AJ289" s="18"/>
      <c r="AK289" s="48"/>
      <c r="AL289" s="26" t="str">
        <f>IFERROR(__xludf.DUMMYFUNCTION("""COMPUTED_VALUE"""),"* MRCQO *")</f>
        <v>* MRCQO *</v>
      </c>
      <c r="AM289" s="59">
        <f>IFERROR(__xludf.DUMMYFUNCTION("""COMPUTED_VALUE"""),46000.0)</f>
        <v>46000</v>
      </c>
    </row>
    <row r="290">
      <c r="A290" s="51"/>
      <c r="B290" s="51"/>
      <c r="C290" s="52"/>
      <c r="D290" s="51"/>
      <c r="E290" s="53"/>
      <c r="F290" s="54"/>
      <c r="G290" s="51"/>
      <c r="H290" s="51"/>
      <c r="I290" s="55"/>
      <c r="J290" s="56"/>
      <c r="K290" s="46"/>
      <c r="L290" s="46"/>
      <c r="M290" s="47"/>
      <c r="N290" s="46"/>
      <c r="O290" s="57"/>
      <c r="P290" s="46"/>
      <c r="Q290" s="46"/>
      <c r="R290" s="57"/>
      <c r="S290" s="7"/>
      <c r="T290" s="54"/>
      <c r="U290" s="58"/>
      <c r="V290" s="47"/>
      <c r="W290" s="18"/>
      <c r="X290" s="46"/>
      <c r="Y290" s="9"/>
      <c r="Z290" s="46"/>
      <c r="AA290" s="7"/>
      <c r="AB290" s="46"/>
      <c r="AC290" s="47"/>
      <c r="AD290" s="7"/>
      <c r="AE290" s="47"/>
      <c r="AF290" s="18"/>
      <c r="AG290" s="26"/>
      <c r="AH290" s="34"/>
      <c r="AI290" s="34"/>
      <c r="AJ290" s="18"/>
      <c r="AK290" s="48"/>
      <c r="AL290" s="26" t="str">
        <f>IFERROR(__xludf.DUMMYFUNCTION("""COMPUTED_VALUE"""),"* MRCRC *")</f>
        <v>* MRCRC *</v>
      </c>
      <c r="AM290" s="59">
        <f>IFERROR(__xludf.DUMMYFUNCTION("""COMPUTED_VALUE"""),100.0)</f>
        <v>100</v>
      </c>
    </row>
    <row r="291">
      <c r="A291" s="51"/>
      <c r="B291" s="51"/>
      <c r="C291" s="52"/>
      <c r="D291" s="51"/>
      <c r="E291" s="53"/>
      <c r="F291" s="54"/>
      <c r="G291" s="51"/>
      <c r="H291" s="51"/>
      <c r="I291" s="55"/>
      <c r="J291" s="56"/>
      <c r="K291" s="46"/>
      <c r="L291" s="46"/>
      <c r="M291" s="47"/>
      <c r="N291" s="46"/>
      <c r="O291" s="57"/>
      <c r="P291" s="46"/>
      <c r="Q291" s="46"/>
      <c r="R291" s="57"/>
      <c r="S291" s="7"/>
      <c r="T291" s="54"/>
      <c r="U291" s="58"/>
      <c r="V291" s="47"/>
      <c r="W291" s="18"/>
      <c r="X291" s="46"/>
      <c r="Y291" s="9"/>
      <c r="Z291" s="46"/>
      <c r="AA291" s="7"/>
      <c r="AB291" s="46"/>
      <c r="AC291" s="47"/>
      <c r="AD291" s="7"/>
      <c r="AE291" s="47"/>
      <c r="AF291" s="18"/>
      <c r="AG291" s="26"/>
      <c r="AH291" s="34"/>
      <c r="AI291" s="34"/>
      <c r="AJ291" s="18"/>
      <c r="AK291" s="48"/>
      <c r="AL291" s="26" t="str">
        <f>IFERROR(__xludf.DUMMYFUNCTION("""COMPUTED_VALUE"""),"* MRCRD *")</f>
        <v>* MRCRD *</v>
      </c>
      <c r="AM291" s="59">
        <f>IFERROR(__xludf.DUMMYFUNCTION("""COMPUTED_VALUE"""),19.0)</f>
        <v>19</v>
      </c>
    </row>
    <row r="292">
      <c r="A292" s="51"/>
      <c r="B292" s="51"/>
      <c r="C292" s="52"/>
      <c r="D292" s="51"/>
      <c r="E292" s="53"/>
      <c r="F292" s="54"/>
      <c r="G292" s="51"/>
      <c r="H292" s="51"/>
      <c r="I292" s="55"/>
      <c r="J292" s="56"/>
      <c r="K292" s="46"/>
      <c r="L292" s="46"/>
      <c r="M292" s="47"/>
      <c r="N292" s="46"/>
      <c r="O292" s="57"/>
      <c r="P292" s="46"/>
      <c r="Q292" s="46"/>
      <c r="R292" s="57"/>
      <c r="S292" s="7"/>
      <c r="T292" s="54"/>
      <c r="U292" s="58"/>
      <c r="V292" s="47"/>
      <c r="W292" s="18"/>
      <c r="X292" s="46"/>
      <c r="Y292" s="9"/>
      <c r="Z292" s="46"/>
      <c r="AA292" s="7"/>
      <c r="AB292" s="46"/>
      <c r="AC292" s="47"/>
      <c r="AD292" s="7"/>
      <c r="AE292" s="47"/>
      <c r="AF292" s="18"/>
      <c r="AG292" s="26"/>
      <c r="AH292" s="34"/>
      <c r="AI292" s="34"/>
      <c r="AJ292" s="18"/>
      <c r="AK292" s="48"/>
      <c r="AL292" s="26" t="str">
        <f>IFERROR(__xludf.DUMMYFUNCTION("""COMPUTED_VALUE"""),"* MRCRO *")</f>
        <v>* MRCRO *</v>
      </c>
      <c r="AM292" s="59">
        <f>IFERROR(__xludf.DUMMYFUNCTION("""COMPUTED_VALUE"""),41840.0)</f>
        <v>41840</v>
      </c>
    </row>
    <row r="293">
      <c r="A293" s="51"/>
      <c r="B293" s="51"/>
      <c r="C293" s="52"/>
      <c r="D293" s="51"/>
      <c r="E293" s="53"/>
      <c r="F293" s="54"/>
      <c r="G293" s="51"/>
      <c r="H293" s="51"/>
      <c r="I293" s="55"/>
      <c r="J293" s="56"/>
      <c r="K293" s="46"/>
      <c r="L293" s="46"/>
      <c r="M293" s="47"/>
      <c r="N293" s="46"/>
      <c r="O293" s="57"/>
      <c r="P293" s="46"/>
      <c r="Q293" s="46"/>
      <c r="R293" s="57"/>
      <c r="S293" s="7"/>
      <c r="T293" s="54"/>
      <c r="U293" s="58"/>
      <c r="V293" s="47"/>
      <c r="W293" s="18"/>
      <c r="X293" s="46"/>
      <c r="Y293" s="9"/>
      <c r="Z293" s="46"/>
      <c r="AA293" s="7"/>
      <c r="AB293" s="46"/>
      <c r="AC293" s="47"/>
      <c r="AD293" s="7"/>
      <c r="AE293" s="47"/>
      <c r="AF293" s="18"/>
      <c r="AG293" s="26"/>
      <c r="AH293" s="34"/>
      <c r="AI293" s="34"/>
      <c r="AJ293" s="18"/>
      <c r="AK293" s="48"/>
      <c r="AL293" s="26" t="str">
        <f>IFERROR(__xludf.DUMMYFUNCTION("""COMPUTED_VALUE"""),"* MRCUD *")</f>
        <v>* MRCUD *</v>
      </c>
      <c r="AM293" s="59">
        <f>IFERROR(__xludf.DUMMYFUNCTION("""COMPUTED_VALUE"""),68.0)</f>
        <v>68</v>
      </c>
    </row>
    <row r="294">
      <c r="A294" s="51"/>
      <c r="B294" s="51"/>
      <c r="C294" s="52"/>
      <c r="D294" s="51"/>
      <c r="E294" s="53"/>
      <c r="F294" s="54"/>
      <c r="G294" s="51"/>
      <c r="H294" s="51"/>
      <c r="I294" s="55"/>
      <c r="J294" s="56"/>
      <c r="K294" s="46"/>
      <c r="L294" s="46"/>
      <c r="M294" s="47"/>
      <c r="N294" s="46"/>
      <c r="O294" s="57"/>
      <c r="P294" s="46"/>
      <c r="Q294" s="46"/>
      <c r="R294" s="57"/>
      <c r="S294" s="7"/>
      <c r="T294" s="54"/>
      <c r="U294" s="58"/>
      <c r="V294" s="47"/>
      <c r="W294" s="18"/>
      <c r="X294" s="46"/>
      <c r="Y294" s="9"/>
      <c r="Z294" s="46"/>
      <c r="AA294" s="7"/>
      <c r="AB294" s="46"/>
      <c r="AC294" s="47"/>
      <c r="AD294" s="7"/>
      <c r="AE294" s="47"/>
      <c r="AF294" s="18"/>
      <c r="AG294" s="26"/>
      <c r="AH294" s="34"/>
      <c r="AI294" s="34"/>
      <c r="AJ294" s="18"/>
      <c r="AK294" s="48"/>
      <c r="AL294" s="26" t="str">
        <f>IFERROR(__xludf.DUMMYFUNCTION("""COMPUTED_VALUE"""),"* MRCUO *")</f>
        <v>* MRCUO *</v>
      </c>
      <c r="AM294" s="59">
        <f>IFERROR(__xludf.DUMMYFUNCTION("""COMPUTED_VALUE"""),86000.0)</f>
        <v>86000</v>
      </c>
    </row>
    <row r="295">
      <c r="A295" s="51"/>
      <c r="B295" s="51"/>
      <c r="C295" s="52"/>
      <c r="D295" s="51"/>
      <c r="E295" s="53"/>
      <c r="F295" s="54"/>
      <c r="G295" s="51"/>
      <c r="H295" s="51"/>
      <c r="I295" s="55"/>
      <c r="J295" s="56"/>
      <c r="K295" s="46"/>
      <c r="L295" s="46"/>
      <c r="M295" s="47"/>
      <c r="N295" s="46"/>
      <c r="O295" s="57"/>
      <c r="P295" s="46"/>
      <c r="Q295" s="46"/>
      <c r="R295" s="57"/>
      <c r="S295" s="7"/>
      <c r="T295" s="54"/>
      <c r="U295" s="58"/>
      <c r="V295" s="47"/>
      <c r="W295" s="18"/>
      <c r="X295" s="46"/>
      <c r="Y295" s="9"/>
      <c r="Z295" s="46"/>
      <c r="AA295" s="7"/>
      <c r="AB295" s="46"/>
      <c r="AC295" s="47"/>
      <c r="AD295" s="7"/>
      <c r="AE295" s="47"/>
      <c r="AF295" s="18"/>
      <c r="AG295" s="26"/>
      <c r="AH295" s="34"/>
      <c r="AI295" s="34"/>
      <c r="AJ295" s="18"/>
      <c r="AK295" s="48"/>
      <c r="AL295" s="26" t="str">
        <f>IFERROR(__xludf.DUMMYFUNCTION("""COMPUTED_VALUE"""),"* MRCVP *")</f>
        <v>* MRCVP *</v>
      </c>
      <c r="AM295" s="59">
        <f>IFERROR(__xludf.DUMMYFUNCTION("""COMPUTED_VALUE"""),100.0)</f>
        <v>100</v>
      </c>
    </row>
    <row r="296">
      <c r="A296" s="51"/>
      <c r="B296" s="51"/>
      <c r="C296" s="52"/>
      <c r="D296" s="51"/>
      <c r="E296" s="53"/>
      <c r="F296" s="54"/>
      <c r="G296" s="51"/>
      <c r="H296" s="51"/>
      <c r="I296" s="55"/>
      <c r="J296" s="56"/>
      <c r="K296" s="46"/>
      <c r="L296" s="46"/>
      <c r="M296" s="47"/>
      <c r="N296" s="46"/>
      <c r="O296" s="57"/>
      <c r="P296" s="46"/>
      <c r="Q296" s="46"/>
      <c r="R296" s="57"/>
      <c r="S296" s="7"/>
      <c r="T296" s="54"/>
      <c r="U296" s="58"/>
      <c r="V296" s="47"/>
      <c r="W296" s="18"/>
      <c r="X296" s="46"/>
      <c r="Y296" s="9"/>
      <c r="Z296" s="46"/>
      <c r="AA296" s="7"/>
      <c r="AB296" s="46"/>
      <c r="AC296" s="47"/>
      <c r="AD296" s="7"/>
      <c r="AE296" s="47"/>
      <c r="AF296" s="18"/>
      <c r="AG296" s="26"/>
      <c r="AH296" s="34"/>
      <c r="AI296" s="34"/>
      <c r="AJ296" s="18"/>
      <c r="AK296" s="48"/>
      <c r="AL296" s="26" t="str">
        <f>IFERROR(__xludf.DUMMYFUNCTION("""COMPUTED_VALUE"""),"* MRCWO *")</f>
        <v>* MRCWO *</v>
      </c>
      <c r="AM296" s="59">
        <f>IFERROR(__xludf.DUMMYFUNCTION("""COMPUTED_VALUE"""),43250.0)</f>
        <v>43250</v>
      </c>
    </row>
    <row r="297">
      <c r="A297" s="51"/>
      <c r="B297" s="51"/>
      <c r="C297" s="52"/>
      <c r="D297" s="51"/>
      <c r="E297" s="53"/>
      <c r="F297" s="54"/>
      <c r="G297" s="51"/>
      <c r="H297" s="51"/>
      <c r="I297" s="55"/>
      <c r="J297" s="56"/>
      <c r="K297" s="46"/>
      <c r="L297" s="46"/>
      <c r="M297" s="47"/>
      <c r="N297" s="46"/>
      <c r="O297" s="57"/>
      <c r="P297" s="46"/>
      <c r="Q297" s="46"/>
      <c r="R297" s="57"/>
      <c r="S297" s="7"/>
      <c r="T297" s="54"/>
      <c r="U297" s="58"/>
      <c r="V297" s="47"/>
      <c r="W297" s="18"/>
      <c r="X297" s="46"/>
      <c r="Y297" s="9"/>
      <c r="Z297" s="46"/>
      <c r="AA297" s="7"/>
      <c r="AB297" s="46"/>
      <c r="AC297" s="47"/>
      <c r="AD297" s="7"/>
      <c r="AE297" s="47"/>
      <c r="AF297" s="18"/>
      <c r="AG297" s="26"/>
      <c r="AH297" s="34"/>
      <c r="AI297" s="34"/>
      <c r="AJ297" s="18"/>
      <c r="AK297" s="48"/>
      <c r="AL297" s="26" t="str">
        <f>IFERROR(__xludf.DUMMYFUNCTION("""COMPUTED_VALUE"""),"* MRCWP *")</f>
        <v>* MRCWP *</v>
      </c>
      <c r="AM297" s="59">
        <f>IFERROR(__xludf.DUMMYFUNCTION("""COMPUTED_VALUE"""),100.0)</f>
        <v>100</v>
      </c>
    </row>
    <row r="298">
      <c r="A298" s="51"/>
      <c r="B298" s="51"/>
      <c r="C298" s="52"/>
      <c r="D298" s="51"/>
      <c r="E298" s="53"/>
      <c r="F298" s="54"/>
      <c r="G298" s="51"/>
      <c r="H298" s="51"/>
      <c r="I298" s="55"/>
      <c r="J298" s="56"/>
      <c r="K298" s="46"/>
      <c r="L298" s="46"/>
      <c r="M298" s="47"/>
      <c r="N298" s="46"/>
      <c r="O298" s="57"/>
      <c r="P298" s="46"/>
      <c r="Q298" s="46"/>
      <c r="R298" s="57"/>
      <c r="S298" s="7"/>
      <c r="T298" s="54"/>
      <c r="U298" s="58"/>
      <c r="V298" s="47"/>
      <c r="W298" s="18"/>
      <c r="X298" s="46"/>
      <c r="Y298" s="9"/>
      <c r="Z298" s="46"/>
      <c r="AA298" s="7"/>
      <c r="AB298" s="46"/>
      <c r="AC298" s="47"/>
      <c r="AD298" s="7"/>
      <c r="AE298" s="47"/>
      <c r="AF298" s="18"/>
      <c r="AG298" s="26"/>
      <c r="AH298" s="34"/>
      <c r="AI298" s="34"/>
      <c r="AJ298" s="18"/>
      <c r="AK298" s="48"/>
      <c r="AL298" s="26" t="str">
        <f>IFERROR(__xludf.DUMMYFUNCTION("""COMPUTED_VALUE"""),"* MRCXO *")</f>
        <v>* MRCXO *</v>
      </c>
      <c r="AM298" s="59">
        <f>IFERROR(__xludf.DUMMYFUNCTION("""COMPUTED_VALUE"""),124500.0)</f>
        <v>124500</v>
      </c>
    </row>
    <row r="299">
      <c r="A299" s="51"/>
      <c r="B299" s="51"/>
      <c r="C299" s="52"/>
      <c r="D299" s="51"/>
      <c r="E299" s="53"/>
      <c r="F299" s="54"/>
      <c r="G299" s="51"/>
      <c r="H299" s="51"/>
      <c r="I299" s="55"/>
      <c r="J299" s="56"/>
      <c r="K299" s="46"/>
      <c r="L299" s="46"/>
      <c r="M299" s="47"/>
      <c r="N299" s="46"/>
      <c r="O299" s="57"/>
      <c r="P299" s="46"/>
      <c r="Q299" s="46"/>
      <c r="R299" s="57"/>
      <c r="S299" s="7"/>
      <c r="T299" s="54"/>
      <c r="U299" s="58"/>
      <c r="V299" s="47"/>
      <c r="W299" s="18"/>
      <c r="X299" s="46"/>
      <c r="Y299" s="9"/>
      <c r="Z299" s="46"/>
      <c r="AA299" s="7"/>
      <c r="AB299" s="46"/>
      <c r="AC299" s="47"/>
      <c r="AD299" s="7"/>
      <c r="AE299" s="47"/>
      <c r="AF299" s="18"/>
      <c r="AG299" s="26"/>
      <c r="AH299" s="34"/>
      <c r="AI299" s="34"/>
      <c r="AJ299" s="18"/>
      <c r="AK299" s="48"/>
      <c r="AL299" s="26" t="str">
        <f>IFERROR(__xludf.DUMMYFUNCTION("""COMPUTED_VALUE"""),"* MRCYD *")</f>
        <v>* MRCYD *</v>
      </c>
      <c r="AM299" s="59">
        <f>IFERROR(__xludf.DUMMYFUNCTION("""COMPUTED_VALUE"""),23.91)</f>
        <v>23.91</v>
      </c>
    </row>
    <row r="300">
      <c r="A300" s="51"/>
      <c r="B300" s="51"/>
      <c r="C300" s="52"/>
      <c r="D300" s="51"/>
      <c r="E300" s="53"/>
      <c r="F300" s="54"/>
      <c r="G300" s="51"/>
      <c r="H300" s="51"/>
      <c r="I300" s="55"/>
      <c r="J300" s="56"/>
      <c r="K300" s="46"/>
      <c r="L300" s="46"/>
      <c r="M300" s="47"/>
      <c r="N300" s="46"/>
      <c r="O300" s="57"/>
      <c r="P300" s="46"/>
      <c r="Q300" s="46"/>
      <c r="R300" s="57"/>
      <c r="S300" s="7"/>
      <c r="T300" s="54"/>
      <c r="U300" s="58"/>
      <c r="V300" s="47"/>
      <c r="W300" s="18"/>
      <c r="X300" s="46"/>
      <c r="Y300" s="9"/>
      <c r="Z300" s="46"/>
      <c r="AA300" s="7"/>
      <c r="AB300" s="46"/>
      <c r="AC300" s="47"/>
      <c r="AD300" s="7"/>
      <c r="AE300" s="47"/>
      <c r="AF300" s="18"/>
      <c r="AG300" s="26"/>
      <c r="AH300" s="34"/>
      <c r="AI300" s="34"/>
      <c r="AJ300" s="18"/>
      <c r="AK300" s="48"/>
      <c r="AL300" s="26" t="str">
        <f>IFERROR(__xludf.DUMMYFUNCTION("""COMPUTED_VALUE"""),"* MRCYO *")</f>
        <v>* MRCYO *</v>
      </c>
      <c r="AM300" s="59">
        <f>IFERROR(__xludf.DUMMYFUNCTION("""COMPUTED_VALUE"""),32000.0)</f>
        <v>32000</v>
      </c>
    </row>
    <row r="301">
      <c r="A301" s="51"/>
      <c r="B301" s="51"/>
      <c r="C301" s="52"/>
      <c r="D301" s="51"/>
      <c r="E301" s="53"/>
      <c r="F301" s="54"/>
      <c r="G301" s="51"/>
      <c r="H301" s="51"/>
      <c r="I301" s="55"/>
      <c r="J301" s="56"/>
      <c r="K301" s="46"/>
      <c r="L301" s="46"/>
      <c r="M301" s="47"/>
      <c r="N301" s="46"/>
      <c r="O301" s="57"/>
      <c r="P301" s="46"/>
      <c r="Q301" s="46"/>
      <c r="R301" s="57"/>
      <c r="S301" s="7"/>
      <c r="T301" s="54"/>
      <c r="U301" s="58"/>
      <c r="V301" s="47"/>
      <c r="W301" s="18"/>
      <c r="X301" s="46"/>
      <c r="Y301" s="9"/>
      <c r="Z301" s="46"/>
      <c r="AA301" s="7"/>
      <c r="AB301" s="46"/>
      <c r="AC301" s="47"/>
      <c r="AD301" s="7"/>
      <c r="AE301" s="47"/>
      <c r="AF301" s="18"/>
      <c r="AG301" s="26"/>
      <c r="AH301" s="34"/>
      <c r="AI301" s="34"/>
      <c r="AJ301" s="18"/>
      <c r="AK301" s="48"/>
      <c r="AL301" s="26" t="str">
        <f>IFERROR(__xludf.DUMMYFUNCTION("""COMPUTED_VALUE"""),"* MRCZO *")</f>
        <v>* MRCZO *</v>
      </c>
      <c r="AM301" s="59">
        <f>IFERROR(__xludf.DUMMYFUNCTION("""COMPUTED_VALUE"""),45.0)</f>
        <v>45</v>
      </c>
    </row>
    <row r="302">
      <c r="A302" s="51"/>
      <c r="B302" s="51"/>
      <c r="C302" s="52"/>
      <c r="D302" s="51"/>
      <c r="E302" s="53"/>
      <c r="F302" s="54"/>
      <c r="G302" s="51"/>
      <c r="H302" s="51"/>
      <c r="I302" s="55"/>
      <c r="J302" s="56"/>
      <c r="K302" s="46"/>
      <c r="L302" s="46"/>
      <c r="M302" s="47"/>
      <c r="N302" s="46"/>
      <c r="O302" s="57"/>
      <c r="P302" s="46"/>
      <c r="Q302" s="46"/>
      <c r="R302" s="57"/>
      <c r="S302" s="7"/>
      <c r="T302" s="54"/>
      <c r="U302" s="58"/>
      <c r="V302" s="47"/>
      <c r="W302" s="18"/>
      <c r="X302" s="46"/>
      <c r="Y302" s="9"/>
      <c r="Z302" s="46"/>
      <c r="AA302" s="7"/>
      <c r="AB302" s="46"/>
      <c r="AC302" s="47"/>
      <c r="AD302" s="7"/>
      <c r="AE302" s="47"/>
      <c r="AF302" s="18"/>
      <c r="AG302" s="26"/>
      <c r="AH302" s="34"/>
      <c r="AI302" s="34"/>
      <c r="AJ302" s="18"/>
      <c r="AK302" s="48"/>
      <c r="AL302" s="26" t="str">
        <f>IFERROR(__xludf.DUMMYFUNCTION("""COMPUTED_VALUE"""),"* MROCD *")</f>
        <v>* MROCD *</v>
      </c>
      <c r="AM302" s="59">
        <f>IFERROR(__xludf.DUMMYFUNCTION("""COMPUTED_VALUE"""),21.4)</f>
        <v>21.4</v>
      </c>
    </row>
    <row r="303">
      <c r="A303" s="51"/>
      <c r="B303" s="51"/>
      <c r="C303" s="52"/>
      <c r="D303" s="51"/>
      <c r="E303" s="53"/>
      <c r="F303" s="54"/>
      <c r="G303" s="51"/>
      <c r="H303" s="51"/>
      <c r="I303" s="55"/>
      <c r="J303" s="56"/>
      <c r="K303" s="46"/>
      <c r="L303" s="46"/>
      <c r="M303" s="47"/>
      <c r="N303" s="46"/>
      <c r="O303" s="57"/>
      <c r="P303" s="46"/>
      <c r="Q303" s="46"/>
      <c r="R303" s="57"/>
      <c r="S303" s="7"/>
      <c r="T303" s="54"/>
      <c r="U303" s="58"/>
      <c r="V303" s="47"/>
      <c r="W303" s="18"/>
      <c r="X303" s="46"/>
      <c r="Y303" s="9"/>
      <c r="Z303" s="46"/>
      <c r="AA303" s="7"/>
      <c r="AB303" s="46"/>
      <c r="AC303" s="47"/>
      <c r="AD303" s="7"/>
      <c r="AE303" s="47"/>
      <c r="AF303" s="18"/>
      <c r="AG303" s="26"/>
      <c r="AH303" s="34"/>
      <c r="AI303" s="34"/>
      <c r="AJ303" s="18"/>
      <c r="AK303" s="48"/>
      <c r="AL303" s="26" t="str">
        <f>IFERROR(__xludf.DUMMYFUNCTION("""COMPUTED_VALUE"""),"* MSSED *")</f>
        <v>* MSSED *</v>
      </c>
      <c r="AM303" s="59">
        <f>IFERROR(__xludf.DUMMYFUNCTION("""COMPUTED_VALUE"""),99.0)</f>
        <v>99</v>
      </c>
    </row>
    <row r="304">
      <c r="A304" s="51"/>
      <c r="B304" s="51"/>
      <c r="C304" s="52"/>
      <c r="D304" s="51"/>
      <c r="E304" s="53"/>
      <c r="F304" s="54"/>
      <c r="G304" s="51"/>
      <c r="H304" s="51"/>
      <c r="I304" s="55"/>
      <c r="J304" s="56"/>
      <c r="K304" s="46"/>
      <c r="L304" s="46"/>
      <c r="M304" s="47"/>
      <c r="N304" s="46"/>
      <c r="O304" s="57"/>
      <c r="P304" s="46"/>
      <c r="Q304" s="46"/>
      <c r="R304" s="57"/>
      <c r="S304" s="7"/>
      <c r="T304" s="54"/>
      <c r="U304" s="58"/>
      <c r="V304" s="47"/>
      <c r="W304" s="18"/>
      <c r="X304" s="46"/>
      <c r="Y304" s="9"/>
      <c r="Z304" s="46"/>
      <c r="AA304" s="7"/>
      <c r="AB304" s="46"/>
      <c r="AC304" s="47"/>
      <c r="AD304" s="7"/>
      <c r="AE304" s="47"/>
      <c r="AF304" s="18"/>
      <c r="AG304" s="26"/>
      <c r="AH304" s="34"/>
      <c r="AI304" s="34"/>
      <c r="AJ304" s="18"/>
      <c r="AK304" s="48"/>
      <c r="AL304" s="26" t="str">
        <f>IFERROR(__xludf.DUMMYFUNCTION("""COMPUTED_VALUE"""),"* MSSEO *")</f>
        <v>* MSSEO *</v>
      </c>
      <c r="AM304" s="59">
        <f>IFERROR(__xludf.DUMMYFUNCTION("""COMPUTED_VALUE"""),143500.0)</f>
        <v>143500</v>
      </c>
    </row>
    <row r="305">
      <c r="A305" s="51"/>
      <c r="B305" s="51"/>
      <c r="C305" s="52"/>
      <c r="D305" s="51"/>
      <c r="E305" s="53"/>
      <c r="F305" s="54"/>
      <c r="G305" s="51"/>
      <c r="H305" s="51"/>
      <c r="I305" s="55"/>
      <c r="J305" s="56"/>
      <c r="K305" s="46"/>
      <c r="L305" s="46"/>
      <c r="M305" s="47"/>
      <c r="N305" s="46"/>
      <c r="O305" s="57"/>
      <c r="P305" s="46"/>
      <c r="Q305" s="46"/>
      <c r="R305" s="57"/>
      <c r="S305" s="7"/>
      <c r="T305" s="54"/>
      <c r="U305" s="58"/>
      <c r="V305" s="47"/>
      <c r="W305" s="18"/>
      <c r="X305" s="46"/>
      <c r="Y305" s="9"/>
      <c r="Z305" s="46"/>
      <c r="AA305" s="7"/>
      <c r="AB305" s="46"/>
      <c r="AC305" s="47"/>
      <c r="AD305" s="7"/>
      <c r="AE305" s="47"/>
      <c r="AF305" s="18"/>
      <c r="AG305" s="26"/>
      <c r="AH305" s="34"/>
      <c r="AI305" s="34"/>
      <c r="AJ305" s="18"/>
      <c r="AK305" s="48"/>
      <c r="AL305" s="26" t="str">
        <f>IFERROR(__xludf.DUMMYFUNCTION("""COMPUTED_VALUE"""),"* MSSFD *")</f>
        <v>* MSSFD *</v>
      </c>
      <c r="AM305" s="59">
        <f>IFERROR(__xludf.DUMMYFUNCTION("""COMPUTED_VALUE"""),86.0)</f>
        <v>86</v>
      </c>
    </row>
    <row r="306">
      <c r="A306" s="51"/>
      <c r="B306" s="51"/>
      <c r="C306" s="52"/>
      <c r="D306" s="51"/>
      <c r="E306" s="53"/>
      <c r="F306" s="54"/>
      <c r="G306" s="51"/>
      <c r="H306" s="51"/>
      <c r="I306" s="55"/>
      <c r="J306" s="56"/>
      <c r="K306" s="46"/>
      <c r="L306" s="46"/>
      <c r="M306" s="47"/>
      <c r="N306" s="46"/>
      <c r="O306" s="57"/>
      <c r="P306" s="46"/>
      <c r="Q306" s="46"/>
      <c r="R306" s="57"/>
      <c r="S306" s="7"/>
      <c r="T306" s="54"/>
      <c r="U306" s="58"/>
      <c r="V306" s="47"/>
      <c r="W306" s="18"/>
      <c r="X306" s="46"/>
      <c r="Y306" s="9"/>
      <c r="Z306" s="46"/>
      <c r="AA306" s="7"/>
      <c r="AB306" s="46"/>
      <c r="AC306" s="47"/>
      <c r="AD306" s="7"/>
      <c r="AE306" s="47"/>
      <c r="AF306" s="18"/>
      <c r="AG306" s="26"/>
      <c r="AH306" s="34"/>
      <c r="AI306" s="34"/>
      <c r="AJ306" s="18"/>
      <c r="AK306" s="48"/>
      <c r="AL306" s="26" t="str">
        <f>IFERROR(__xludf.DUMMYFUNCTION("""COMPUTED_VALUE"""),"* MSSFO *")</f>
        <v>* MSSFO *</v>
      </c>
      <c r="AM306" s="59">
        <f>IFERROR(__xludf.DUMMYFUNCTION("""COMPUTED_VALUE"""),128600.0)</f>
        <v>128600</v>
      </c>
    </row>
    <row r="307">
      <c r="A307" s="51"/>
      <c r="B307" s="51"/>
      <c r="C307" s="52"/>
      <c r="D307" s="51"/>
      <c r="E307" s="53"/>
      <c r="F307" s="54"/>
      <c r="G307" s="51"/>
      <c r="H307" s="51"/>
      <c r="I307" s="55"/>
      <c r="J307" s="56"/>
      <c r="K307" s="46"/>
      <c r="L307" s="46"/>
      <c r="M307" s="47"/>
      <c r="N307" s="46"/>
      <c r="O307" s="57"/>
      <c r="P307" s="46"/>
      <c r="Q307" s="46"/>
      <c r="R307" s="57"/>
      <c r="S307" s="7"/>
      <c r="T307" s="54"/>
      <c r="U307" s="58"/>
      <c r="V307" s="47"/>
      <c r="W307" s="18"/>
      <c r="X307" s="46"/>
      <c r="Y307" s="9"/>
      <c r="Z307" s="46"/>
      <c r="AA307" s="7"/>
      <c r="AB307" s="46"/>
      <c r="AC307" s="47"/>
      <c r="AD307" s="7"/>
      <c r="AE307" s="47"/>
      <c r="AF307" s="18"/>
      <c r="AG307" s="26"/>
      <c r="AH307" s="34"/>
      <c r="AI307" s="34"/>
      <c r="AJ307" s="18"/>
      <c r="AK307" s="48"/>
      <c r="AL307" s="26" t="str">
        <f>IFERROR(__xludf.DUMMYFUNCTION("""COMPUTED_VALUE"""),"* MSSGD *")</f>
        <v>* MSSGD *</v>
      </c>
      <c r="AM307" s="59">
        <f>IFERROR(__xludf.DUMMYFUNCTION("""COMPUTED_VALUE"""),80.05)</f>
        <v>80.05</v>
      </c>
    </row>
    <row r="308">
      <c r="A308" s="51"/>
      <c r="B308" s="51"/>
      <c r="C308" s="52"/>
      <c r="D308" s="51"/>
      <c r="E308" s="53"/>
      <c r="F308" s="54"/>
      <c r="G308" s="51"/>
      <c r="H308" s="51"/>
      <c r="I308" s="55"/>
      <c r="J308" s="56"/>
      <c r="K308" s="46"/>
      <c r="L308" s="46"/>
      <c r="M308" s="47"/>
      <c r="N308" s="46"/>
      <c r="O308" s="57"/>
      <c r="P308" s="46"/>
      <c r="Q308" s="46"/>
      <c r="R308" s="57"/>
      <c r="S308" s="7"/>
      <c r="T308" s="54"/>
      <c r="U308" s="58"/>
      <c r="V308" s="47"/>
      <c r="W308" s="18"/>
      <c r="X308" s="46"/>
      <c r="Y308" s="9"/>
      <c r="Z308" s="46"/>
      <c r="AA308" s="7"/>
      <c r="AB308" s="46"/>
      <c r="AC308" s="47"/>
      <c r="AD308" s="7"/>
      <c r="AE308" s="47"/>
      <c r="AF308" s="18"/>
      <c r="AG308" s="26"/>
      <c r="AH308" s="34"/>
      <c r="AI308" s="34"/>
      <c r="AJ308" s="18"/>
      <c r="AK308" s="48"/>
      <c r="AL308" s="26" t="str">
        <f>IFERROR(__xludf.DUMMYFUNCTION("""COMPUTED_VALUE"""),"* MSSGO *")</f>
        <v>* MSSGO *</v>
      </c>
      <c r="AM308" s="59">
        <f>IFERROR(__xludf.DUMMYFUNCTION("""COMPUTED_VALUE"""),122000.0)</f>
        <v>122000</v>
      </c>
    </row>
    <row r="309">
      <c r="A309" s="51"/>
      <c r="B309" s="51"/>
      <c r="C309" s="52"/>
      <c r="D309" s="51"/>
      <c r="E309" s="53"/>
      <c r="F309" s="54"/>
      <c r="G309" s="51"/>
      <c r="H309" s="51"/>
      <c r="I309" s="55"/>
      <c r="J309" s="56"/>
      <c r="K309" s="46"/>
      <c r="L309" s="46"/>
      <c r="M309" s="47"/>
      <c r="N309" s="46"/>
      <c r="O309" s="57"/>
      <c r="P309" s="46"/>
      <c r="Q309" s="46"/>
      <c r="R309" s="57"/>
      <c r="S309" s="7"/>
      <c r="T309" s="54"/>
      <c r="U309" s="58"/>
      <c r="V309" s="47"/>
      <c r="W309" s="18"/>
      <c r="X309" s="46"/>
      <c r="Y309" s="9"/>
      <c r="Z309" s="46"/>
      <c r="AA309" s="7"/>
      <c r="AB309" s="46"/>
      <c r="AC309" s="47"/>
      <c r="AD309" s="7"/>
      <c r="AE309" s="47"/>
      <c r="AF309" s="18"/>
      <c r="AG309" s="26"/>
      <c r="AH309" s="34"/>
      <c r="AI309" s="34"/>
      <c r="AJ309" s="18"/>
      <c r="AK309" s="48"/>
      <c r="AL309" s="26" t="str">
        <f>IFERROR(__xludf.DUMMYFUNCTION("""COMPUTED_VALUE"""),"* MTCGC *")</f>
        <v>* MTCGC *</v>
      </c>
      <c r="AM309" s="59">
        <f>IFERROR(__xludf.DUMMYFUNCTION("""COMPUTED_VALUE"""),103.0)</f>
        <v>103</v>
      </c>
    </row>
    <row r="310">
      <c r="A310" s="51"/>
      <c r="B310" s="51"/>
      <c r="C310" s="52"/>
      <c r="D310" s="51"/>
      <c r="E310" s="53"/>
      <c r="F310" s="54"/>
      <c r="G310" s="51"/>
      <c r="H310" s="51"/>
      <c r="I310" s="55"/>
      <c r="J310" s="56"/>
      <c r="K310" s="46"/>
      <c r="L310" s="46"/>
      <c r="M310" s="47"/>
      <c r="N310" s="46"/>
      <c r="O310" s="57"/>
      <c r="P310" s="46"/>
      <c r="Q310" s="46"/>
      <c r="R310" s="57"/>
      <c r="S310" s="7"/>
      <c r="T310" s="54"/>
      <c r="U310" s="58"/>
      <c r="V310" s="47"/>
      <c r="W310" s="18"/>
      <c r="X310" s="46"/>
      <c r="Y310" s="9"/>
      <c r="Z310" s="46"/>
      <c r="AA310" s="7"/>
      <c r="AB310" s="46"/>
      <c r="AC310" s="47"/>
      <c r="AD310" s="7"/>
      <c r="AE310" s="47"/>
      <c r="AF310" s="18"/>
      <c r="AG310" s="26"/>
      <c r="AH310" s="34"/>
      <c r="AI310" s="34"/>
      <c r="AJ310" s="18"/>
      <c r="AK310" s="48"/>
      <c r="AL310" s="26" t="str">
        <f>IFERROR(__xludf.DUMMYFUNCTION("""COMPUTED_VALUE"""),"* MTCGD *")</f>
        <v>* MTCGD *</v>
      </c>
      <c r="AM310" s="59">
        <f>IFERROR(__xludf.DUMMYFUNCTION("""COMPUTED_VALUE"""),104.3)</f>
        <v>104.3</v>
      </c>
    </row>
    <row r="311">
      <c r="A311" s="51"/>
      <c r="B311" s="51"/>
      <c r="C311" s="52"/>
      <c r="D311" s="51"/>
      <c r="E311" s="53"/>
      <c r="F311" s="54"/>
      <c r="G311" s="51"/>
      <c r="H311" s="51"/>
      <c r="I311" s="55"/>
      <c r="J311" s="56"/>
      <c r="K311" s="46"/>
      <c r="L311" s="46"/>
      <c r="M311" s="47"/>
      <c r="N311" s="46"/>
      <c r="O311" s="57"/>
      <c r="P311" s="46"/>
      <c r="Q311" s="46"/>
      <c r="R311" s="57"/>
      <c r="S311" s="7"/>
      <c r="T311" s="54"/>
      <c r="U311" s="58"/>
      <c r="V311" s="47"/>
      <c r="W311" s="18"/>
      <c r="X311" s="46"/>
      <c r="Y311" s="9"/>
      <c r="Z311" s="46"/>
      <c r="AA311" s="7"/>
      <c r="AB311" s="46"/>
      <c r="AC311" s="47"/>
      <c r="AD311" s="7"/>
      <c r="AE311" s="47"/>
      <c r="AF311" s="18"/>
      <c r="AG311" s="26"/>
      <c r="AH311" s="34"/>
      <c r="AI311" s="34"/>
      <c r="AJ311" s="18"/>
      <c r="AK311" s="48"/>
      <c r="AL311" s="26" t="str">
        <f>IFERROR(__xludf.DUMMYFUNCTION("""COMPUTED_VALUE"""),"* MTCGO *")</f>
        <v>* MTCGO *</v>
      </c>
      <c r="AM311" s="59">
        <f>IFERROR(__xludf.DUMMYFUNCTION("""COMPUTED_VALUE"""),153140.0)</f>
        <v>153140</v>
      </c>
    </row>
    <row r="312">
      <c r="A312" s="51"/>
      <c r="B312" s="51"/>
      <c r="C312" s="52"/>
      <c r="D312" s="51"/>
      <c r="E312" s="53"/>
      <c r="F312" s="54"/>
      <c r="G312" s="51"/>
      <c r="H312" s="51"/>
      <c r="I312" s="55"/>
      <c r="J312" s="56"/>
      <c r="K312" s="46"/>
      <c r="L312" s="46"/>
      <c r="M312" s="47"/>
      <c r="N312" s="46"/>
      <c r="O312" s="57"/>
      <c r="P312" s="46"/>
      <c r="Q312" s="46"/>
      <c r="R312" s="57"/>
      <c r="S312" s="7"/>
      <c r="T312" s="54"/>
      <c r="U312" s="58"/>
      <c r="V312" s="47"/>
      <c r="W312" s="18"/>
      <c r="X312" s="46"/>
      <c r="Y312" s="9"/>
      <c r="Z312" s="46"/>
      <c r="AA312" s="7"/>
      <c r="AB312" s="46"/>
      <c r="AC312" s="47"/>
      <c r="AD312" s="7"/>
      <c r="AE312" s="47"/>
      <c r="AF312" s="18"/>
      <c r="AG312" s="26"/>
      <c r="AH312" s="34"/>
      <c r="AI312" s="34"/>
      <c r="AJ312" s="18"/>
      <c r="AK312" s="48"/>
      <c r="AL312" s="26" t="str">
        <f>IFERROR(__xludf.DUMMYFUNCTION("""COMPUTED_VALUE"""),"* MU31D *")</f>
        <v>* MU31D *</v>
      </c>
      <c r="AM312" s="59">
        <f>IFERROR(__xludf.DUMMYFUNCTION("""COMPUTED_VALUE"""),100.0)</f>
        <v>100</v>
      </c>
    </row>
    <row r="313">
      <c r="A313" s="51"/>
      <c r="B313" s="51"/>
      <c r="C313" s="52"/>
      <c r="D313" s="51"/>
      <c r="E313" s="53"/>
      <c r="F313" s="54"/>
      <c r="G313" s="51"/>
      <c r="H313" s="51"/>
      <c r="I313" s="55"/>
      <c r="J313" s="56"/>
      <c r="K313" s="46"/>
      <c r="L313" s="46"/>
      <c r="M313" s="47"/>
      <c r="N313" s="46"/>
      <c r="O313" s="57"/>
      <c r="P313" s="46"/>
      <c r="Q313" s="46"/>
      <c r="R313" s="57"/>
      <c r="S313" s="7"/>
      <c r="T313" s="54"/>
      <c r="U313" s="58"/>
      <c r="V313" s="47"/>
      <c r="W313" s="18"/>
      <c r="X313" s="46"/>
      <c r="Y313" s="9"/>
      <c r="Z313" s="46"/>
      <c r="AA313" s="7"/>
      <c r="AB313" s="46"/>
      <c r="AC313" s="47"/>
      <c r="AD313" s="7"/>
      <c r="AE313" s="47"/>
      <c r="AF313" s="18"/>
      <c r="AG313" s="26"/>
      <c r="AH313" s="34"/>
      <c r="AI313" s="34"/>
      <c r="AJ313" s="18"/>
      <c r="AK313" s="48"/>
      <c r="AL313" s="26" t="str">
        <f>IFERROR(__xludf.DUMMYFUNCTION("""COMPUTED_VALUE"""),"* MU31O *")</f>
        <v>* MU31O *</v>
      </c>
      <c r="AM313" s="59">
        <f>IFERROR(__xludf.DUMMYFUNCTION("""COMPUTED_VALUE"""),100.0)</f>
        <v>100</v>
      </c>
    </row>
    <row r="314">
      <c r="A314" s="51"/>
      <c r="B314" s="51"/>
      <c r="C314" s="52"/>
      <c r="D314" s="51"/>
      <c r="E314" s="53"/>
      <c r="F314" s="54"/>
      <c r="G314" s="51"/>
      <c r="H314" s="51"/>
      <c r="I314" s="55"/>
      <c r="J314" s="56"/>
      <c r="K314" s="46"/>
      <c r="L314" s="46"/>
      <c r="M314" s="47"/>
      <c r="N314" s="46"/>
      <c r="O314" s="57"/>
      <c r="P314" s="46"/>
      <c r="Q314" s="46"/>
      <c r="R314" s="57"/>
      <c r="S314" s="7"/>
      <c r="T314" s="54"/>
      <c r="U314" s="58"/>
      <c r="V314" s="47"/>
      <c r="W314" s="18"/>
      <c r="X314" s="46"/>
      <c r="Y314" s="9"/>
      <c r="Z314" s="46"/>
      <c r="AA314" s="7"/>
      <c r="AB314" s="46"/>
      <c r="AC314" s="47"/>
      <c r="AD314" s="7"/>
      <c r="AE314" s="47"/>
      <c r="AF314" s="18"/>
      <c r="AG314" s="26"/>
      <c r="AH314" s="34"/>
      <c r="AI314" s="34"/>
      <c r="AJ314" s="18"/>
      <c r="AK314" s="48"/>
      <c r="AL314" s="26" t="str">
        <f>IFERROR(__xludf.DUMMYFUNCTION("""COMPUTED_VALUE"""),"* MU32D *")</f>
        <v>* MU32D *</v>
      </c>
      <c r="AM314" s="59">
        <f>IFERROR(__xludf.DUMMYFUNCTION("""COMPUTED_VALUE"""),101.0)</f>
        <v>101</v>
      </c>
    </row>
    <row r="315">
      <c r="A315" s="51"/>
      <c r="B315" s="51"/>
      <c r="C315" s="52"/>
      <c r="D315" s="51"/>
      <c r="E315" s="53"/>
      <c r="F315" s="54"/>
      <c r="G315" s="51"/>
      <c r="H315" s="51"/>
      <c r="I315" s="55"/>
      <c r="J315" s="56"/>
      <c r="K315" s="46"/>
      <c r="L315" s="46"/>
      <c r="M315" s="47"/>
      <c r="N315" s="46"/>
      <c r="O315" s="57"/>
      <c r="P315" s="46"/>
      <c r="Q315" s="46"/>
      <c r="R315" s="57"/>
      <c r="S315" s="7"/>
      <c r="T315" s="54"/>
      <c r="U315" s="58"/>
      <c r="V315" s="47"/>
      <c r="W315" s="18"/>
      <c r="X315" s="46"/>
      <c r="Y315" s="9"/>
      <c r="Z315" s="46"/>
      <c r="AA315" s="7"/>
      <c r="AB315" s="46"/>
      <c r="AC315" s="47"/>
      <c r="AD315" s="7"/>
      <c r="AE315" s="47"/>
      <c r="AF315" s="18"/>
      <c r="AG315" s="26"/>
      <c r="AH315" s="34"/>
      <c r="AI315" s="34"/>
      <c r="AJ315" s="18"/>
      <c r="AK315" s="48"/>
      <c r="AL315" s="26" t="str">
        <f>IFERROR(__xludf.DUMMYFUNCTION("""COMPUTED_VALUE"""),"* MU32O *")</f>
        <v>* MU32O *</v>
      </c>
      <c r="AM315" s="59">
        <f>IFERROR(__xludf.DUMMYFUNCTION("""COMPUTED_VALUE"""),150000.0)</f>
        <v>150000</v>
      </c>
    </row>
    <row r="316">
      <c r="A316" s="51"/>
      <c r="B316" s="51"/>
      <c r="C316" s="52"/>
      <c r="D316" s="51"/>
      <c r="E316" s="53"/>
      <c r="F316" s="54"/>
      <c r="G316" s="51"/>
      <c r="H316" s="51"/>
      <c r="I316" s="55"/>
      <c r="J316" s="56"/>
      <c r="K316" s="46"/>
      <c r="L316" s="46"/>
      <c r="M316" s="47"/>
      <c r="N316" s="46"/>
      <c r="O316" s="57"/>
      <c r="P316" s="46"/>
      <c r="Q316" s="46"/>
      <c r="R316" s="57"/>
      <c r="S316" s="7"/>
      <c r="T316" s="54"/>
      <c r="U316" s="58"/>
      <c r="V316" s="47"/>
      <c r="W316" s="18"/>
      <c r="X316" s="46"/>
      <c r="Y316" s="9"/>
      <c r="Z316" s="46"/>
      <c r="AA316" s="7"/>
      <c r="AB316" s="46"/>
      <c r="AC316" s="47"/>
      <c r="AD316" s="7"/>
      <c r="AE316" s="47"/>
      <c r="AF316" s="18"/>
      <c r="AG316" s="26"/>
      <c r="AH316" s="34"/>
      <c r="AI316" s="34"/>
      <c r="AJ316" s="18"/>
      <c r="AK316" s="48"/>
      <c r="AL316" s="26" t="str">
        <f>IFERROR(__xludf.DUMMYFUNCTION("""COMPUTED_VALUE"""),"* NBS1D *")</f>
        <v>* NBS1D *</v>
      </c>
      <c r="AM316" s="59">
        <f>IFERROR(__xludf.DUMMYFUNCTION("""COMPUTED_VALUE"""),100.0)</f>
        <v>100</v>
      </c>
    </row>
    <row r="317">
      <c r="A317" s="51"/>
      <c r="B317" s="51"/>
      <c r="C317" s="52"/>
      <c r="D317" s="51"/>
      <c r="E317" s="53"/>
      <c r="F317" s="54"/>
      <c r="G317" s="51"/>
      <c r="H317" s="51"/>
      <c r="I317" s="55"/>
      <c r="J317" s="56"/>
      <c r="K317" s="46"/>
      <c r="L317" s="46"/>
      <c r="M317" s="47"/>
      <c r="N317" s="46"/>
      <c r="O317" s="57"/>
      <c r="P317" s="46"/>
      <c r="Q317" s="46"/>
      <c r="R317" s="57"/>
      <c r="S317" s="7"/>
      <c r="T317" s="54"/>
      <c r="U317" s="58"/>
      <c r="V317" s="47"/>
      <c r="W317" s="18"/>
      <c r="X317" s="46"/>
      <c r="Y317" s="9"/>
      <c r="Z317" s="46"/>
      <c r="AA317" s="7"/>
      <c r="AB317" s="46"/>
      <c r="AC317" s="47"/>
      <c r="AD317" s="7"/>
      <c r="AE317" s="47"/>
      <c r="AF317" s="18"/>
      <c r="AG317" s="26"/>
      <c r="AH317" s="34"/>
      <c r="AI317" s="34"/>
      <c r="AJ317" s="18"/>
      <c r="AK317" s="48"/>
      <c r="AL317" s="26" t="str">
        <f>IFERROR(__xludf.DUMMYFUNCTION("""COMPUTED_VALUE"""),"* NBS1O *")</f>
        <v>* NBS1O *</v>
      </c>
      <c r="AM317" s="59">
        <f>IFERROR(__xludf.DUMMYFUNCTION("""COMPUTED_VALUE"""),145950.0)</f>
        <v>145950</v>
      </c>
    </row>
    <row r="318">
      <c r="A318" s="51"/>
      <c r="B318" s="51"/>
      <c r="C318" s="52"/>
      <c r="D318" s="51"/>
      <c r="E318" s="53"/>
      <c r="F318" s="54"/>
      <c r="G318" s="51"/>
      <c r="H318" s="51"/>
      <c r="I318" s="55"/>
      <c r="J318" s="56"/>
      <c r="K318" s="46"/>
      <c r="L318" s="46"/>
      <c r="M318" s="47"/>
      <c r="N318" s="46"/>
      <c r="O318" s="57"/>
      <c r="P318" s="46"/>
      <c r="Q318" s="46"/>
      <c r="R318" s="57"/>
      <c r="S318" s="7"/>
      <c r="T318" s="54"/>
      <c r="U318" s="58"/>
      <c r="V318" s="47"/>
      <c r="W318" s="18"/>
      <c r="X318" s="46"/>
      <c r="Y318" s="9"/>
      <c r="Z318" s="46"/>
      <c r="AA318" s="7"/>
      <c r="AB318" s="46"/>
      <c r="AC318" s="47"/>
      <c r="AD318" s="7"/>
      <c r="AE318" s="47"/>
      <c r="AF318" s="18"/>
      <c r="AG318" s="26"/>
      <c r="AH318" s="34"/>
      <c r="AI318" s="34"/>
      <c r="AJ318" s="18"/>
      <c r="AK318" s="48"/>
      <c r="AL318" s="26" t="str">
        <f>IFERROR(__xludf.DUMMYFUNCTION("""COMPUTED_VALUE"""),"* NPCAC *")</f>
        <v>* NPCAC *</v>
      </c>
      <c r="AM318" s="59">
        <f>IFERROR(__xludf.DUMMYFUNCTION("""COMPUTED_VALUE"""),101.25)</f>
        <v>101.25</v>
      </c>
    </row>
    <row r="319">
      <c r="A319" s="51"/>
      <c r="B319" s="51"/>
      <c r="C319" s="52"/>
      <c r="D319" s="51"/>
      <c r="E319" s="53"/>
      <c r="F319" s="54"/>
      <c r="G319" s="51"/>
      <c r="H319" s="51"/>
      <c r="I319" s="55"/>
      <c r="J319" s="56"/>
      <c r="K319" s="46"/>
      <c r="L319" s="46"/>
      <c r="M319" s="47"/>
      <c r="N319" s="46"/>
      <c r="O319" s="57"/>
      <c r="P319" s="46"/>
      <c r="Q319" s="46"/>
      <c r="R319" s="57"/>
      <c r="S319" s="7"/>
      <c r="T319" s="54"/>
      <c r="U319" s="58"/>
      <c r="V319" s="47"/>
      <c r="W319" s="18"/>
      <c r="X319" s="46"/>
      <c r="Y319" s="9"/>
      <c r="Z319" s="46"/>
      <c r="AA319" s="7"/>
      <c r="AB319" s="46"/>
      <c r="AC319" s="47"/>
      <c r="AD319" s="7"/>
      <c r="AE319" s="47"/>
      <c r="AF319" s="18"/>
      <c r="AG319" s="26"/>
      <c r="AH319" s="34"/>
      <c r="AI319" s="34"/>
      <c r="AJ319" s="18"/>
      <c r="AK319" s="48"/>
      <c r="AL319" s="26" t="str">
        <f>IFERROR(__xludf.DUMMYFUNCTION("""COMPUTED_VALUE"""),"* NPCAD *")</f>
        <v>* NPCAD *</v>
      </c>
      <c r="AM319" s="59">
        <f>IFERROR(__xludf.DUMMYFUNCTION("""COMPUTED_VALUE"""),103.6)</f>
        <v>103.6</v>
      </c>
    </row>
    <row r="320">
      <c r="A320" s="51"/>
      <c r="B320" s="51"/>
      <c r="C320" s="52"/>
      <c r="D320" s="51"/>
      <c r="E320" s="53"/>
      <c r="F320" s="54"/>
      <c r="G320" s="51"/>
      <c r="H320" s="51"/>
      <c r="I320" s="55"/>
      <c r="J320" s="56"/>
      <c r="K320" s="46"/>
      <c r="L320" s="46"/>
      <c r="M320" s="47"/>
      <c r="N320" s="46"/>
      <c r="O320" s="57"/>
      <c r="P320" s="46"/>
      <c r="Q320" s="46"/>
      <c r="R320" s="57"/>
      <c r="S320" s="7"/>
      <c r="T320" s="54"/>
      <c r="U320" s="58"/>
      <c r="V320" s="47"/>
      <c r="W320" s="18"/>
      <c r="X320" s="46"/>
      <c r="Y320" s="9"/>
      <c r="Z320" s="46"/>
      <c r="AA320" s="7"/>
      <c r="AB320" s="46"/>
      <c r="AC320" s="47"/>
      <c r="AD320" s="7"/>
      <c r="AE320" s="47"/>
      <c r="AF320" s="18"/>
      <c r="AG320" s="26"/>
      <c r="AH320" s="34"/>
      <c r="AI320" s="34"/>
      <c r="AJ320" s="18"/>
      <c r="AK320" s="48"/>
      <c r="AL320" s="26" t="str">
        <f>IFERROR(__xludf.DUMMYFUNCTION("""COMPUTED_VALUE"""),"* NPCAO *")</f>
        <v>* NPCAO *</v>
      </c>
      <c r="AM320" s="59">
        <f>IFERROR(__xludf.DUMMYFUNCTION("""COMPUTED_VALUE"""),150000.0)</f>
        <v>150000</v>
      </c>
    </row>
    <row r="321">
      <c r="A321" s="51"/>
      <c r="B321" s="51"/>
      <c r="C321" s="52"/>
      <c r="D321" s="51"/>
      <c r="E321" s="53"/>
      <c r="F321" s="54"/>
      <c r="G321" s="51"/>
      <c r="H321" s="51"/>
      <c r="I321" s="55"/>
      <c r="J321" s="56"/>
      <c r="K321" s="46"/>
      <c r="L321" s="46"/>
      <c r="M321" s="47"/>
      <c r="N321" s="46"/>
      <c r="O321" s="57"/>
      <c r="P321" s="46"/>
      <c r="Q321" s="46"/>
      <c r="R321" s="57"/>
      <c r="S321" s="7"/>
      <c r="T321" s="54"/>
      <c r="U321" s="58"/>
      <c r="V321" s="47"/>
      <c r="W321" s="18"/>
      <c r="X321" s="46"/>
      <c r="Y321" s="9"/>
      <c r="Z321" s="46"/>
      <c r="AA321" s="7"/>
      <c r="AB321" s="46"/>
      <c r="AC321" s="47"/>
      <c r="AD321" s="7"/>
      <c r="AE321" s="47"/>
      <c r="AF321" s="18"/>
      <c r="AG321" s="26"/>
      <c r="AH321" s="34"/>
      <c r="AI321" s="34"/>
      <c r="AJ321" s="18"/>
      <c r="AK321" s="48"/>
      <c r="AL321" s="26" t="str">
        <f>IFERROR(__xludf.DUMMYFUNCTION("""COMPUTED_VALUE"""),"* NPCBD *")</f>
        <v>* NPCBD *</v>
      </c>
      <c r="AM321" s="59">
        <f>IFERROR(__xludf.DUMMYFUNCTION("""COMPUTED_VALUE"""),106.0)</f>
        <v>106</v>
      </c>
    </row>
    <row r="322">
      <c r="A322" s="51"/>
      <c r="B322" s="51"/>
      <c r="C322" s="52"/>
      <c r="D322" s="51"/>
      <c r="E322" s="53"/>
      <c r="F322" s="54"/>
      <c r="G322" s="51"/>
      <c r="H322" s="51"/>
      <c r="I322" s="55"/>
      <c r="J322" s="56"/>
      <c r="K322" s="46"/>
      <c r="L322" s="46"/>
      <c r="M322" s="47"/>
      <c r="N322" s="46"/>
      <c r="O322" s="57"/>
      <c r="P322" s="46"/>
      <c r="Q322" s="46"/>
      <c r="R322" s="57"/>
      <c r="S322" s="7"/>
      <c r="T322" s="54"/>
      <c r="U322" s="58"/>
      <c r="V322" s="47"/>
      <c r="W322" s="18"/>
      <c r="X322" s="46"/>
      <c r="Y322" s="9"/>
      <c r="Z322" s="46"/>
      <c r="AA322" s="7"/>
      <c r="AB322" s="46"/>
      <c r="AC322" s="47"/>
      <c r="AD322" s="7"/>
      <c r="AE322" s="47"/>
      <c r="AF322" s="18"/>
      <c r="AG322" s="26"/>
      <c r="AH322" s="34"/>
      <c r="AI322" s="34"/>
      <c r="AJ322" s="18"/>
      <c r="AK322" s="48"/>
      <c r="AL322" s="26" t="str">
        <f>IFERROR(__xludf.DUMMYFUNCTION("""COMPUTED_VALUE"""),"* NPCCC *")</f>
        <v>* NPCCC *</v>
      </c>
      <c r="AM322" s="59">
        <f>IFERROR(__xludf.DUMMYFUNCTION("""COMPUTED_VALUE"""),101.25)</f>
        <v>101.25</v>
      </c>
    </row>
    <row r="323">
      <c r="A323" s="51"/>
      <c r="B323" s="51"/>
      <c r="C323" s="52"/>
      <c r="D323" s="51"/>
      <c r="E323" s="53"/>
      <c r="F323" s="54"/>
      <c r="G323" s="51"/>
      <c r="H323" s="51"/>
      <c r="I323" s="55"/>
      <c r="J323" s="56"/>
      <c r="K323" s="46"/>
      <c r="L323" s="46"/>
      <c r="M323" s="47"/>
      <c r="N323" s="46"/>
      <c r="O323" s="57"/>
      <c r="P323" s="46"/>
      <c r="Q323" s="46"/>
      <c r="R323" s="57"/>
      <c r="S323" s="7"/>
      <c r="T323" s="54"/>
      <c r="U323" s="58"/>
      <c r="V323" s="47"/>
      <c r="W323" s="18"/>
      <c r="X323" s="46"/>
      <c r="Y323" s="9"/>
      <c r="Z323" s="46"/>
      <c r="AA323" s="7"/>
      <c r="AB323" s="46"/>
      <c r="AC323" s="47"/>
      <c r="AD323" s="7"/>
      <c r="AE323" s="47"/>
      <c r="AF323" s="18"/>
      <c r="AG323" s="26"/>
      <c r="AH323" s="34"/>
      <c r="AI323" s="34"/>
      <c r="AJ323" s="18"/>
      <c r="AK323" s="48"/>
      <c r="AL323" s="26" t="str">
        <f>IFERROR(__xludf.DUMMYFUNCTION("""COMPUTED_VALUE"""),"* NPCCD *")</f>
        <v>* NPCCD *</v>
      </c>
      <c r="AM323" s="59">
        <f>IFERROR(__xludf.DUMMYFUNCTION("""COMPUTED_VALUE"""),105.0)</f>
        <v>105</v>
      </c>
    </row>
    <row r="324">
      <c r="A324" s="51"/>
      <c r="B324" s="51"/>
      <c r="C324" s="52"/>
      <c r="D324" s="51"/>
      <c r="E324" s="53"/>
      <c r="F324" s="54"/>
      <c r="G324" s="51"/>
      <c r="H324" s="51"/>
      <c r="I324" s="55"/>
      <c r="J324" s="56"/>
      <c r="K324" s="46"/>
      <c r="L324" s="46"/>
      <c r="M324" s="47"/>
      <c r="N324" s="46"/>
      <c r="O324" s="57"/>
      <c r="P324" s="46"/>
      <c r="Q324" s="46"/>
      <c r="R324" s="57"/>
      <c r="S324" s="7"/>
      <c r="T324" s="54"/>
      <c r="U324" s="58"/>
      <c r="V324" s="47"/>
      <c r="W324" s="18"/>
      <c r="X324" s="46"/>
      <c r="Y324" s="9"/>
      <c r="Z324" s="46"/>
      <c r="AA324" s="7"/>
      <c r="AB324" s="46"/>
      <c r="AC324" s="47"/>
      <c r="AD324" s="7"/>
      <c r="AE324" s="47"/>
      <c r="AF324" s="18"/>
      <c r="AG324" s="26"/>
      <c r="AH324" s="34"/>
      <c r="AI324" s="34"/>
      <c r="AJ324" s="18"/>
      <c r="AK324" s="48"/>
      <c r="AL324" s="26" t="str">
        <f>IFERROR(__xludf.DUMMYFUNCTION("""COMPUTED_VALUE"""),"* NPCCO *")</f>
        <v>* NPCCO *</v>
      </c>
      <c r="AM324" s="59">
        <f>IFERROR(__xludf.DUMMYFUNCTION("""COMPUTED_VALUE"""),159000.0)</f>
        <v>159000</v>
      </c>
    </row>
    <row r="325">
      <c r="A325" s="51"/>
      <c r="B325" s="51"/>
      <c r="C325" s="52"/>
      <c r="D325" s="51"/>
      <c r="E325" s="53"/>
      <c r="F325" s="54"/>
      <c r="G325" s="51"/>
      <c r="H325" s="51"/>
      <c r="I325" s="55"/>
      <c r="J325" s="56"/>
      <c r="K325" s="46"/>
      <c r="L325" s="46"/>
      <c r="M325" s="47"/>
      <c r="N325" s="46"/>
      <c r="O325" s="57"/>
      <c r="P325" s="46"/>
      <c r="Q325" s="46"/>
      <c r="R325" s="57"/>
      <c r="S325" s="7"/>
      <c r="T325" s="54"/>
      <c r="U325" s="58"/>
      <c r="V325" s="47"/>
      <c r="W325" s="18"/>
      <c r="X325" s="46"/>
      <c r="Y325" s="9"/>
      <c r="Z325" s="46"/>
      <c r="AA325" s="7"/>
      <c r="AB325" s="46"/>
      <c r="AC325" s="47"/>
      <c r="AD325" s="7"/>
      <c r="AE325" s="47"/>
      <c r="AF325" s="18"/>
      <c r="AG325" s="26"/>
      <c r="AH325" s="34"/>
      <c r="AI325" s="34"/>
      <c r="AJ325" s="18"/>
      <c r="AK325" s="48"/>
      <c r="AL325" s="26" t="str">
        <f>IFERROR(__xludf.DUMMYFUNCTION("""COMPUTED_VALUE"""),"* OLC5D *")</f>
        <v>* OLC5D *</v>
      </c>
      <c r="AM325" s="59">
        <f>IFERROR(__xludf.DUMMYFUNCTION("""COMPUTED_VALUE"""),106.0)</f>
        <v>106</v>
      </c>
    </row>
    <row r="326">
      <c r="A326" s="51"/>
      <c r="B326" s="51"/>
      <c r="C326" s="52"/>
      <c r="D326" s="51"/>
      <c r="E326" s="53"/>
      <c r="F326" s="54"/>
      <c r="G326" s="51"/>
      <c r="H326" s="51"/>
      <c r="I326" s="55"/>
      <c r="J326" s="56"/>
      <c r="K326" s="46"/>
      <c r="L326" s="46"/>
      <c r="M326" s="47"/>
      <c r="N326" s="46"/>
      <c r="O326" s="57"/>
      <c r="P326" s="46"/>
      <c r="Q326" s="46"/>
      <c r="R326" s="57"/>
      <c r="S326" s="7"/>
      <c r="T326" s="54"/>
      <c r="U326" s="58"/>
      <c r="V326" s="47"/>
      <c r="W326" s="18"/>
      <c r="X326" s="46"/>
      <c r="Y326" s="9"/>
      <c r="Z326" s="46"/>
      <c r="AA326" s="7"/>
      <c r="AB326" s="46"/>
      <c r="AC326" s="47"/>
      <c r="AD326" s="7"/>
      <c r="AE326" s="47"/>
      <c r="AF326" s="18"/>
      <c r="AG326" s="26"/>
      <c r="AH326" s="34"/>
      <c r="AI326" s="34"/>
      <c r="AJ326" s="18"/>
      <c r="AK326" s="48"/>
      <c r="AL326" s="26" t="str">
        <f>IFERROR(__xludf.DUMMYFUNCTION("""COMPUTED_VALUE"""),"* OLC5O *")</f>
        <v>* OLC5O *</v>
      </c>
      <c r="AM326" s="59">
        <f>IFERROR(__xludf.DUMMYFUNCTION("""COMPUTED_VALUE"""),154500.0)</f>
        <v>154500</v>
      </c>
    </row>
    <row r="327">
      <c r="A327" s="51"/>
      <c r="B327" s="51"/>
      <c r="C327" s="52"/>
      <c r="D327" s="51"/>
      <c r="E327" s="53"/>
      <c r="F327" s="54"/>
      <c r="G327" s="51"/>
      <c r="H327" s="51"/>
      <c r="I327" s="55"/>
      <c r="J327" s="56"/>
      <c r="K327" s="46"/>
      <c r="L327" s="46"/>
      <c r="M327" s="47"/>
      <c r="N327" s="46"/>
      <c r="O327" s="57"/>
      <c r="P327" s="46"/>
      <c r="Q327" s="46"/>
      <c r="R327" s="57"/>
      <c r="S327" s="7"/>
      <c r="T327" s="54"/>
      <c r="U327" s="58"/>
      <c r="V327" s="47"/>
      <c r="W327" s="18"/>
      <c r="X327" s="46"/>
      <c r="Y327" s="9"/>
      <c r="Z327" s="46"/>
      <c r="AA327" s="7"/>
      <c r="AB327" s="46"/>
      <c r="AC327" s="47"/>
      <c r="AD327" s="7"/>
      <c r="AE327" s="47"/>
      <c r="AF327" s="18"/>
      <c r="AG327" s="26"/>
      <c r="AH327" s="34"/>
      <c r="AI327" s="34"/>
      <c r="AJ327" s="18"/>
      <c r="AK327" s="48"/>
      <c r="AL327" s="26" t="str">
        <f>IFERROR(__xludf.DUMMYFUNCTION("""COMPUTED_VALUE"""),"* OLC6O *")</f>
        <v>* OLC6O *</v>
      </c>
      <c r="AM327" s="59">
        <f>IFERROR(__xludf.DUMMYFUNCTION("""COMPUTED_VALUE"""),147000.0)</f>
        <v>147000</v>
      </c>
    </row>
    <row r="328">
      <c r="A328" s="51"/>
      <c r="B328" s="51"/>
      <c r="C328" s="52"/>
      <c r="D328" s="51"/>
      <c r="E328" s="53"/>
      <c r="F328" s="54"/>
      <c r="G328" s="51"/>
      <c r="H328" s="51"/>
      <c r="I328" s="55"/>
      <c r="J328" s="56"/>
      <c r="K328" s="46"/>
      <c r="L328" s="46"/>
      <c r="M328" s="47"/>
      <c r="N328" s="46"/>
      <c r="O328" s="57"/>
      <c r="P328" s="46"/>
      <c r="Q328" s="46"/>
      <c r="R328" s="57"/>
      <c r="S328" s="7"/>
      <c r="T328" s="54"/>
      <c r="U328" s="58"/>
      <c r="V328" s="47"/>
      <c r="W328" s="18"/>
      <c r="X328" s="46"/>
      <c r="Y328" s="9"/>
      <c r="Z328" s="46"/>
      <c r="AA328" s="7"/>
      <c r="AB328" s="46"/>
      <c r="AC328" s="47"/>
      <c r="AD328" s="7"/>
      <c r="AE328" s="47"/>
      <c r="AF328" s="18"/>
      <c r="AG328" s="26"/>
      <c r="AH328" s="34"/>
      <c r="AI328" s="34"/>
      <c r="AJ328" s="18"/>
      <c r="AK328" s="48"/>
      <c r="AL328" s="26" t="str">
        <f>IFERROR(__xludf.DUMMYFUNCTION("""COMPUTED_VALUE"""),"* ON BAPRO CL3 *")</f>
        <v>* ON BAPRO CL3 *</v>
      </c>
      <c r="AM328" s="59">
        <f>IFERROR(__xludf.DUMMYFUNCTION("""COMPUTED_VALUE"""),100.0)</f>
        <v>100</v>
      </c>
    </row>
    <row r="329">
      <c r="A329" s="51"/>
      <c r="B329" s="51"/>
      <c r="C329" s="52"/>
      <c r="D329" s="51"/>
      <c r="E329" s="53"/>
      <c r="F329" s="54"/>
      <c r="G329" s="51"/>
      <c r="H329" s="51"/>
      <c r="I329" s="55"/>
      <c r="J329" s="56"/>
      <c r="K329" s="46"/>
      <c r="L329" s="46"/>
      <c r="M329" s="47"/>
      <c r="N329" s="46"/>
      <c r="O329" s="57"/>
      <c r="P329" s="46"/>
      <c r="Q329" s="46"/>
      <c r="R329" s="57"/>
      <c r="S329" s="7"/>
      <c r="T329" s="54"/>
      <c r="U329" s="58"/>
      <c r="V329" s="47"/>
      <c r="W329" s="18"/>
      <c r="X329" s="46"/>
      <c r="Y329" s="9"/>
      <c r="Z329" s="46"/>
      <c r="AA329" s="7"/>
      <c r="AB329" s="46"/>
      <c r="AC329" s="47"/>
      <c r="AD329" s="7"/>
      <c r="AE329" s="47"/>
      <c r="AF329" s="18"/>
      <c r="AG329" s="26"/>
      <c r="AH329" s="34"/>
      <c r="AI329" s="34"/>
      <c r="AJ329" s="18"/>
      <c r="AK329" s="48"/>
      <c r="AL329" s="26" t="str">
        <f>IFERROR(__xludf.DUMMYFUNCTION("""COMPUTED_VALUE"""),"* ON BAPRO CL4 *")</f>
        <v>* ON BAPRO CL4 *</v>
      </c>
      <c r="AM329" s="59">
        <f>IFERROR(__xludf.DUMMYFUNCTION("""COMPUTED_VALUE"""),100.0)</f>
        <v>100</v>
      </c>
    </row>
    <row r="330">
      <c r="A330" s="51"/>
      <c r="B330" s="51"/>
      <c r="C330" s="52"/>
      <c r="D330" s="51"/>
      <c r="E330" s="53"/>
      <c r="F330" s="54"/>
      <c r="G330" s="51"/>
      <c r="H330" s="51"/>
      <c r="I330" s="55"/>
      <c r="J330" s="56"/>
      <c r="K330" s="46"/>
      <c r="L330" s="46"/>
      <c r="M330" s="47"/>
      <c r="N330" s="46"/>
      <c r="O330" s="57"/>
      <c r="P330" s="46"/>
      <c r="Q330" s="46"/>
      <c r="R330" s="57"/>
      <c r="S330" s="7"/>
      <c r="T330" s="54"/>
      <c r="U330" s="58"/>
      <c r="V330" s="47"/>
      <c r="W330" s="18"/>
      <c r="X330" s="46"/>
      <c r="Y330" s="9"/>
      <c r="Z330" s="46"/>
      <c r="AA330" s="7"/>
      <c r="AB330" s="46"/>
      <c r="AC330" s="47"/>
      <c r="AD330" s="7"/>
      <c r="AE330" s="47"/>
      <c r="AF330" s="18"/>
      <c r="AG330" s="26"/>
      <c r="AH330" s="34"/>
      <c r="AI330" s="34"/>
      <c r="AJ330" s="18"/>
      <c r="AK330" s="48"/>
      <c r="AL330" s="26" t="str">
        <f>IFERROR(__xludf.DUMMYFUNCTION("""COMPUTED_VALUE"""),"* ON BBVA CL38 *")</f>
        <v>* ON BBVA CL38 *</v>
      </c>
      <c r="AM330" s="59">
        <f>IFERROR(__xludf.DUMMYFUNCTION("""COMPUTED_VALUE"""),100.0)</f>
        <v>100</v>
      </c>
    </row>
    <row r="331">
      <c r="A331" s="51"/>
      <c r="B331" s="51"/>
      <c r="C331" s="52"/>
      <c r="D331" s="51"/>
      <c r="E331" s="53"/>
      <c r="F331" s="54"/>
      <c r="G331" s="51"/>
      <c r="H331" s="51"/>
      <c r="I331" s="55"/>
      <c r="J331" s="56"/>
      <c r="K331" s="46"/>
      <c r="L331" s="46"/>
      <c r="M331" s="47"/>
      <c r="N331" s="46"/>
      <c r="O331" s="57"/>
      <c r="P331" s="46"/>
      <c r="Q331" s="46"/>
      <c r="R331" s="57"/>
      <c r="S331" s="7"/>
      <c r="T331" s="54"/>
      <c r="U331" s="58"/>
      <c r="V331" s="47"/>
      <c r="W331" s="18"/>
      <c r="X331" s="46"/>
      <c r="Y331" s="9"/>
      <c r="Z331" s="46"/>
      <c r="AA331" s="7"/>
      <c r="AB331" s="46"/>
      <c r="AC331" s="47"/>
      <c r="AD331" s="7"/>
      <c r="AE331" s="47"/>
      <c r="AF331" s="18"/>
      <c r="AG331" s="26"/>
      <c r="AH331" s="34"/>
      <c r="AI331" s="34"/>
      <c r="AJ331" s="18"/>
      <c r="AK331" s="48"/>
      <c r="AL331" s="26" t="str">
        <f>IFERROR(__xludf.DUMMYFUNCTION("""COMPUTED_VALUE"""),"* ON BPAT CL 4 *")</f>
        <v>* ON BPAT CL 4 *</v>
      </c>
      <c r="AM331" s="59">
        <f>IFERROR(__xludf.DUMMYFUNCTION("""COMPUTED_VALUE"""),100.0)</f>
        <v>100</v>
      </c>
    </row>
    <row r="332">
      <c r="A332" s="51"/>
      <c r="B332" s="51"/>
      <c r="C332" s="52"/>
      <c r="D332" s="51"/>
      <c r="E332" s="53"/>
      <c r="F332" s="54"/>
      <c r="G332" s="51"/>
      <c r="H332" s="51"/>
      <c r="I332" s="55"/>
      <c r="J332" s="56"/>
      <c r="K332" s="46"/>
      <c r="L332" s="46"/>
      <c r="M332" s="47"/>
      <c r="N332" s="46"/>
      <c r="O332" s="57"/>
      <c r="P332" s="46"/>
      <c r="Q332" s="46"/>
      <c r="R332" s="57"/>
      <c r="S332" s="7"/>
      <c r="T332" s="54"/>
      <c r="U332" s="58"/>
      <c r="V332" s="47"/>
      <c r="W332" s="18"/>
      <c r="X332" s="46"/>
      <c r="Y332" s="9"/>
      <c r="Z332" s="46"/>
      <c r="AA332" s="7"/>
      <c r="AB332" s="46"/>
      <c r="AC332" s="47"/>
      <c r="AD332" s="7"/>
      <c r="AE332" s="47"/>
      <c r="AF332" s="18"/>
      <c r="AG332" s="26"/>
      <c r="AH332" s="34"/>
      <c r="AI332" s="34"/>
      <c r="AJ332" s="18"/>
      <c r="AK332" s="48"/>
      <c r="AL332" s="26" t="str">
        <f>IFERROR(__xludf.DUMMYFUNCTION("""COMPUTED_VALUE"""),"* ON BST CL24 *")</f>
        <v>* ON BST CL24 *</v>
      </c>
      <c r="AM332" s="59">
        <f>IFERROR(__xludf.DUMMYFUNCTION("""COMPUTED_VALUE"""),100.0)</f>
        <v>100</v>
      </c>
    </row>
    <row r="333">
      <c r="A333" s="51"/>
      <c r="B333" s="51"/>
      <c r="C333" s="52"/>
      <c r="D333" s="51"/>
      <c r="E333" s="53"/>
      <c r="F333" s="54"/>
      <c r="G333" s="51"/>
      <c r="H333" s="51"/>
      <c r="I333" s="55"/>
      <c r="J333" s="56"/>
      <c r="K333" s="46"/>
      <c r="L333" s="46"/>
      <c r="M333" s="47"/>
      <c r="N333" s="46"/>
      <c r="O333" s="57"/>
      <c r="P333" s="46"/>
      <c r="Q333" s="46"/>
      <c r="R333" s="57"/>
      <c r="S333" s="7"/>
      <c r="T333" s="54"/>
      <c r="U333" s="58"/>
      <c r="V333" s="47"/>
      <c r="W333" s="18"/>
      <c r="X333" s="46"/>
      <c r="Y333" s="9"/>
      <c r="Z333" s="46"/>
      <c r="AA333" s="7"/>
      <c r="AB333" s="46"/>
      <c r="AC333" s="47"/>
      <c r="AD333" s="7"/>
      <c r="AE333" s="47"/>
      <c r="AF333" s="18"/>
      <c r="AG333" s="26"/>
      <c r="AH333" s="34"/>
      <c r="AI333" s="34"/>
      <c r="AJ333" s="18"/>
      <c r="AK333" s="48"/>
      <c r="AL333" s="26" t="str">
        <f>IFERROR(__xludf.DUMMYFUNCTION("""COMPUTED_VALUE"""),"* ON COMAFI CL17 *")</f>
        <v>* ON COMAFI CL17 *</v>
      </c>
      <c r="AM333" s="59">
        <f>IFERROR(__xludf.DUMMYFUNCTION("""COMPUTED_VALUE"""),100.0)</f>
        <v>100</v>
      </c>
    </row>
    <row r="334">
      <c r="A334" s="51"/>
      <c r="B334" s="51"/>
      <c r="C334" s="52"/>
      <c r="D334" s="51"/>
      <c r="E334" s="53"/>
      <c r="F334" s="54"/>
      <c r="G334" s="51"/>
      <c r="H334" s="51"/>
      <c r="I334" s="55"/>
      <c r="J334" s="56"/>
      <c r="K334" s="46"/>
      <c r="L334" s="46"/>
      <c r="M334" s="47"/>
      <c r="N334" s="46"/>
      <c r="O334" s="57"/>
      <c r="P334" s="46"/>
      <c r="Q334" s="46"/>
      <c r="R334" s="57"/>
      <c r="S334" s="7"/>
      <c r="T334" s="54"/>
      <c r="U334" s="58"/>
      <c r="V334" s="47"/>
      <c r="W334" s="18"/>
      <c r="X334" s="46"/>
      <c r="Y334" s="9"/>
      <c r="Z334" s="46"/>
      <c r="AA334" s="7"/>
      <c r="AB334" s="46"/>
      <c r="AC334" s="47"/>
      <c r="AD334" s="7"/>
      <c r="AE334" s="47"/>
      <c r="AF334" s="18"/>
      <c r="AG334" s="26"/>
      <c r="AH334" s="34"/>
      <c r="AI334" s="34"/>
      <c r="AJ334" s="18"/>
      <c r="AK334" s="48"/>
      <c r="AL334" s="26" t="str">
        <f>IFERROR(__xludf.DUMMYFUNCTION("""COMPUTED_VALUE"""),"* ON HIPOTECARIO CL11 *")</f>
        <v>* ON HIPOTECARIO CL11 *</v>
      </c>
      <c r="AM334" s="59">
        <f>IFERROR(__xludf.DUMMYFUNCTION("""COMPUTED_VALUE"""),100.0)</f>
        <v>100</v>
      </c>
    </row>
    <row r="335">
      <c r="A335" s="51"/>
      <c r="B335" s="51"/>
      <c r="C335" s="52"/>
      <c r="D335" s="51"/>
      <c r="E335" s="53"/>
      <c r="F335" s="54"/>
      <c r="G335" s="51"/>
      <c r="H335" s="51"/>
      <c r="I335" s="55"/>
      <c r="J335" s="56"/>
      <c r="K335" s="46"/>
      <c r="L335" s="46"/>
      <c r="M335" s="47"/>
      <c r="N335" s="46"/>
      <c r="O335" s="57"/>
      <c r="P335" s="46"/>
      <c r="Q335" s="46"/>
      <c r="R335" s="57"/>
      <c r="S335" s="7"/>
      <c r="T335" s="54"/>
      <c r="U335" s="58"/>
      <c r="V335" s="47"/>
      <c r="W335" s="18"/>
      <c r="X335" s="46"/>
      <c r="Y335" s="9"/>
      <c r="Z335" s="46"/>
      <c r="AA335" s="7"/>
      <c r="AB335" s="46"/>
      <c r="AC335" s="47"/>
      <c r="AD335" s="7"/>
      <c r="AE335" s="47"/>
      <c r="AF335" s="18"/>
      <c r="AG335" s="26"/>
      <c r="AH335" s="34"/>
      <c r="AI335" s="34"/>
      <c r="AJ335" s="18"/>
      <c r="AK335" s="48"/>
      <c r="AL335" s="26" t="str">
        <f>IFERROR(__xludf.DUMMYFUNCTION("""COMPUTED_VALUE"""),"* ON JOHNDEERE CL17 *")</f>
        <v>* ON JOHNDEERE CL17 *</v>
      </c>
      <c r="AM335" s="59">
        <f>IFERROR(__xludf.DUMMYFUNCTION("""COMPUTED_VALUE"""),100.0)</f>
        <v>100</v>
      </c>
    </row>
    <row r="336">
      <c r="A336" s="51"/>
      <c r="B336" s="51"/>
      <c r="C336" s="52"/>
      <c r="D336" s="51"/>
      <c r="E336" s="53"/>
      <c r="F336" s="54"/>
      <c r="G336" s="51"/>
      <c r="H336" s="51"/>
      <c r="I336" s="55"/>
      <c r="J336" s="56"/>
      <c r="K336" s="46"/>
      <c r="L336" s="46"/>
      <c r="M336" s="47"/>
      <c r="N336" s="46"/>
      <c r="O336" s="57"/>
      <c r="P336" s="46"/>
      <c r="Q336" s="46"/>
      <c r="R336" s="57"/>
      <c r="S336" s="7"/>
      <c r="T336" s="54"/>
      <c r="U336" s="58"/>
      <c r="V336" s="47"/>
      <c r="W336" s="18"/>
      <c r="X336" s="46"/>
      <c r="Y336" s="9"/>
      <c r="Z336" s="46"/>
      <c r="AA336" s="7"/>
      <c r="AB336" s="46"/>
      <c r="AC336" s="47"/>
      <c r="AD336" s="7"/>
      <c r="AE336" s="47"/>
      <c r="AF336" s="18"/>
      <c r="AG336" s="26"/>
      <c r="AH336" s="34"/>
      <c r="AI336" s="34"/>
      <c r="AJ336" s="18"/>
      <c r="AK336" s="48"/>
      <c r="AL336" s="26" t="str">
        <f>IFERROR(__xludf.DUMMYFUNCTION("""COMPUTED_VALUE"""),"* ON MERCADO PAGO CL2 *")</f>
        <v>* ON MERCADO PAGO CL2 *</v>
      </c>
      <c r="AM336" s="59">
        <f>IFERROR(__xludf.DUMMYFUNCTION("""COMPUTED_VALUE"""),100.0)</f>
        <v>100</v>
      </c>
    </row>
    <row r="337">
      <c r="A337" s="51"/>
      <c r="B337" s="51"/>
      <c r="C337" s="52"/>
      <c r="D337" s="51"/>
      <c r="E337" s="53"/>
      <c r="F337" s="54"/>
      <c r="G337" s="51"/>
      <c r="H337" s="51"/>
      <c r="I337" s="55"/>
      <c r="J337" s="56"/>
      <c r="K337" s="46"/>
      <c r="L337" s="46"/>
      <c r="M337" s="47"/>
      <c r="N337" s="46"/>
      <c r="O337" s="57"/>
      <c r="P337" s="46"/>
      <c r="Q337" s="46"/>
      <c r="R337" s="57"/>
      <c r="S337" s="7"/>
      <c r="T337" s="54"/>
      <c r="U337" s="58"/>
      <c r="V337" s="47"/>
      <c r="W337" s="18"/>
      <c r="X337" s="46"/>
      <c r="Y337" s="9"/>
      <c r="Z337" s="46"/>
      <c r="AA337" s="7"/>
      <c r="AB337" s="46"/>
      <c r="AC337" s="47"/>
      <c r="AD337" s="7"/>
      <c r="AE337" s="47"/>
      <c r="AF337" s="18"/>
      <c r="AG337" s="26"/>
      <c r="AH337" s="34"/>
      <c r="AI337" s="34"/>
      <c r="AJ337" s="18"/>
      <c r="AK337" s="48"/>
      <c r="AL337" s="26" t="str">
        <f>IFERROR(__xludf.DUMMYFUNCTION("""COMPUTED_VALUE"""),"* ON MERCADOPAGO CL2 *")</f>
        <v>* ON MERCADOPAGO CL2 *</v>
      </c>
      <c r="AM337" s="59">
        <f>IFERROR(__xludf.DUMMYFUNCTION("""COMPUTED_VALUE"""),100.0)</f>
        <v>100</v>
      </c>
    </row>
    <row r="338">
      <c r="A338" s="51"/>
      <c r="B338" s="51"/>
      <c r="C338" s="52"/>
      <c r="D338" s="51"/>
      <c r="E338" s="53"/>
      <c r="F338" s="54"/>
      <c r="G338" s="51"/>
      <c r="H338" s="51"/>
      <c r="I338" s="55"/>
      <c r="J338" s="56"/>
      <c r="K338" s="46"/>
      <c r="L338" s="46"/>
      <c r="M338" s="47"/>
      <c r="N338" s="46"/>
      <c r="O338" s="57"/>
      <c r="P338" s="46"/>
      <c r="Q338" s="46"/>
      <c r="R338" s="57"/>
      <c r="S338" s="7"/>
      <c r="T338" s="54"/>
      <c r="U338" s="58"/>
      <c r="V338" s="47"/>
      <c r="W338" s="18"/>
      <c r="X338" s="46"/>
      <c r="Y338" s="9"/>
      <c r="Z338" s="46"/>
      <c r="AA338" s="7"/>
      <c r="AB338" s="46"/>
      <c r="AC338" s="47"/>
      <c r="AD338" s="7"/>
      <c r="AE338" s="47"/>
      <c r="AF338" s="18"/>
      <c r="AG338" s="26"/>
      <c r="AH338" s="34"/>
      <c r="AI338" s="34"/>
      <c r="AJ338" s="18"/>
      <c r="AK338" s="48"/>
      <c r="AL338" s="26" t="str">
        <f>IFERROR(__xludf.DUMMYFUNCTION("""COMPUTED_VALUE"""),"* ON NARANJA CL66 S.2 *")</f>
        <v>* ON NARANJA CL66 S.2 *</v>
      </c>
      <c r="AM338" s="59">
        <f>IFERROR(__xludf.DUMMYFUNCTION("""COMPUTED_VALUE"""),100.0)</f>
        <v>100</v>
      </c>
    </row>
    <row r="339">
      <c r="A339" s="51"/>
      <c r="B339" s="51"/>
      <c r="C339" s="52"/>
      <c r="D339" s="51"/>
      <c r="E339" s="53"/>
      <c r="F339" s="54"/>
      <c r="G339" s="51"/>
      <c r="H339" s="51"/>
      <c r="I339" s="55"/>
      <c r="J339" s="56"/>
      <c r="K339" s="46"/>
      <c r="L339" s="46"/>
      <c r="M339" s="47"/>
      <c r="N339" s="46"/>
      <c r="O339" s="57"/>
      <c r="P339" s="46"/>
      <c r="Q339" s="46"/>
      <c r="R339" s="57"/>
      <c r="S339" s="7"/>
      <c r="T339" s="54"/>
      <c r="U339" s="58"/>
      <c r="V339" s="47"/>
      <c r="W339" s="18"/>
      <c r="X339" s="46"/>
      <c r="Y339" s="9"/>
      <c r="Z339" s="46"/>
      <c r="AA339" s="7"/>
      <c r="AB339" s="46"/>
      <c r="AC339" s="47"/>
      <c r="AD339" s="7"/>
      <c r="AE339" s="47"/>
      <c r="AF339" s="18"/>
      <c r="AG339" s="26"/>
      <c r="AH339" s="34"/>
      <c r="AI339" s="34"/>
      <c r="AJ339" s="18"/>
      <c r="AK339" s="48"/>
      <c r="AL339" s="26" t="str">
        <f>IFERROR(__xludf.DUMMYFUNCTION("""COMPUTED_VALUE"""),"* ON NARANJA CL66 S1 *")</f>
        <v>* ON NARANJA CL66 S1 *</v>
      </c>
      <c r="AM339" s="59">
        <f>IFERROR(__xludf.DUMMYFUNCTION("""COMPUTED_VALUE"""),100.0)</f>
        <v>100</v>
      </c>
    </row>
    <row r="340">
      <c r="A340" s="51"/>
      <c r="B340" s="51"/>
      <c r="C340" s="52"/>
      <c r="D340" s="51"/>
      <c r="E340" s="53"/>
      <c r="F340" s="54"/>
      <c r="G340" s="51"/>
      <c r="H340" s="51"/>
      <c r="I340" s="55"/>
      <c r="J340" s="56"/>
      <c r="K340" s="46"/>
      <c r="L340" s="46"/>
      <c r="M340" s="47"/>
      <c r="N340" s="46"/>
      <c r="O340" s="57"/>
      <c r="P340" s="46"/>
      <c r="Q340" s="46"/>
      <c r="R340" s="57"/>
      <c r="S340" s="7"/>
      <c r="T340" s="54"/>
      <c r="U340" s="58"/>
      <c r="V340" s="47"/>
      <c r="W340" s="18"/>
      <c r="X340" s="46"/>
      <c r="Y340" s="9"/>
      <c r="Z340" s="46"/>
      <c r="AA340" s="7"/>
      <c r="AB340" s="46"/>
      <c r="AC340" s="47"/>
      <c r="AD340" s="7"/>
      <c r="AE340" s="47"/>
      <c r="AF340" s="18"/>
      <c r="AG340" s="26"/>
      <c r="AH340" s="34"/>
      <c r="AI340" s="34"/>
      <c r="AJ340" s="18"/>
      <c r="AK340" s="48"/>
      <c r="AL340" s="26" t="str">
        <f>IFERROR(__xludf.DUMMYFUNCTION("""COMPUTED_VALUE"""),"* ON OILTANKING S5 *")</f>
        <v>* ON OILTANKING S5 *</v>
      </c>
      <c r="AM340" s="59">
        <f>IFERROR(__xludf.DUMMYFUNCTION("""COMPUTED_VALUE"""),100.0)</f>
        <v>100</v>
      </c>
    </row>
    <row r="341">
      <c r="A341" s="51"/>
      <c r="B341" s="51"/>
      <c r="C341" s="52"/>
      <c r="D341" s="51"/>
      <c r="E341" s="53"/>
      <c r="F341" s="54"/>
      <c r="G341" s="51"/>
      <c r="H341" s="51"/>
      <c r="I341" s="55"/>
      <c r="J341" s="56"/>
      <c r="K341" s="46"/>
      <c r="L341" s="46"/>
      <c r="M341" s="47"/>
      <c r="N341" s="46"/>
      <c r="O341" s="57"/>
      <c r="P341" s="46"/>
      <c r="Q341" s="46"/>
      <c r="R341" s="57"/>
      <c r="S341" s="7"/>
      <c r="T341" s="54"/>
      <c r="U341" s="58"/>
      <c r="V341" s="47"/>
      <c r="W341" s="18"/>
      <c r="X341" s="46"/>
      <c r="Y341" s="9"/>
      <c r="Z341" s="46"/>
      <c r="AA341" s="7"/>
      <c r="AB341" s="46"/>
      <c r="AC341" s="47"/>
      <c r="AD341" s="7"/>
      <c r="AE341" s="47"/>
      <c r="AF341" s="18"/>
      <c r="AG341" s="26"/>
      <c r="AH341" s="34"/>
      <c r="AI341" s="34"/>
      <c r="AJ341" s="18"/>
      <c r="AK341" s="48"/>
      <c r="AL341" s="26" t="str">
        <f>IFERROR(__xludf.DUMMYFUNCTION("""COMPUTED_VALUE"""),"* ON OLDELVAL CL6 *")</f>
        <v>* ON OLDELVAL CL6 *</v>
      </c>
      <c r="AM341" s="59">
        <f>IFERROR(__xludf.DUMMYFUNCTION("""COMPUTED_VALUE"""),100.0)</f>
        <v>100</v>
      </c>
    </row>
    <row r="342">
      <c r="A342" s="51"/>
      <c r="B342" s="51"/>
      <c r="C342" s="52"/>
      <c r="D342" s="51"/>
      <c r="E342" s="53"/>
      <c r="F342" s="54"/>
      <c r="G342" s="51"/>
      <c r="H342" s="51"/>
      <c r="I342" s="55"/>
      <c r="J342" s="56"/>
      <c r="K342" s="46"/>
      <c r="L342" s="46"/>
      <c r="M342" s="47"/>
      <c r="N342" s="46"/>
      <c r="O342" s="57"/>
      <c r="P342" s="46"/>
      <c r="Q342" s="46"/>
      <c r="R342" s="57"/>
      <c r="S342" s="7"/>
      <c r="T342" s="54"/>
      <c r="U342" s="58"/>
      <c r="V342" s="47"/>
      <c r="W342" s="18"/>
      <c r="X342" s="46"/>
      <c r="Y342" s="9"/>
      <c r="Z342" s="46"/>
      <c r="AA342" s="7"/>
      <c r="AB342" s="46"/>
      <c r="AC342" s="47"/>
      <c r="AD342" s="7"/>
      <c r="AE342" s="47"/>
      <c r="AF342" s="18"/>
      <c r="AG342" s="26"/>
      <c r="AH342" s="34"/>
      <c r="AI342" s="34"/>
      <c r="AJ342" s="18"/>
      <c r="AK342" s="48"/>
      <c r="AL342" s="26" t="str">
        <f>IFERROR(__xludf.DUMMYFUNCTION("""COMPUTED_VALUE"""),"* ON PAMPA CL26 *")</f>
        <v>* ON PAMPA CL26 *</v>
      </c>
      <c r="AM342" s="59">
        <f>IFERROR(__xludf.DUMMYFUNCTION("""COMPUTED_VALUE"""),100.0)</f>
        <v>100</v>
      </c>
    </row>
    <row r="343">
      <c r="A343" s="51"/>
      <c r="B343" s="51"/>
      <c r="C343" s="52"/>
      <c r="D343" s="51"/>
      <c r="E343" s="53"/>
      <c r="F343" s="54"/>
      <c r="G343" s="51"/>
      <c r="H343" s="51"/>
      <c r="I343" s="55"/>
      <c r="J343" s="56"/>
      <c r="K343" s="46"/>
      <c r="L343" s="46"/>
      <c r="M343" s="47"/>
      <c r="N343" s="46"/>
      <c r="O343" s="57"/>
      <c r="P343" s="46"/>
      <c r="Q343" s="46"/>
      <c r="R343" s="57"/>
      <c r="S343" s="7"/>
      <c r="T343" s="54"/>
      <c r="U343" s="58"/>
      <c r="V343" s="47"/>
      <c r="W343" s="18"/>
      <c r="X343" s="46"/>
      <c r="Y343" s="9"/>
      <c r="Z343" s="46"/>
      <c r="AA343" s="7"/>
      <c r="AB343" s="46"/>
      <c r="AC343" s="47"/>
      <c r="AD343" s="7"/>
      <c r="AE343" s="47"/>
      <c r="AF343" s="18"/>
      <c r="AG343" s="26"/>
      <c r="AH343" s="34"/>
      <c r="AI343" s="34"/>
      <c r="AJ343" s="18"/>
      <c r="AK343" s="48"/>
      <c r="AL343" s="26" t="str">
        <f>IFERROR(__xludf.DUMMYFUNCTION("""COMPUTED_VALUE"""),"* ON PANAMERICAN CL42 *")</f>
        <v>* ON PANAMERICAN CL42 *</v>
      </c>
      <c r="AM343" s="59">
        <f>IFERROR(__xludf.DUMMYFUNCTION("""COMPUTED_VALUE"""),100.0)</f>
        <v>100</v>
      </c>
    </row>
    <row r="344">
      <c r="A344" s="51"/>
      <c r="B344" s="51"/>
      <c r="C344" s="52"/>
      <c r="D344" s="51"/>
      <c r="E344" s="53"/>
      <c r="F344" s="54"/>
      <c r="G344" s="51"/>
      <c r="H344" s="51"/>
      <c r="I344" s="55"/>
      <c r="J344" s="56"/>
      <c r="K344" s="46"/>
      <c r="L344" s="46"/>
      <c r="M344" s="47"/>
      <c r="N344" s="46"/>
      <c r="O344" s="57"/>
      <c r="P344" s="46"/>
      <c r="Q344" s="46"/>
      <c r="R344" s="57"/>
      <c r="S344" s="7"/>
      <c r="T344" s="54"/>
      <c r="U344" s="58"/>
      <c r="V344" s="47"/>
      <c r="W344" s="18"/>
      <c r="X344" s="46"/>
      <c r="Y344" s="9"/>
      <c r="Z344" s="46"/>
      <c r="AA344" s="7"/>
      <c r="AB344" s="46"/>
      <c r="AC344" s="47"/>
      <c r="AD344" s="7"/>
      <c r="AE344" s="47"/>
      <c r="AF344" s="18"/>
      <c r="AG344" s="26"/>
      <c r="AH344" s="34"/>
      <c r="AI344" s="34"/>
      <c r="AJ344" s="18"/>
      <c r="AK344" s="48"/>
      <c r="AL344" s="26" t="str">
        <f>IFERROR(__xludf.DUMMYFUNCTION("""COMPUTED_VALUE"""),"* OT41D *")</f>
        <v>* OT41D *</v>
      </c>
      <c r="AM344" s="59">
        <f>IFERROR(__xludf.DUMMYFUNCTION("""COMPUTED_VALUE"""),101.5)</f>
        <v>101.5</v>
      </c>
    </row>
    <row r="345">
      <c r="A345" s="51"/>
      <c r="B345" s="51"/>
      <c r="C345" s="52"/>
      <c r="D345" s="51"/>
      <c r="E345" s="53"/>
      <c r="F345" s="54"/>
      <c r="G345" s="51"/>
      <c r="H345" s="51"/>
      <c r="I345" s="55"/>
      <c r="J345" s="56"/>
      <c r="K345" s="46"/>
      <c r="L345" s="46"/>
      <c r="M345" s="47"/>
      <c r="N345" s="46"/>
      <c r="O345" s="57"/>
      <c r="P345" s="46"/>
      <c r="Q345" s="46"/>
      <c r="R345" s="57"/>
      <c r="S345" s="7"/>
      <c r="T345" s="54"/>
      <c r="U345" s="58"/>
      <c r="V345" s="47"/>
      <c r="W345" s="18"/>
      <c r="X345" s="46"/>
      <c r="Y345" s="9"/>
      <c r="Z345" s="46"/>
      <c r="AA345" s="7"/>
      <c r="AB345" s="46"/>
      <c r="AC345" s="47"/>
      <c r="AD345" s="7"/>
      <c r="AE345" s="47"/>
      <c r="AF345" s="18"/>
      <c r="AG345" s="26"/>
      <c r="AH345" s="34"/>
      <c r="AI345" s="34"/>
      <c r="AJ345" s="18"/>
      <c r="AK345" s="48"/>
      <c r="AL345" s="26" t="str">
        <f>IFERROR(__xludf.DUMMYFUNCTION("""COMPUTED_VALUE"""),"* OT41O *")</f>
        <v>* OT41O *</v>
      </c>
      <c r="AM345" s="59">
        <f>IFERROR(__xludf.DUMMYFUNCTION("""COMPUTED_VALUE"""),149500.0)</f>
        <v>149500</v>
      </c>
    </row>
    <row r="346">
      <c r="A346" s="51"/>
      <c r="B346" s="51"/>
      <c r="C346" s="52"/>
      <c r="D346" s="51"/>
      <c r="E346" s="53"/>
      <c r="F346" s="54"/>
      <c r="G346" s="51"/>
      <c r="H346" s="51"/>
      <c r="I346" s="55"/>
      <c r="J346" s="56"/>
      <c r="K346" s="46"/>
      <c r="L346" s="46"/>
      <c r="M346" s="47"/>
      <c r="N346" s="46"/>
      <c r="O346" s="57"/>
      <c r="P346" s="46"/>
      <c r="Q346" s="46"/>
      <c r="R346" s="57"/>
      <c r="S346" s="7"/>
      <c r="T346" s="54"/>
      <c r="U346" s="58"/>
      <c r="V346" s="47"/>
      <c r="W346" s="18"/>
      <c r="X346" s="46"/>
      <c r="Y346" s="9"/>
      <c r="Z346" s="46"/>
      <c r="AA346" s="7"/>
      <c r="AB346" s="46"/>
      <c r="AC346" s="47"/>
      <c r="AD346" s="7"/>
      <c r="AE346" s="47"/>
      <c r="AF346" s="18"/>
      <c r="AG346" s="26"/>
      <c r="AH346" s="34"/>
      <c r="AI346" s="34"/>
      <c r="AJ346" s="18"/>
      <c r="AK346" s="48"/>
      <c r="AL346" s="26" t="str">
        <f>IFERROR(__xludf.DUMMYFUNCTION("""COMPUTED_VALUE"""),"* OT42D *")</f>
        <v>* OT42D *</v>
      </c>
      <c r="AM346" s="59">
        <f>IFERROR(__xludf.DUMMYFUNCTION("""COMPUTED_VALUE"""),102.5)</f>
        <v>102.5</v>
      </c>
    </row>
    <row r="347">
      <c r="A347" s="51"/>
      <c r="B347" s="51"/>
      <c r="C347" s="52"/>
      <c r="D347" s="51"/>
      <c r="E347" s="53"/>
      <c r="F347" s="54"/>
      <c r="G347" s="51"/>
      <c r="H347" s="51"/>
      <c r="I347" s="55"/>
      <c r="J347" s="56"/>
      <c r="K347" s="46"/>
      <c r="L347" s="46"/>
      <c r="M347" s="47"/>
      <c r="N347" s="46"/>
      <c r="O347" s="57"/>
      <c r="P347" s="46"/>
      <c r="Q347" s="46"/>
      <c r="R347" s="57"/>
      <c r="S347" s="7"/>
      <c r="T347" s="54"/>
      <c r="U347" s="58"/>
      <c r="V347" s="47"/>
      <c r="W347" s="18"/>
      <c r="X347" s="46"/>
      <c r="Y347" s="9"/>
      <c r="Z347" s="46"/>
      <c r="AA347" s="7"/>
      <c r="AB347" s="46"/>
      <c r="AC347" s="47"/>
      <c r="AD347" s="7"/>
      <c r="AE347" s="47"/>
      <c r="AF347" s="18"/>
      <c r="AG347" s="26"/>
      <c r="AH347" s="34"/>
      <c r="AI347" s="34"/>
      <c r="AJ347" s="18"/>
      <c r="AK347" s="48"/>
      <c r="AL347" s="26" t="str">
        <f>IFERROR(__xludf.DUMMYFUNCTION("""COMPUTED_VALUE"""),"* OT42O *")</f>
        <v>* OT42O *</v>
      </c>
      <c r="AM347" s="59">
        <f>IFERROR(__xludf.DUMMYFUNCTION("""COMPUTED_VALUE"""),152000.0)</f>
        <v>152000</v>
      </c>
    </row>
    <row r="348">
      <c r="A348" s="51"/>
      <c r="B348" s="51"/>
      <c r="C348" s="52"/>
      <c r="D348" s="51"/>
      <c r="E348" s="53"/>
      <c r="F348" s="54"/>
      <c r="G348" s="51"/>
      <c r="H348" s="51"/>
      <c r="I348" s="55"/>
      <c r="J348" s="56"/>
      <c r="K348" s="46"/>
      <c r="L348" s="46"/>
      <c r="M348" s="47"/>
      <c r="N348" s="46"/>
      <c r="O348" s="57"/>
      <c r="P348" s="46"/>
      <c r="Q348" s="46"/>
      <c r="R348" s="57"/>
      <c r="S348" s="7"/>
      <c r="T348" s="54"/>
      <c r="U348" s="58"/>
      <c r="V348" s="47"/>
      <c r="W348" s="18"/>
      <c r="X348" s="46"/>
      <c r="Y348" s="9"/>
      <c r="Z348" s="46"/>
      <c r="AA348" s="7"/>
      <c r="AB348" s="46"/>
      <c r="AC348" s="47"/>
      <c r="AD348" s="7"/>
      <c r="AE348" s="47"/>
      <c r="AF348" s="18"/>
      <c r="AG348" s="26"/>
      <c r="AH348" s="34"/>
      <c r="AI348" s="34"/>
      <c r="AJ348" s="18"/>
      <c r="AK348" s="48"/>
      <c r="AL348" s="26" t="str">
        <f>IFERROR(__xludf.DUMMYFUNCTION("""COMPUTED_VALUE"""),"* OTS2D *")</f>
        <v>* OTS2D *</v>
      </c>
      <c r="AM348" s="59">
        <f>IFERROR(__xludf.DUMMYFUNCTION("""COMPUTED_VALUE"""),102.0)</f>
        <v>102</v>
      </c>
    </row>
    <row r="349">
      <c r="A349" s="51"/>
      <c r="B349" s="51"/>
      <c r="C349" s="52"/>
      <c r="D349" s="51"/>
      <c r="E349" s="53"/>
      <c r="F349" s="54"/>
      <c r="G349" s="51"/>
      <c r="H349" s="51"/>
      <c r="I349" s="55"/>
      <c r="J349" s="56"/>
      <c r="K349" s="46"/>
      <c r="L349" s="46"/>
      <c r="M349" s="47"/>
      <c r="N349" s="46"/>
      <c r="O349" s="57"/>
      <c r="P349" s="46"/>
      <c r="Q349" s="46"/>
      <c r="R349" s="57"/>
      <c r="S349" s="7"/>
      <c r="T349" s="54"/>
      <c r="U349" s="58"/>
      <c r="V349" s="47"/>
      <c r="W349" s="18"/>
      <c r="X349" s="46"/>
      <c r="Y349" s="9"/>
      <c r="Z349" s="46"/>
      <c r="AA349" s="7"/>
      <c r="AB349" s="46"/>
      <c r="AC349" s="47"/>
      <c r="AD349" s="7"/>
      <c r="AE349" s="47"/>
      <c r="AF349" s="18"/>
      <c r="AG349" s="26"/>
      <c r="AH349" s="34"/>
      <c r="AI349" s="34"/>
      <c r="AJ349" s="18"/>
      <c r="AK349" s="48"/>
      <c r="AL349" s="26" t="str">
        <f>IFERROR(__xludf.DUMMYFUNCTION("""COMPUTED_VALUE"""),"* OTS2O *")</f>
        <v>* OTS2O *</v>
      </c>
      <c r="AM349" s="59">
        <f>IFERROR(__xludf.DUMMYFUNCTION("""COMPUTED_VALUE"""),150210.0)</f>
        <v>150210</v>
      </c>
    </row>
    <row r="350">
      <c r="A350" s="51"/>
      <c r="B350" s="51"/>
      <c r="C350" s="52"/>
      <c r="D350" s="51"/>
      <c r="E350" s="53"/>
      <c r="F350" s="54"/>
      <c r="G350" s="51"/>
      <c r="H350" s="51"/>
      <c r="I350" s="55"/>
      <c r="J350" s="56"/>
      <c r="K350" s="46"/>
      <c r="L350" s="46"/>
      <c r="M350" s="47"/>
      <c r="N350" s="46"/>
      <c r="O350" s="57"/>
      <c r="P350" s="46"/>
      <c r="Q350" s="46"/>
      <c r="R350" s="57"/>
      <c r="S350" s="7"/>
      <c r="T350" s="54"/>
      <c r="U350" s="58"/>
      <c r="V350" s="47"/>
      <c r="W350" s="18"/>
      <c r="X350" s="46"/>
      <c r="Y350" s="9"/>
      <c r="Z350" s="46"/>
      <c r="AA350" s="7"/>
      <c r="AB350" s="46"/>
      <c r="AC350" s="47"/>
      <c r="AD350" s="7"/>
      <c r="AE350" s="47"/>
      <c r="AF350" s="18"/>
      <c r="AG350" s="26"/>
      <c r="AH350" s="34"/>
      <c r="AI350" s="34"/>
      <c r="AJ350" s="18"/>
      <c r="AK350" s="48"/>
      <c r="AL350" s="26" t="str">
        <f>IFERROR(__xludf.DUMMYFUNCTION("""COMPUTED_VALUE"""),"* OTS3D *")</f>
        <v>* OTS3D *</v>
      </c>
      <c r="AM350" s="59">
        <f>IFERROR(__xludf.DUMMYFUNCTION("""COMPUTED_VALUE"""),98.8)</f>
        <v>98.8</v>
      </c>
    </row>
    <row r="351">
      <c r="A351" s="51"/>
      <c r="B351" s="51"/>
      <c r="C351" s="52"/>
      <c r="D351" s="51"/>
      <c r="E351" s="53"/>
      <c r="F351" s="54"/>
      <c r="G351" s="51"/>
      <c r="H351" s="51"/>
      <c r="I351" s="55"/>
      <c r="J351" s="56"/>
      <c r="K351" s="46"/>
      <c r="L351" s="46"/>
      <c r="M351" s="47"/>
      <c r="N351" s="46"/>
      <c r="O351" s="57"/>
      <c r="P351" s="46"/>
      <c r="Q351" s="46"/>
      <c r="R351" s="57"/>
      <c r="S351" s="7"/>
      <c r="T351" s="54"/>
      <c r="U351" s="58"/>
      <c r="V351" s="47"/>
      <c r="W351" s="18"/>
      <c r="X351" s="46"/>
      <c r="Y351" s="9"/>
      <c r="Z351" s="46"/>
      <c r="AA351" s="7"/>
      <c r="AB351" s="46"/>
      <c r="AC351" s="47"/>
      <c r="AD351" s="7"/>
      <c r="AE351" s="47"/>
      <c r="AF351" s="18"/>
      <c r="AG351" s="26"/>
      <c r="AH351" s="34"/>
      <c r="AI351" s="34"/>
      <c r="AJ351" s="18"/>
      <c r="AK351" s="48"/>
      <c r="AL351" s="26" t="str">
        <f>IFERROR(__xludf.DUMMYFUNCTION("""COMPUTED_VALUE"""),"* OTS3O *")</f>
        <v>* OTS3O *</v>
      </c>
      <c r="AM351" s="59">
        <f>IFERROR(__xludf.DUMMYFUNCTION("""COMPUTED_VALUE"""),147170.0)</f>
        <v>147170</v>
      </c>
    </row>
    <row r="352">
      <c r="A352" s="51"/>
      <c r="B352" s="51"/>
      <c r="C352" s="52"/>
      <c r="D352" s="51"/>
      <c r="E352" s="53"/>
      <c r="F352" s="54"/>
      <c r="G352" s="51"/>
      <c r="H352" s="51"/>
      <c r="I352" s="55"/>
      <c r="J352" s="56"/>
      <c r="K352" s="46"/>
      <c r="L352" s="46"/>
      <c r="M352" s="47"/>
      <c r="N352" s="46"/>
      <c r="O352" s="57"/>
      <c r="P352" s="46"/>
      <c r="Q352" s="46"/>
      <c r="R352" s="57"/>
      <c r="S352" s="7"/>
      <c r="T352" s="54"/>
      <c r="U352" s="58"/>
      <c r="V352" s="47"/>
      <c r="W352" s="18"/>
      <c r="X352" s="46"/>
      <c r="Y352" s="9"/>
      <c r="Z352" s="46"/>
      <c r="AA352" s="7"/>
      <c r="AB352" s="46"/>
      <c r="AC352" s="47"/>
      <c r="AD352" s="7"/>
      <c r="AE352" s="47"/>
      <c r="AF352" s="18"/>
      <c r="AG352" s="26"/>
      <c r="AH352" s="34"/>
      <c r="AI352" s="34"/>
      <c r="AJ352" s="18"/>
      <c r="AK352" s="48"/>
      <c r="AL352" s="26" t="str">
        <f>IFERROR(__xludf.DUMMYFUNCTION("""COMPUTED_VALUE"""),"* OTS5D *")</f>
        <v>* OTS5D *</v>
      </c>
      <c r="AM352" s="59">
        <f>IFERROR(__xludf.DUMMYFUNCTION("""COMPUTED_VALUE"""),101.0)</f>
        <v>101</v>
      </c>
    </row>
    <row r="353">
      <c r="A353" s="51"/>
      <c r="B353" s="51"/>
      <c r="C353" s="52"/>
      <c r="D353" s="51"/>
      <c r="E353" s="53"/>
      <c r="F353" s="54"/>
      <c r="G353" s="51"/>
      <c r="H353" s="51"/>
      <c r="I353" s="55"/>
      <c r="J353" s="56"/>
      <c r="K353" s="46"/>
      <c r="L353" s="46"/>
      <c r="M353" s="47"/>
      <c r="N353" s="46"/>
      <c r="O353" s="57"/>
      <c r="P353" s="46"/>
      <c r="Q353" s="46"/>
      <c r="R353" s="57"/>
      <c r="S353" s="7"/>
      <c r="T353" s="54"/>
      <c r="U353" s="58"/>
      <c r="V353" s="47"/>
      <c r="W353" s="18"/>
      <c r="X353" s="46"/>
      <c r="Y353" s="9"/>
      <c r="Z353" s="46"/>
      <c r="AA353" s="7"/>
      <c r="AB353" s="46"/>
      <c r="AC353" s="47"/>
      <c r="AD353" s="7"/>
      <c r="AE353" s="47"/>
      <c r="AF353" s="18"/>
      <c r="AG353" s="26"/>
      <c r="AH353" s="34"/>
      <c r="AI353" s="34"/>
      <c r="AJ353" s="18"/>
      <c r="AK353" s="48"/>
      <c r="AL353" s="26" t="str">
        <f>IFERROR(__xludf.DUMMYFUNCTION("""COMPUTED_VALUE"""),"* OTS5O *")</f>
        <v>* OTS5O *</v>
      </c>
      <c r="AM353" s="59">
        <f>IFERROR(__xludf.DUMMYFUNCTION("""COMPUTED_VALUE"""),146500.0)</f>
        <v>146500</v>
      </c>
    </row>
    <row r="354">
      <c r="A354" s="51"/>
      <c r="B354" s="51"/>
      <c r="C354" s="52"/>
      <c r="D354" s="51"/>
      <c r="E354" s="53"/>
      <c r="F354" s="54"/>
      <c r="G354" s="51"/>
      <c r="H354" s="51"/>
      <c r="I354" s="55"/>
      <c r="J354" s="56"/>
      <c r="K354" s="46"/>
      <c r="L354" s="46"/>
      <c r="M354" s="47"/>
      <c r="N354" s="46"/>
      <c r="O354" s="57"/>
      <c r="P354" s="46"/>
      <c r="Q354" s="46"/>
      <c r="R354" s="57"/>
      <c r="S354" s="7"/>
      <c r="T354" s="54"/>
      <c r="U354" s="58"/>
      <c r="V354" s="47"/>
      <c r="W354" s="18"/>
      <c r="X354" s="46"/>
      <c r="Y354" s="9"/>
      <c r="Z354" s="46"/>
      <c r="AA354" s="7"/>
      <c r="AB354" s="46"/>
      <c r="AC354" s="47"/>
      <c r="AD354" s="7"/>
      <c r="AE354" s="47"/>
      <c r="AF354" s="18"/>
      <c r="AG354" s="26"/>
      <c r="AH354" s="34"/>
      <c r="AI354" s="34"/>
      <c r="AJ354" s="18"/>
      <c r="AK354" s="48"/>
      <c r="AL354" s="26" t="str">
        <f>IFERROR(__xludf.DUMMYFUNCTION("""COMPUTED_VALUE"""),"* OZC1O *")</f>
        <v>* OZC1O *</v>
      </c>
      <c r="AM354" s="59">
        <f>IFERROR(__xludf.DUMMYFUNCTION("""COMPUTED_VALUE"""),100.0)</f>
        <v>100</v>
      </c>
    </row>
    <row r="355">
      <c r="A355" s="51"/>
      <c r="B355" s="51"/>
      <c r="C355" s="52"/>
      <c r="D355" s="51"/>
      <c r="E355" s="53"/>
      <c r="F355" s="54"/>
      <c r="G355" s="51"/>
      <c r="H355" s="51"/>
      <c r="I355" s="55"/>
      <c r="J355" s="56"/>
      <c r="K355" s="46"/>
      <c r="L355" s="46"/>
      <c r="M355" s="47"/>
      <c r="N355" s="46"/>
      <c r="O355" s="57"/>
      <c r="P355" s="46"/>
      <c r="Q355" s="46"/>
      <c r="R355" s="57"/>
      <c r="S355" s="7"/>
      <c r="T355" s="54"/>
      <c r="U355" s="58"/>
      <c r="V355" s="47"/>
      <c r="W355" s="18"/>
      <c r="X355" s="46"/>
      <c r="Y355" s="9"/>
      <c r="Z355" s="46"/>
      <c r="AA355" s="7"/>
      <c r="AB355" s="46"/>
      <c r="AC355" s="47"/>
      <c r="AD355" s="7"/>
      <c r="AE355" s="47"/>
      <c r="AF355" s="18"/>
      <c r="AG355" s="26"/>
      <c r="AH355" s="34"/>
      <c r="AI355" s="34"/>
      <c r="AJ355" s="18"/>
      <c r="AK355" s="48"/>
      <c r="AL355" s="26" t="str">
        <f>IFERROR(__xludf.DUMMYFUNCTION("""COMPUTED_VALUE"""),"* OZC3D *")</f>
        <v>* OZC3D *</v>
      </c>
      <c r="AM355" s="59">
        <f>IFERROR(__xludf.DUMMYFUNCTION("""COMPUTED_VALUE"""),92.39)</f>
        <v>92.39</v>
      </c>
    </row>
    <row r="356">
      <c r="A356" s="51"/>
      <c r="B356" s="51"/>
      <c r="C356" s="52"/>
      <c r="D356" s="51"/>
      <c r="E356" s="53"/>
      <c r="F356" s="54"/>
      <c r="G356" s="51"/>
      <c r="H356" s="51"/>
      <c r="I356" s="55"/>
      <c r="J356" s="56"/>
      <c r="K356" s="46"/>
      <c r="L356" s="46"/>
      <c r="M356" s="47"/>
      <c r="N356" s="46"/>
      <c r="O356" s="57"/>
      <c r="P356" s="46"/>
      <c r="Q356" s="46"/>
      <c r="R356" s="57"/>
      <c r="S356" s="7"/>
      <c r="T356" s="54"/>
      <c r="U356" s="58"/>
      <c r="V356" s="47"/>
      <c r="W356" s="18"/>
      <c r="X356" s="46"/>
      <c r="Y356" s="9"/>
      <c r="Z356" s="46"/>
      <c r="AA356" s="7"/>
      <c r="AB356" s="46"/>
      <c r="AC356" s="47"/>
      <c r="AD356" s="7"/>
      <c r="AE356" s="47"/>
      <c r="AF356" s="18"/>
      <c r="AG356" s="26"/>
      <c r="AH356" s="34"/>
      <c r="AI356" s="34"/>
      <c r="AJ356" s="18"/>
      <c r="AK356" s="48"/>
      <c r="AL356" s="26" t="str">
        <f>IFERROR(__xludf.DUMMYFUNCTION("""COMPUTED_VALUE"""),"* OZC3O *")</f>
        <v>* OZC3O *</v>
      </c>
      <c r="AM356" s="59">
        <f>IFERROR(__xludf.DUMMYFUNCTION("""COMPUTED_VALUE"""),134000.0)</f>
        <v>134000</v>
      </c>
    </row>
    <row r="357">
      <c r="A357" s="51"/>
      <c r="B357" s="51"/>
      <c r="C357" s="52"/>
      <c r="D357" s="51"/>
      <c r="E357" s="53"/>
      <c r="F357" s="54"/>
      <c r="G357" s="51"/>
      <c r="H357" s="51"/>
      <c r="I357" s="55"/>
      <c r="J357" s="56"/>
      <c r="K357" s="46"/>
      <c r="L357" s="46"/>
      <c r="M357" s="47"/>
      <c r="N357" s="46"/>
      <c r="O357" s="57"/>
      <c r="P357" s="46"/>
      <c r="Q357" s="46"/>
      <c r="R357" s="57"/>
      <c r="S357" s="7"/>
      <c r="T357" s="54"/>
      <c r="U357" s="58"/>
      <c r="V357" s="47"/>
      <c r="W357" s="18"/>
      <c r="X357" s="46"/>
      <c r="Y357" s="9"/>
      <c r="Z357" s="46"/>
      <c r="AA357" s="7"/>
      <c r="AB357" s="46"/>
      <c r="AC357" s="47"/>
      <c r="AD357" s="7"/>
      <c r="AE357" s="47"/>
      <c r="AF357" s="18"/>
      <c r="AG357" s="26"/>
      <c r="AH357" s="34"/>
      <c r="AI357" s="34"/>
      <c r="AJ357" s="18"/>
      <c r="AK357" s="48"/>
      <c r="AL357" s="26" t="str">
        <f>IFERROR(__xludf.DUMMYFUNCTION("""COMPUTED_VALUE"""),"* OZC4O *")</f>
        <v>* OZC4O *</v>
      </c>
      <c r="AM357" s="59">
        <f>IFERROR(__xludf.DUMMYFUNCTION("""COMPUTED_VALUE"""),110.1)</f>
        <v>110.1</v>
      </c>
    </row>
    <row r="358">
      <c r="A358" s="51"/>
      <c r="B358" s="51"/>
      <c r="C358" s="52"/>
      <c r="D358" s="51"/>
      <c r="E358" s="53"/>
      <c r="F358" s="54"/>
      <c r="G358" s="51"/>
      <c r="H358" s="51"/>
      <c r="I358" s="55"/>
      <c r="J358" s="56"/>
      <c r="K358" s="46"/>
      <c r="L358" s="46"/>
      <c r="M358" s="47"/>
      <c r="N358" s="46"/>
      <c r="O358" s="57"/>
      <c r="P358" s="46"/>
      <c r="Q358" s="46"/>
      <c r="R358" s="57"/>
      <c r="S358" s="7"/>
      <c r="T358" s="54"/>
      <c r="U358" s="58"/>
      <c r="V358" s="47"/>
      <c r="W358" s="18"/>
      <c r="X358" s="46"/>
      <c r="Y358" s="9"/>
      <c r="Z358" s="46"/>
      <c r="AA358" s="7"/>
      <c r="AB358" s="46"/>
      <c r="AC358" s="47"/>
      <c r="AD358" s="7"/>
      <c r="AE358" s="47"/>
      <c r="AF358" s="18"/>
      <c r="AG358" s="26"/>
      <c r="AH358" s="34"/>
      <c r="AI358" s="34"/>
      <c r="AJ358" s="18"/>
      <c r="AK358" s="48"/>
      <c r="AL358" s="26" t="str">
        <f>IFERROR(__xludf.DUMMYFUNCTION("""COMPUTED_VALUE"""),"* OZC5O *")</f>
        <v>* OZC5O *</v>
      </c>
      <c r="AM358" s="59">
        <f>IFERROR(__xludf.DUMMYFUNCTION("""COMPUTED_VALUE"""),99.01)</f>
        <v>99.01</v>
      </c>
    </row>
    <row r="359">
      <c r="A359" s="51"/>
      <c r="B359" s="51"/>
      <c r="C359" s="52"/>
      <c r="D359" s="51"/>
      <c r="E359" s="53"/>
      <c r="F359" s="54"/>
      <c r="G359" s="51"/>
      <c r="H359" s="51"/>
      <c r="I359" s="55"/>
      <c r="J359" s="56"/>
      <c r="K359" s="46"/>
      <c r="L359" s="46"/>
      <c r="M359" s="47"/>
      <c r="N359" s="46"/>
      <c r="O359" s="57"/>
      <c r="P359" s="46"/>
      <c r="Q359" s="46"/>
      <c r="R359" s="57"/>
      <c r="S359" s="7"/>
      <c r="T359" s="54"/>
      <c r="U359" s="58"/>
      <c r="V359" s="47"/>
      <c r="W359" s="18"/>
      <c r="X359" s="46"/>
      <c r="Y359" s="9"/>
      <c r="Z359" s="46"/>
      <c r="AA359" s="7"/>
      <c r="AB359" s="46"/>
      <c r="AC359" s="47"/>
      <c r="AD359" s="7"/>
      <c r="AE359" s="47"/>
      <c r="AF359" s="18"/>
      <c r="AG359" s="26"/>
      <c r="AH359" s="34"/>
      <c r="AI359" s="34"/>
      <c r="AJ359" s="18"/>
      <c r="AK359" s="48"/>
      <c r="AL359" s="26" t="str">
        <f>IFERROR(__xludf.DUMMYFUNCTION("""COMPUTED_VALUE"""),"* PEC2D *")</f>
        <v>* PEC2D *</v>
      </c>
      <c r="AM359" s="59">
        <f>IFERROR(__xludf.DUMMYFUNCTION("""COMPUTED_VALUE"""),100.0)</f>
        <v>100</v>
      </c>
    </row>
    <row r="360">
      <c r="A360" s="51"/>
      <c r="B360" s="51"/>
      <c r="C360" s="52"/>
      <c r="D360" s="51"/>
      <c r="E360" s="53"/>
      <c r="F360" s="54"/>
      <c r="G360" s="51"/>
      <c r="H360" s="51"/>
      <c r="I360" s="55"/>
      <c r="J360" s="56"/>
      <c r="K360" s="46"/>
      <c r="L360" s="46"/>
      <c r="M360" s="47"/>
      <c r="N360" s="46"/>
      <c r="O360" s="57"/>
      <c r="P360" s="46"/>
      <c r="Q360" s="46"/>
      <c r="R360" s="57"/>
      <c r="S360" s="7"/>
      <c r="T360" s="54"/>
      <c r="U360" s="58"/>
      <c r="V360" s="47"/>
      <c r="W360" s="18"/>
      <c r="X360" s="46"/>
      <c r="Y360" s="9"/>
      <c r="Z360" s="46"/>
      <c r="AA360" s="7"/>
      <c r="AB360" s="46"/>
      <c r="AC360" s="47"/>
      <c r="AD360" s="7"/>
      <c r="AE360" s="47"/>
      <c r="AF360" s="18"/>
      <c r="AG360" s="26"/>
      <c r="AH360" s="34"/>
      <c r="AI360" s="34"/>
      <c r="AJ360" s="18"/>
      <c r="AK360" s="48"/>
      <c r="AL360" s="26" t="str">
        <f>IFERROR(__xludf.DUMMYFUNCTION("""COMPUTED_VALUE"""),"* PEC2O *")</f>
        <v>* PEC2O *</v>
      </c>
      <c r="AM360" s="59">
        <f>IFERROR(__xludf.DUMMYFUNCTION("""COMPUTED_VALUE"""),24680.0)</f>
        <v>24680</v>
      </c>
    </row>
    <row r="361">
      <c r="A361" s="51"/>
      <c r="B361" s="51"/>
      <c r="C361" s="52"/>
      <c r="D361" s="51"/>
      <c r="E361" s="53"/>
      <c r="F361" s="54"/>
      <c r="G361" s="51"/>
      <c r="H361" s="51"/>
      <c r="I361" s="55"/>
      <c r="J361" s="56"/>
      <c r="K361" s="46"/>
      <c r="L361" s="46"/>
      <c r="M361" s="47"/>
      <c r="N361" s="46"/>
      <c r="O361" s="57"/>
      <c r="P361" s="46"/>
      <c r="Q361" s="46"/>
      <c r="R361" s="57"/>
      <c r="S361" s="7"/>
      <c r="T361" s="54"/>
      <c r="U361" s="58"/>
      <c r="V361" s="47"/>
      <c r="W361" s="18"/>
      <c r="X361" s="46"/>
      <c r="Y361" s="9"/>
      <c r="Z361" s="46"/>
      <c r="AA361" s="7"/>
      <c r="AB361" s="46"/>
      <c r="AC361" s="47"/>
      <c r="AD361" s="7"/>
      <c r="AE361" s="47"/>
      <c r="AF361" s="18"/>
      <c r="AG361" s="26"/>
      <c r="AH361" s="34"/>
      <c r="AI361" s="34"/>
      <c r="AJ361" s="18"/>
      <c r="AK361" s="48"/>
      <c r="AL361" s="26" t="str">
        <f>IFERROR(__xludf.DUMMYFUNCTION("""COMPUTED_VALUE"""),"* PEC6O *")</f>
        <v>* PEC6O *</v>
      </c>
      <c r="AM361" s="59">
        <f>IFERROR(__xludf.DUMMYFUNCTION("""COMPUTED_VALUE"""),100.0)</f>
        <v>100</v>
      </c>
    </row>
    <row r="362">
      <c r="A362" s="51"/>
      <c r="B362" s="51"/>
      <c r="C362" s="52"/>
      <c r="D362" s="51"/>
      <c r="E362" s="53"/>
      <c r="F362" s="54"/>
      <c r="G362" s="51"/>
      <c r="H362" s="51"/>
      <c r="I362" s="55"/>
      <c r="J362" s="56"/>
      <c r="K362" s="46"/>
      <c r="L362" s="46"/>
      <c r="M362" s="47"/>
      <c r="N362" s="46"/>
      <c r="O362" s="57"/>
      <c r="P362" s="46"/>
      <c r="Q362" s="46"/>
      <c r="R362" s="57"/>
      <c r="S362" s="7"/>
      <c r="T362" s="54"/>
      <c r="U362" s="58"/>
      <c r="V362" s="47"/>
      <c r="W362" s="18"/>
      <c r="X362" s="46"/>
      <c r="Y362" s="9"/>
      <c r="Z362" s="46"/>
      <c r="AA362" s="7"/>
      <c r="AB362" s="46"/>
      <c r="AC362" s="47"/>
      <c r="AD362" s="7"/>
      <c r="AE362" s="47"/>
      <c r="AF362" s="18"/>
      <c r="AG362" s="26"/>
      <c r="AH362" s="34"/>
      <c r="AI362" s="34"/>
      <c r="AJ362" s="18"/>
      <c r="AK362" s="48"/>
      <c r="AL362" s="26" t="str">
        <f>IFERROR(__xludf.DUMMYFUNCTION("""COMPUTED_VALUE"""),"* PEC8O *")</f>
        <v>* PEC8O *</v>
      </c>
      <c r="AM362" s="59">
        <f>IFERROR(__xludf.DUMMYFUNCTION("""COMPUTED_VALUE"""),85000.0)</f>
        <v>85000</v>
      </c>
    </row>
    <row r="363">
      <c r="A363" s="51"/>
      <c r="B363" s="51"/>
      <c r="C363" s="52"/>
      <c r="D363" s="51"/>
      <c r="E363" s="53"/>
      <c r="F363" s="54"/>
      <c r="G363" s="51"/>
      <c r="H363" s="51"/>
      <c r="I363" s="55"/>
      <c r="J363" s="56"/>
      <c r="K363" s="46"/>
      <c r="L363" s="46"/>
      <c r="M363" s="47"/>
      <c r="N363" s="46"/>
      <c r="O363" s="57"/>
      <c r="P363" s="46"/>
      <c r="Q363" s="46"/>
      <c r="R363" s="57"/>
      <c r="S363" s="7"/>
      <c r="T363" s="54"/>
      <c r="U363" s="58"/>
      <c r="V363" s="47"/>
      <c r="W363" s="18"/>
      <c r="X363" s="46"/>
      <c r="Y363" s="9"/>
      <c r="Z363" s="46"/>
      <c r="AA363" s="7"/>
      <c r="AB363" s="46"/>
      <c r="AC363" s="47"/>
      <c r="AD363" s="7"/>
      <c r="AE363" s="47"/>
      <c r="AF363" s="18"/>
      <c r="AG363" s="26"/>
      <c r="AH363" s="34"/>
      <c r="AI363" s="34"/>
      <c r="AJ363" s="18"/>
      <c r="AK363" s="48"/>
      <c r="AL363" s="26" t="str">
        <f>IFERROR(__xludf.DUMMYFUNCTION("""COMPUTED_VALUE"""),"* PECAD *")</f>
        <v>* PECAD *</v>
      </c>
      <c r="AM363" s="59">
        <f>IFERROR(__xludf.DUMMYFUNCTION("""COMPUTED_VALUE"""),50.0)</f>
        <v>50</v>
      </c>
    </row>
    <row r="364">
      <c r="A364" s="51"/>
      <c r="B364" s="51"/>
      <c r="C364" s="52"/>
      <c r="D364" s="51"/>
      <c r="E364" s="53"/>
      <c r="F364" s="54"/>
      <c r="G364" s="51"/>
      <c r="H364" s="51"/>
      <c r="I364" s="55"/>
      <c r="J364" s="56"/>
      <c r="K364" s="46"/>
      <c r="L364" s="46"/>
      <c r="M364" s="47"/>
      <c r="N364" s="46"/>
      <c r="O364" s="57"/>
      <c r="P364" s="46"/>
      <c r="Q364" s="46"/>
      <c r="R364" s="57"/>
      <c r="S364" s="7"/>
      <c r="T364" s="54"/>
      <c r="U364" s="58"/>
      <c r="V364" s="47"/>
      <c r="W364" s="18"/>
      <c r="X364" s="46"/>
      <c r="Y364" s="9"/>
      <c r="Z364" s="46"/>
      <c r="AA364" s="7"/>
      <c r="AB364" s="46"/>
      <c r="AC364" s="47"/>
      <c r="AD364" s="7"/>
      <c r="AE364" s="47"/>
      <c r="AF364" s="18"/>
      <c r="AG364" s="26"/>
      <c r="AH364" s="34"/>
      <c r="AI364" s="34"/>
      <c r="AJ364" s="18"/>
      <c r="AK364" s="48"/>
      <c r="AL364" s="26" t="str">
        <f>IFERROR(__xludf.DUMMYFUNCTION("""COMPUTED_VALUE"""),"* PECBD *")</f>
        <v>* PECBD *</v>
      </c>
      <c r="AM364" s="59">
        <f>IFERROR(__xludf.DUMMYFUNCTION("""COMPUTED_VALUE"""),52.0)</f>
        <v>52</v>
      </c>
    </row>
    <row r="365">
      <c r="A365" s="51"/>
      <c r="B365" s="51"/>
      <c r="C365" s="52"/>
      <c r="D365" s="51"/>
      <c r="E365" s="53"/>
      <c r="F365" s="54"/>
      <c r="G365" s="51"/>
      <c r="H365" s="51"/>
      <c r="I365" s="55"/>
      <c r="J365" s="56"/>
      <c r="K365" s="46"/>
      <c r="L365" s="46"/>
      <c r="M365" s="47"/>
      <c r="N365" s="46"/>
      <c r="O365" s="57"/>
      <c r="P365" s="46"/>
      <c r="Q365" s="46"/>
      <c r="R365" s="57"/>
      <c r="S365" s="7"/>
      <c r="T365" s="54"/>
      <c r="U365" s="58"/>
      <c r="V365" s="47"/>
      <c r="W365" s="18"/>
      <c r="X365" s="46"/>
      <c r="Y365" s="9"/>
      <c r="Z365" s="46"/>
      <c r="AA365" s="7"/>
      <c r="AB365" s="46"/>
      <c r="AC365" s="47"/>
      <c r="AD365" s="7"/>
      <c r="AE365" s="47"/>
      <c r="AF365" s="18"/>
      <c r="AG365" s="26"/>
      <c r="AH365" s="34"/>
      <c r="AI365" s="34"/>
      <c r="AJ365" s="18"/>
      <c r="AK365" s="48"/>
      <c r="AL365" s="26" t="str">
        <f>IFERROR(__xludf.DUMMYFUNCTION("""COMPUTED_VALUE"""),"* PECBO *")</f>
        <v>* PECBO *</v>
      </c>
      <c r="AM365" s="59">
        <f>IFERROR(__xludf.DUMMYFUNCTION("""COMPUTED_VALUE"""),73000.0)</f>
        <v>73000</v>
      </c>
    </row>
    <row r="366">
      <c r="A366" s="51"/>
      <c r="B366" s="51"/>
      <c r="C366" s="52"/>
      <c r="D366" s="51"/>
      <c r="E366" s="53"/>
      <c r="F366" s="54"/>
      <c r="G366" s="51"/>
      <c r="H366" s="51"/>
      <c r="I366" s="55"/>
      <c r="J366" s="56"/>
      <c r="K366" s="46"/>
      <c r="L366" s="46"/>
      <c r="M366" s="47"/>
      <c r="N366" s="46"/>
      <c r="O366" s="57"/>
      <c r="P366" s="46"/>
      <c r="Q366" s="46"/>
      <c r="R366" s="57"/>
      <c r="S366" s="7"/>
      <c r="T366" s="54"/>
      <c r="U366" s="58"/>
      <c r="V366" s="47"/>
      <c r="W366" s="18"/>
      <c r="X366" s="46"/>
      <c r="Y366" s="9"/>
      <c r="Z366" s="46"/>
      <c r="AA366" s="7"/>
      <c r="AB366" s="46"/>
      <c r="AC366" s="47"/>
      <c r="AD366" s="7"/>
      <c r="AE366" s="47"/>
      <c r="AF366" s="18"/>
      <c r="AG366" s="26"/>
      <c r="AH366" s="34"/>
      <c r="AI366" s="34"/>
      <c r="AJ366" s="18"/>
      <c r="AK366" s="48"/>
      <c r="AL366" s="26" t="str">
        <f>IFERROR(__xludf.DUMMYFUNCTION("""COMPUTED_VALUE"""),"* PECDO *")</f>
        <v>* PECDO *</v>
      </c>
      <c r="AM366" s="59">
        <f>IFERROR(__xludf.DUMMYFUNCTION("""COMPUTED_VALUE"""),107000.0)</f>
        <v>107000</v>
      </c>
    </row>
    <row r="367">
      <c r="A367" s="51"/>
      <c r="B367" s="51"/>
      <c r="C367" s="52"/>
      <c r="D367" s="51"/>
      <c r="E367" s="53"/>
      <c r="F367" s="54"/>
      <c r="G367" s="51"/>
      <c r="H367" s="51"/>
      <c r="I367" s="55"/>
      <c r="J367" s="56"/>
      <c r="K367" s="46"/>
      <c r="L367" s="46"/>
      <c r="M367" s="47"/>
      <c r="N367" s="46"/>
      <c r="O367" s="57"/>
      <c r="P367" s="46"/>
      <c r="Q367" s="46"/>
      <c r="R367" s="57"/>
      <c r="S367" s="7"/>
      <c r="T367" s="54"/>
      <c r="U367" s="58"/>
      <c r="V367" s="47"/>
      <c r="W367" s="18"/>
      <c r="X367" s="46"/>
      <c r="Y367" s="9"/>
      <c r="Z367" s="46"/>
      <c r="AA367" s="7"/>
      <c r="AB367" s="46"/>
      <c r="AC367" s="47"/>
      <c r="AD367" s="7"/>
      <c r="AE367" s="47"/>
      <c r="AF367" s="18"/>
      <c r="AG367" s="26"/>
      <c r="AH367" s="34"/>
      <c r="AI367" s="34"/>
      <c r="AJ367" s="18"/>
      <c r="AK367" s="48"/>
      <c r="AL367" s="26" t="str">
        <f>IFERROR(__xludf.DUMMYFUNCTION("""COMPUTED_VALUE"""),"* PECGD *")</f>
        <v>* PECGD *</v>
      </c>
      <c r="AM367" s="59">
        <f>IFERROR(__xludf.DUMMYFUNCTION("""COMPUTED_VALUE"""),62.76)</f>
        <v>62.76</v>
      </c>
    </row>
    <row r="368">
      <c r="A368" s="51"/>
      <c r="B368" s="51"/>
      <c r="C368" s="52"/>
      <c r="D368" s="51"/>
      <c r="E368" s="53"/>
      <c r="F368" s="54"/>
      <c r="G368" s="51"/>
      <c r="H368" s="51"/>
      <c r="I368" s="55"/>
      <c r="J368" s="56"/>
      <c r="K368" s="46"/>
      <c r="L368" s="46"/>
      <c r="M368" s="47"/>
      <c r="N368" s="46"/>
      <c r="O368" s="57"/>
      <c r="P368" s="46"/>
      <c r="Q368" s="46"/>
      <c r="R368" s="57"/>
      <c r="S368" s="7"/>
      <c r="T368" s="54"/>
      <c r="U368" s="58"/>
      <c r="V368" s="47"/>
      <c r="W368" s="18"/>
      <c r="X368" s="46"/>
      <c r="Y368" s="9"/>
      <c r="Z368" s="46"/>
      <c r="AA368" s="7"/>
      <c r="AB368" s="46"/>
      <c r="AC368" s="47"/>
      <c r="AD368" s="7"/>
      <c r="AE368" s="47"/>
      <c r="AF368" s="18"/>
      <c r="AG368" s="26"/>
      <c r="AH368" s="34"/>
      <c r="AI368" s="34"/>
      <c r="AJ368" s="18"/>
      <c r="AK368" s="48"/>
      <c r="AL368" s="26" t="str">
        <f>IFERROR(__xludf.DUMMYFUNCTION("""COMPUTED_VALUE"""),"* PECGO *")</f>
        <v>* PECGO *</v>
      </c>
      <c r="AM368" s="59">
        <f>IFERROR(__xludf.DUMMYFUNCTION("""COMPUTED_VALUE"""),80060.0)</f>
        <v>80060</v>
      </c>
    </row>
    <row r="369">
      <c r="A369" s="51"/>
      <c r="B369" s="51"/>
      <c r="C369" s="52"/>
      <c r="D369" s="51"/>
      <c r="E369" s="53"/>
      <c r="F369" s="54"/>
      <c r="G369" s="51"/>
      <c r="H369" s="51"/>
      <c r="I369" s="55"/>
      <c r="J369" s="56"/>
      <c r="K369" s="46"/>
      <c r="L369" s="46"/>
      <c r="M369" s="47"/>
      <c r="N369" s="46"/>
      <c r="O369" s="57"/>
      <c r="P369" s="46"/>
      <c r="Q369" s="46"/>
      <c r="R369" s="57"/>
      <c r="S369" s="7"/>
      <c r="T369" s="54"/>
      <c r="U369" s="58"/>
      <c r="V369" s="47"/>
      <c r="W369" s="18"/>
      <c r="X369" s="46"/>
      <c r="Y369" s="9"/>
      <c r="Z369" s="46"/>
      <c r="AA369" s="7"/>
      <c r="AB369" s="46"/>
      <c r="AC369" s="47"/>
      <c r="AD369" s="7"/>
      <c r="AE369" s="47"/>
      <c r="AF369" s="18"/>
      <c r="AG369" s="26"/>
      <c r="AH369" s="34"/>
      <c r="AI369" s="34"/>
      <c r="AJ369" s="18"/>
      <c r="AK369" s="48"/>
      <c r="AL369" s="26" t="str">
        <f>IFERROR(__xludf.DUMMYFUNCTION("""COMPUTED_VALUE"""),"* PECID *")</f>
        <v>* PECID *</v>
      </c>
      <c r="AM369" s="59">
        <f>IFERROR(__xludf.DUMMYFUNCTION("""COMPUTED_VALUE"""),84.9)</f>
        <v>84.9</v>
      </c>
    </row>
    <row r="370">
      <c r="A370" s="51"/>
      <c r="B370" s="51"/>
      <c r="C370" s="52"/>
      <c r="D370" s="51"/>
      <c r="E370" s="53"/>
      <c r="F370" s="54"/>
      <c r="G370" s="51"/>
      <c r="H370" s="51"/>
      <c r="I370" s="55"/>
      <c r="J370" s="56"/>
      <c r="K370" s="46"/>
      <c r="L370" s="46"/>
      <c r="M370" s="47"/>
      <c r="N370" s="46"/>
      <c r="O370" s="57"/>
      <c r="P370" s="46"/>
      <c r="Q370" s="46"/>
      <c r="R370" s="57"/>
      <c r="S370" s="7"/>
      <c r="T370" s="54"/>
      <c r="U370" s="58"/>
      <c r="V370" s="47"/>
      <c r="W370" s="18"/>
      <c r="X370" s="46"/>
      <c r="Y370" s="9"/>
      <c r="Z370" s="46"/>
      <c r="AA370" s="7"/>
      <c r="AB370" s="46"/>
      <c r="AC370" s="47"/>
      <c r="AD370" s="7"/>
      <c r="AE370" s="47"/>
      <c r="AF370" s="18"/>
      <c r="AG370" s="26"/>
      <c r="AH370" s="34"/>
      <c r="AI370" s="34"/>
      <c r="AJ370" s="18"/>
      <c r="AK370" s="48"/>
      <c r="AL370" s="26" t="str">
        <f>IFERROR(__xludf.DUMMYFUNCTION("""COMPUTED_VALUE"""),"* PECIO *")</f>
        <v>* PECIO *</v>
      </c>
      <c r="AM370" s="59">
        <f>IFERROR(__xludf.DUMMYFUNCTION("""COMPUTED_VALUE"""),70040.0)</f>
        <v>70040</v>
      </c>
    </row>
    <row r="371">
      <c r="A371" s="51"/>
      <c r="B371" s="51"/>
      <c r="C371" s="52"/>
      <c r="D371" s="51"/>
      <c r="E371" s="53"/>
      <c r="F371" s="54"/>
      <c r="G371" s="51"/>
      <c r="H371" s="51"/>
      <c r="I371" s="55"/>
      <c r="J371" s="56"/>
      <c r="K371" s="46"/>
      <c r="L371" s="46"/>
      <c r="M371" s="47"/>
      <c r="N371" s="46"/>
      <c r="O371" s="57"/>
      <c r="P371" s="46"/>
      <c r="Q371" s="46"/>
      <c r="R371" s="57"/>
      <c r="S371" s="7"/>
      <c r="T371" s="54"/>
      <c r="U371" s="58"/>
      <c r="V371" s="47"/>
      <c r="W371" s="18"/>
      <c r="X371" s="46"/>
      <c r="Y371" s="9"/>
      <c r="Z371" s="46"/>
      <c r="AA371" s="7"/>
      <c r="AB371" s="46"/>
      <c r="AC371" s="47"/>
      <c r="AD371" s="7"/>
      <c r="AE371" s="47"/>
      <c r="AF371" s="18"/>
      <c r="AG371" s="26"/>
      <c r="AH371" s="34"/>
      <c r="AI371" s="34"/>
      <c r="AJ371" s="18"/>
      <c r="AK371" s="48"/>
      <c r="AL371" s="26" t="str">
        <f>IFERROR(__xludf.DUMMYFUNCTION("""COMPUTED_VALUE"""),"* PECKO *")</f>
        <v>* PECKO *</v>
      </c>
      <c r="AM371" s="59">
        <f>IFERROR(__xludf.DUMMYFUNCTION("""COMPUTED_VALUE"""),100.0)</f>
        <v>100</v>
      </c>
    </row>
    <row r="372">
      <c r="A372" s="51"/>
      <c r="B372" s="51"/>
      <c r="C372" s="52"/>
      <c r="D372" s="51"/>
      <c r="E372" s="53"/>
      <c r="F372" s="54"/>
      <c r="G372" s="51"/>
      <c r="H372" s="51"/>
      <c r="I372" s="55"/>
      <c r="J372" s="56"/>
      <c r="K372" s="46"/>
      <c r="L372" s="46"/>
      <c r="M372" s="47"/>
      <c r="N372" s="46"/>
      <c r="O372" s="57"/>
      <c r="P372" s="46"/>
      <c r="Q372" s="46"/>
      <c r="R372" s="57"/>
      <c r="S372" s="7"/>
      <c r="T372" s="54"/>
      <c r="U372" s="58"/>
      <c r="V372" s="47"/>
      <c r="W372" s="18"/>
      <c r="X372" s="46"/>
      <c r="Y372" s="9"/>
      <c r="Z372" s="46"/>
      <c r="AA372" s="7"/>
      <c r="AB372" s="46"/>
      <c r="AC372" s="47"/>
      <c r="AD372" s="7"/>
      <c r="AE372" s="47"/>
      <c r="AF372" s="18"/>
      <c r="AG372" s="26"/>
      <c r="AH372" s="34"/>
      <c r="AI372" s="34"/>
      <c r="AJ372" s="18"/>
      <c r="AK372" s="48"/>
      <c r="AL372" s="26" t="str">
        <f>IFERROR(__xludf.DUMMYFUNCTION("""COMPUTED_VALUE"""),"* PECMC *")</f>
        <v>* PECMC *</v>
      </c>
      <c r="AM372" s="59">
        <f>IFERROR(__xludf.DUMMYFUNCTION("""COMPUTED_VALUE"""),100.0)</f>
        <v>100</v>
      </c>
    </row>
    <row r="373">
      <c r="A373" s="51"/>
      <c r="B373" s="51"/>
      <c r="C373" s="52"/>
      <c r="D373" s="51"/>
      <c r="E373" s="53"/>
      <c r="F373" s="54"/>
      <c r="G373" s="51"/>
      <c r="H373" s="51"/>
      <c r="I373" s="55"/>
      <c r="J373" s="56"/>
      <c r="K373" s="46"/>
      <c r="L373" s="46"/>
      <c r="M373" s="47"/>
      <c r="N373" s="46"/>
      <c r="O373" s="57"/>
      <c r="P373" s="46"/>
      <c r="Q373" s="46"/>
      <c r="R373" s="57"/>
      <c r="S373" s="7"/>
      <c r="T373" s="54"/>
      <c r="U373" s="58"/>
      <c r="V373" s="47"/>
      <c r="W373" s="18"/>
      <c r="X373" s="46"/>
      <c r="Y373" s="9"/>
      <c r="Z373" s="46"/>
      <c r="AA373" s="7"/>
      <c r="AB373" s="46"/>
      <c r="AC373" s="47"/>
      <c r="AD373" s="7"/>
      <c r="AE373" s="47"/>
      <c r="AF373" s="18"/>
      <c r="AG373" s="26"/>
      <c r="AH373" s="34"/>
      <c r="AI373" s="34"/>
      <c r="AJ373" s="18"/>
      <c r="AK373" s="48"/>
      <c r="AL373" s="26" t="str">
        <f>IFERROR(__xludf.DUMMYFUNCTION("""COMPUTED_VALUE"""),"* PECMD *")</f>
        <v>* PECMD *</v>
      </c>
      <c r="AM373" s="59">
        <f>IFERROR(__xludf.DUMMYFUNCTION("""COMPUTED_VALUE"""),100.0)</f>
        <v>100</v>
      </c>
    </row>
    <row r="374">
      <c r="A374" s="51"/>
      <c r="B374" s="51"/>
      <c r="C374" s="52"/>
      <c r="D374" s="51"/>
      <c r="E374" s="53"/>
      <c r="F374" s="54"/>
      <c r="G374" s="51"/>
      <c r="H374" s="51"/>
      <c r="I374" s="55"/>
      <c r="J374" s="56"/>
      <c r="K374" s="46"/>
      <c r="L374" s="46"/>
      <c r="M374" s="47"/>
      <c r="N374" s="46"/>
      <c r="O374" s="57"/>
      <c r="P374" s="46"/>
      <c r="Q374" s="46"/>
      <c r="R374" s="57"/>
      <c r="S374" s="7"/>
      <c r="T374" s="54"/>
      <c r="U374" s="58"/>
      <c r="V374" s="47"/>
      <c r="W374" s="18"/>
      <c r="X374" s="46"/>
      <c r="Y374" s="9"/>
      <c r="Z374" s="46"/>
      <c r="AA374" s="7"/>
      <c r="AB374" s="46"/>
      <c r="AC374" s="47"/>
      <c r="AD374" s="7"/>
      <c r="AE374" s="47"/>
      <c r="AF374" s="18"/>
      <c r="AG374" s="26"/>
      <c r="AH374" s="34"/>
      <c r="AI374" s="34"/>
      <c r="AJ374" s="18"/>
      <c r="AK374" s="48"/>
      <c r="AL374" s="26" t="str">
        <f>IFERROR(__xludf.DUMMYFUNCTION("""COMPUTED_VALUE"""),"* PECMO *")</f>
        <v>* PECMO *</v>
      </c>
      <c r="AM374" s="59">
        <f>IFERROR(__xludf.DUMMYFUNCTION("""COMPUTED_VALUE"""),64000.0)</f>
        <v>64000</v>
      </c>
    </row>
    <row r="375">
      <c r="A375" s="51"/>
      <c r="B375" s="51"/>
      <c r="C375" s="52"/>
      <c r="D375" s="51"/>
      <c r="E375" s="53"/>
      <c r="F375" s="54"/>
      <c r="G375" s="51"/>
      <c r="H375" s="51"/>
      <c r="I375" s="55"/>
      <c r="J375" s="56"/>
      <c r="K375" s="46"/>
      <c r="L375" s="46"/>
      <c r="M375" s="47"/>
      <c r="N375" s="46"/>
      <c r="O375" s="57"/>
      <c r="P375" s="46"/>
      <c r="Q375" s="46"/>
      <c r="R375" s="57"/>
      <c r="S375" s="7"/>
      <c r="T375" s="54"/>
      <c r="U375" s="58"/>
      <c r="V375" s="47"/>
      <c r="W375" s="18"/>
      <c r="X375" s="46"/>
      <c r="Y375" s="9"/>
      <c r="Z375" s="46"/>
      <c r="AA375" s="7"/>
      <c r="AB375" s="46"/>
      <c r="AC375" s="47"/>
      <c r="AD375" s="7"/>
      <c r="AE375" s="47"/>
      <c r="AF375" s="18"/>
      <c r="AG375" s="26"/>
      <c r="AH375" s="34"/>
      <c r="AI375" s="34"/>
      <c r="AJ375" s="18"/>
      <c r="AK375" s="48"/>
      <c r="AL375" s="26" t="str">
        <f>IFERROR(__xludf.DUMMYFUNCTION("""COMPUTED_VALUE"""),"* PECNC *")</f>
        <v>* PECNC *</v>
      </c>
      <c r="AM375" s="59">
        <f>IFERROR(__xludf.DUMMYFUNCTION("""COMPUTED_VALUE"""),100.0)</f>
        <v>100</v>
      </c>
    </row>
    <row r="376">
      <c r="A376" s="51"/>
      <c r="B376" s="51"/>
      <c r="C376" s="52"/>
      <c r="D376" s="51"/>
      <c r="E376" s="53"/>
      <c r="F376" s="54"/>
      <c r="G376" s="51"/>
      <c r="H376" s="51"/>
      <c r="I376" s="55"/>
      <c r="J376" s="56"/>
      <c r="K376" s="46"/>
      <c r="L376" s="46"/>
      <c r="M376" s="47"/>
      <c r="N376" s="46"/>
      <c r="O376" s="57"/>
      <c r="P376" s="46"/>
      <c r="Q376" s="46"/>
      <c r="R376" s="57"/>
      <c r="S376" s="7"/>
      <c r="T376" s="54"/>
      <c r="U376" s="58"/>
      <c r="V376" s="47"/>
      <c r="W376" s="18"/>
      <c r="X376" s="46"/>
      <c r="Y376" s="9"/>
      <c r="Z376" s="46"/>
      <c r="AA376" s="7"/>
      <c r="AB376" s="46"/>
      <c r="AC376" s="47"/>
      <c r="AD376" s="7"/>
      <c r="AE376" s="47"/>
      <c r="AF376" s="18"/>
      <c r="AG376" s="26"/>
      <c r="AH376" s="34"/>
      <c r="AI376" s="34"/>
      <c r="AJ376" s="18"/>
      <c r="AK376" s="48"/>
      <c r="AL376" s="26" t="str">
        <f>IFERROR(__xludf.DUMMYFUNCTION("""COMPUTED_VALUE"""),"* PECND *")</f>
        <v>* PECND *</v>
      </c>
      <c r="AM376" s="59">
        <f>IFERROR(__xludf.DUMMYFUNCTION("""COMPUTED_VALUE"""),57.57)</f>
        <v>57.57</v>
      </c>
    </row>
    <row r="377">
      <c r="A377" s="51"/>
      <c r="B377" s="51"/>
      <c r="C377" s="52"/>
      <c r="D377" s="51"/>
      <c r="E377" s="53"/>
      <c r="F377" s="54"/>
      <c r="G377" s="51"/>
      <c r="H377" s="51"/>
      <c r="I377" s="55"/>
      <c r="J377" s="56"/>
      <c r="K377" s="46"/>
      <c r="L377" s="46"/>
      <c r="M377" s="47"/>
      <c r="N377" s="46"/>
      <c r="O377" s="57"/>
      <c r="P377" s="46"/>
      <c r="Q377" s="46"/>
      <c r="R377" s="57"/>
      <c r="S377" s="7"/>
      <c r="T377" s="54"/>
      <c r="U377" s="58"/>
      <c r="V377" s="47"/>
      <c r="W377" s="18"/>
      <c r="X377" s="46"/>
      <c r="Y377" s="9"/>
      <c r="Z377" s="46"/>
      <c r="AA377" s="7"/>
      <c r="AB377" s="46"/>
      <c r="AC377" s="47"/>
      <c r="AD377" s="7"/>
      <c r="AE377" s="47"/>
      <c r="AF377" s="18"/>
      <c r="AG377" s="26"/>
      <c r="AH377" s="34"/>
      <c r="AI377" s="34"/>
      <c r="AJ377" s="18"/>
      <c r="AK377" s="48"/>
      <c r="AL377" s="26" t="str">
        <f>IFERROR(__xludf.DUMMYFUNCTION("""COMPUTED_VALUE"""),"* PECNO *")</f>
        <v>* PECNO *</v>
      </c>
      <c r="AM377" s="59">
        <f>IFERROR(__xludf.DUMMYFUNCTION("""COMPUTED_VALUE"""),84010.0)</f>
        <v>84010</v>
      </c>
    </row>
    <row r="378">
      <c r="A378" s="51"/>
      <c r="B378" s="51"/>
      <c r="C378" s="52"/>
      <c r="D378" s="51"/>
      <c r="E378" s="53"/>
      <c r="F378" s="54"/>
      <c r="G378" s="51"/>
      <c r="H378" s="51"/>
      <c r="I378" s="55"/>
      <c r="J378" s="56"/>
      <c r="K378" s="46"/>
      <c r="L378" s="46"/>
      <c r="M378" s="47"/>
      <c r="N378" s="46"/>
      <c r="O378" s="57"/>
      <c r="P378" s="46"/>
      <c r="Q378" s="46"/>
      <c r="R378" s="57"/>
      <c r="S378" s="7"/>
      <c r="T378" s="54"/>
      <c r="U378" s="58"/>
      <c r="V378" s="47"/>
      <c r="W378" s="18"/>
      <c r="X378" s="46"/>
      <c r="Y378" s="9"/>
      <c r="Z378" s="46"/>
      <c r="AA378" s="7"/>
      <c r="AB378" s="46"/>
      <c r="AC378" s="47"/>
      <c r="AD378" s="7"/>
      <c r="AE378" s="47"/>
      <c r="AF378" s="18"/>
      <c r="AG378" s="26"/>
      <c r="AH378" s="34"/>
      <c r="AI378" s="34"/>
      <c r="AJ378" s="18"/>
      <c r="AK378" s="48"/>
      <c r="AL378" s="26" t="str">
        <f>IFERROR(__xludf.DUMMYFUNCTION("""COMPUTED_VALUE"""),"* PFC2D *")</f>
        <v>* PFC2D *</v>
      </c>
      <c r="AM378" s="59">
        <f>IFERROR(__xludf.DUMMYFUNCTION("""COMPUTED_VALUE"""),102.5)</f>
        <v>102.5</v>
      </c>
    </row>
    <row r="379">
      <c r="A379" s="51"/>
      <c r="B379" s="51"/>
      <c r="C379" s="52"/>
      <c r="D379" s="51"/>
      <c r="E379" s="53"/>
      <c r="F379" s="54"/>
      <c r="G379" s="51"/>
      <c r="H379" s="51"/>
      <c r="I379" s="55"/>
      <c r="J379" s="56"/>
      <c r="K379" s="46"/>
      <c r="L379" s="46"/>
      <c r="M379" s="47"/>
      <c r="N379" s="46"/>
      <c r="O379" s="57"/>
      <c r="P379" s="46"/>
      <c r="Q379" s="46"/>
      <c r="R379" s="57"/>
      <c r="S379" s="7"/>
      <c r="T379" s="54"/>
      <c r="U379" s="58"/>
      <c r="V379" s="47"/>
      <c r="W379" s="18"/>
      <c r="X379" s="46"/>
      <c r="Y379" s="9"/>
      <c r="Z379" s="46"/>
      <c r="AA379" s="7"/>
      <c r="AB379" s="46"/>
      <c r="AC379" s="47"/>
      <c r="AD379" s="7"/>
      <c r="AE379" s="47"/>
      <c r="AF379" s="18"/>
      <c r="AG379" s="26"/>
      <c r="AH379" s="34"/>
      <c r="AI379" s="34"/>
      <c r="AJ379" s="18"/>
      <c r="AK379" s="48"/>
      <c r="AL379" s="26" t="str">
        <f>IFERROR(__xludf.DUMMYFUNCTION("""COMPUTED_VALUE"""),"* PFC2O *")</f>
        <v>* PFC2O *</v>
      </c>
      <c r="AM379" s="59">
        <f>IFERROR(__xludf.DUMMYFUNCTION("""COMPUTED_VALUE"""),154000.0)</f>
        <v>154000</v>
      </c>
    </row>
    <row r="380">
      <c r="A380" s="51"/>
      <c r="B380" s="51"/>
      <c r="C380" s="52"/>
      <c r="D380" s="51"/>
      <c r="E380" s="53"/>
      <c r="F380" s="54"/>
      <c r="G380" s="51"/>
      <c r="H380" s="51"/>
      <c r="I380" s="55"/>
      <c r="J380" s="56"/>
      <c r="K380" s="46"/>
      <c r="L380" s="46"/>
      <c r="M380" s="47"/>
      <c r="N380" s="46"/>
      <c r="O380" s="57"/>
      <c r="P380" s="46"/>
      <c r="Q380" s="46"/>
      <c r="R380" s="57"/>
      <c r="S380" s="7"/>
      <c r="T380" s="54"/>
      <c r="U380" s="58"/>
      <c r="V380" s="47"/>
      <c r="W380" s="18"/>
      <c r="X380" s="46"/>
      <c r="Y380" s="9"/>
      <c r="Z380" s="46"/>
      <c r="AA380" s="7"/>
      <c r="AB380" s="46"/>
      <c r="AC380" s="47"/>
      <c r="AD380" s="7"/>
      <c r="AE380" s="47"/>
      <c r="AF380" s="18"/>
      <c r="AG380" s="26"/>
      <c r="AH380" s="34"/>
      <c r="AI380" s="34"/>
      <c r="AJ380" s="18"/>
      <c r="AK380" s="48"/>
      <c r="AL380" s="26" t="str">
        <f>IFERROR(__xludf.DUMMYFUNCTION("""COMPUTED_VALUE"""),"* PHC2D *")</f>
        <v>* PHC2D *</v>
      </c>
      <c r="AM380" s="59">
        <f>IFERROR(__xludf.DUMMYFUNCTION("""COMPUTED_VALUE"""),101.4)</f>
        <v>101.4</v>
      </c>
    </row>
    <row r="381">
      <c r="A381" s="51"/>
      <c r="B381" s="51"/>
      <c r="C381" s="52"/>
      <c r="D381" s="51"/>
      <c r="E381" s="53"/>
      <c r="F381" s="54"/>
      <c r="G381" s="51"/>
      <c r="H381" s="51"/>
      <c r="I381" s="55"/>
      <c r="J381" s="56"/>
      <c r="K381" s="46"/>
      <c r="L381" s="46"/>
      <c r="M381" s="47"/>
      <c r="N381" s="46"/>
      <c r="O381" s="57"/>
      <c r="P381" s="46"/>
      <c r="Q381" s="46"/>
      <c r="R381" s="57"/>
      <c r="S381" s="7"/>
      <c r="T381" s="54"/>
      <c r="U381" s="58"/>
      <c r="V381" s="47"/>
      <c r="W381" s="18"/>
      <c r="X381" s="46"/>
      <c r="Y381" s="9"/>
      <c r="Z381" s="46"/>
      <c r="AA381" s="7"/>
      <c r="AB381" s="46"/>
      <c r="AC381" s="47"/>
      <c r="AD381" s="7"/>
      <c r="AE381" s="47"/>
      <c r="AF381" s="18"/>
      <c r="AG381" s="26"/>
      <c r="AH381" s="34"/>
      <c r="AI381" s="34"/>
      <c r="AJ381" s="18"/>
      <c r="AK381" s="48"/>
      <c r="AL381" s="26" t="str">
        <f>IFERROR(__xludf.DUMMYFUNCTION("""COMPUTED_VALUE"""),"* PHC2O *")</f>
        <v>* PHC2O *</v>
      </c>
      <c r="AM381" s="59">
        <f>IFERROR(__xludf.DUMMYFUNCTION("""COMPUTED_VALUE"""),100.0)</f>
        <v>100</v>
      </c>
    </row>
    <row r="382">
      <c r="A382" s="51"/>
      <c r="B382" s="51"/>
      <c r="C382" s="52"/>
      <c r="D382" s="51"/>
      <c r="E382" s="53"/>
      <c r="F382" s="54"/>
      <c r="G382" s="51"/>
      <c r="H382" s="51"/>
      <c r="I382" s="55"/>
      <c r="J382" s="56"/>
      <c r="K382" s="46"/>
      <c r="L382" s="46"/>
      <c r="M382" s="47"/>
      <c r="N382" s="46"/>
      <c r="O382" s="57"/>
      <c r="P382" s="46"/>
      <c r="Q382" s="46"/>
      <c r="R382" s="57"/>
      <c r="S382" s="7"/>
      <c r="T382" s="54"/>
      <c r="U382" s="58"/>
      <c r="V382" s="47"/>
      <c r="W382" s="18"/>
      <c r="X382" s="46"/>
      <c r="Y382" s="9"/>
      <c r="Z382" s="46"/>
      <c r="AA382" s="7"/>
      <c r="AB382" s="46"/>
      <c r="AC382" s="47"/>
      <c r="AD382" s="7"/>
      <c r="AE382" s="47"/>
      <c r="AF382" s="18"/>
      <c r="AG382" s="26"/>
      <c r="AH382" s="34"/>
      <c r="AI382" s="34"/>
      <c r="AJ382" s="18"/>
      <c r="AK382" s="48"/>
      <c r="AL382" s="26" t="str">
        <f>IFERROR(__xludf.DUMMYFUNCTION("""COMPUTED_VALUE"""),"* PLC1D *")</f>
        <v>* PLC1D *</v>
      </c>
      <c r="AM382" s="59">
        <f>IFERROR(__xludf.DUMMYFUNCTION("""COMPUTED_VALUE"""),100.0)</f>
        <v>100</v>
      </c>
    </row>
    <row r="383">
      <c r="A383" s="51"/>
      <c r="B383" s="51"/>
      <c r="C383" s="52"/>
      <c r="D383" s="51"/>
      <c r="E383" s="53"/>
      <c r="F383" s="54"/>
      <c r="G383" s="51"/>
      <c r="H383" s="51"/>
      <c r="I383" s="55"/>
      <c r="J383" s="56"/>
      <c r="K383" s="46"/>
      <c r="L383" s="46"/>
      <c r="M383" s="47"/>
      <c r="N383" s="46"/>
      <c r="O383" s="57"/>
      <c r="P383" s="46"/>
      <c r="Q383" s="46"/>
      <c r="R383" s="57"/>
      <c r="S383" s="7"/>
      <c r="T383" s="54"/>
      <c r="U383" s="58"/>
      <c r="V383" s="47"/>
      <c r="W383" s="18"/>
      <c r="X383" s="46"/>
      <c r="Y383" s="9"/>
      <c r="Z383" s="46"/>
      <c r="AA383" s="7"/>
      <c r="AB383" s="46"/>
      <c r="AC383" s="47"/>
      <c r="AD383" s="7"/>
      <c r="AE383" s="47"/>
      <c r="AF383" s="18"/>
      <c r="AG383" s="26"/>
      <c r="AH383" s="34"/>
      <c r="AI383" s="34"/>
      <c r="AJ383" s="18"/>
      <c r="AK383" s="48"/>
      <c r="AL383" s="26" t="str">
        <f>IFERROR(__xludf.DUMMYFUNCTION("""COMPUTED_VALUE"""),"* PLC1O *")</f>
        <v>* PLC1O *</v>
      </c>
      <c r="AM383" s="59">
        <f>IFERROR(__xludf.DUMMYFUNCTION("""COMPUTED_VALUE"""),147990.0)</f>
        <v>147990</v>
      </c>
    </row>
    <row r="384">
      <c r="A384" s="51"/>
      <c r="B384" s="51"/>
      <c r="C384" s="52"/>
      <c r="D384" s="51"/>
      <c r="E384" s="53"/>
      <c r="F384" s="54"/>
      <c r="G384" s="51"/>
      <c r="H384" s="51"/>
      <c r="I384" s="55"/>
      <c r="J384" s="56"/>
      <c r="K384" s="46"/>
      <c r="L384" s="46"/>
      <c r="M384" s="47"/>
      <c r="N384" s="46"/>
      <c r="O384" s="57"/>
      <c r="P384" s="46"/>
      <c r="Q384" s="46"/>
      <c r="R384" s="57"/>
      <c r="S384" s="7"/>
      <c r="T384" s="54"/>
      <c r="U384" s="58"/>
      <c r="V384" s="47"/>
      <c r="W384" s="18"/>
      <c r="X384" s="46"/>
      <c r="Y384" s="9"/>
      <c r="Z384" s="46"/>
      <c r="AA384" s="7"/>
      <c r="AB384" s="46"/>
      <c r="AC384" s="47"/>
      <c r="AD384" s="7"/>
      <c r="AE384" s="47"/>
      <c r="AF384" s="18"/>
      <c r="AG384" s="26"/>
      <c r="AH384" s="34"/>
      <c r="AI384" s="34"/>
      <c r="AJ384" s="18"/>
      <c r="AK384" s="48"/>
      <c r="AL384" s="26" t="str">
        <f>IFERROR(__xludf.DUMMYFUNCTION("""COMPUTED_VALUE"""),"* PLC2D *")</f>
        <v>* PLC2D *</v>
      </c>
      <c r="AM384" s="59">
        <f>IFERROR(__xludf.DUMMYFUNCTION("""COMPUTED_VALUE"""),102.1)</f>
        <v>102.1</v>
      </c>
    </row>
    <row r="385">
      <c r="A385" s="51"/>
      <c r="B385" s="51"/>
      <c r="C385" s="52"/>
      <c r="D385" s="51"/>
      <c r="E385" s="53"/>
      <c r="F385" s="54"/>
      <c r="G385" s="51"/>
      <c r="H385" s="51"/>
      <c r="I385" s="55"/>
      <c r="J385" s="56"/>
      <c r="K385" s="46"/>
      <c r="L385" s="46"/>
      <c r="M385" s="47"/>
      <c r="N385" s="46"/>
      <c r="O385" s="57"/>
      <c r="P385" s="46"/>
      <c r="Q385" s="46"/>
      <c r="R385" s="57"/>
      <c r="S385" s="7"/>
      <c r="T385" s="54"/>
      <c r="U385" s="58"/>
      <c r="V385" s="47"/>
      <c r="W385" s="18"/>
      <c r="X385" s="46"/>
      <c r="Y385" s="9"/>
      <c r="Z385" s="46"/>
      <c r="AA385" s="7"/>
      <c r="AB385" s="46"/>
      <c r="AC385" s="47"/>
      <c r="AD385" s="7"/>
      <c r="AE385" s="47"/>
      <c r="AF385" s="18"/>
      <c r="AG385" s="26"/>
      <c r="AH385" s="34"/>
      <c r="AI385" s="34"/>
      <c r="AJ385" s="18"/>
      <c r="AK385" s="48"/>
      <c r="AL385" s="26" t="str">
        <f>IFERROR(__xludf.DUMMYFUNCTION("""COMPUTED_VALUE"""),"* PLC2O *")</f>
        <v>* PLC2O *</v>
      </c>
      <c r="AM385" s="59">
        <f>IFERROR(__xludf.DUMMYFUNCTION("""COMPUTED_VALUE"""),149500.0)</f>
        <v>149500</v>
      </c>
    </row>
    <row r="386">
      <c r="A386" s="51"/>
      <c r="B386" s="51"/>
      <c r="C386" s="52"/>
      <c r="D386" s="51"/>
      <c r="E386" s="53"/>
      <c r="F386" s="54"/>
      <c r="G386" s="51"/>
      <c r="H386" s="51"/>
      <c r="I386" s="55"/>
      <c r="J386" s="56"/>
      <c r="K386" s="46"/>
      <c r="L386" s="46"/>
      <c r="M386" s="47"/>
      <c r="N386" s="46"/>
      <c r="O386" s="57"/>
      <c r="P386" s="46"/>
      <c r="Q386" s="46"/>
      <c r="R386" s="57"/>
      <c r="S386" s="7"/>
      <c r="T386" s="54"/>
      <c r="U386" s="58"/>
      <c r="V386" s="47"/>
      <c r="W386" s="18"/>
      <c r="X386" s="46"/>
      <c r="Y386" s="9"/>
      <c r="Z386" s="46"/>
      <c r="AA386" s="7"/>
      <c r="AB386" s="46"/>
      <c r="AC386" s="47"/>
      <c r="AD386" s="7"/>
      <c r="AE386" s="47"/>
      <c r="AF386" s="18"/>
      <c r="AG386" s="26"/>
      <c r="AH386" s="34"/>
      <c r="AI386" s="34"/>
      <c r="AJ386" s="18"/>
      <c r="AK386" s="48"/>
      <c r="AL386" s="26" t="str">
        <f>IFERROR(__xludf.DUMMYFUNCTION("""COMPUTED_VALUE"""),"* PLC3D *")</f>
        <v>* PLC3D *</v>
      </c>
      <c r="AM386" s="59">
        <f>IFERROR(__xludf.DUMMYFUNCTION("""COMPUTED_VALUE"""),107.95)</f>
        <v>107.95</v>
      </c>
    </row>
    <row r="387">
      <c r="A387" s="51"/>
      <c r="B387" s="51"/>
      <c r="C387" s="52"/>
      <c r="D387" s="51"/>
      <c r="E387" s="53"/>
      <c r="F387" s="54"/>
      <c r="G387" s="51"/>
      <c r="H387" s="51"/>
      <c r="I387" s="55"/>
      <c r="J387" s="56"/>
      <c r="K387" s="46"/>
      <c r="L387" s="46"/>
      <c r="M387" s="47"/>
      <c r="N387" s="46"/>
      <c r="O387" s="57"/>
      <c r="P387" s="46"/>
      <c r="Q387" s="46"/>
      <c r="R387" s="57"/>
      <c r="S387" s="7"/>
      <c r="T387" s="54"/>
      <c r="U387" s="58"/>
      <c r="V387" s="47"/>
      <c r="W387" s="18"/>
      <c r="X387" s="46"/>
      <c r="Y387" s="9"/>
      <c r="Z387" s="46"/>
      <c r="AA387" s="7"/>
      <c r="AB387" s="46"/>
      <c r="AC387" s="47"/>
      <c r="AD387" s="7"/>
      <c r="AE387" s="47"/>
      <c r="AF387" s="18"/>
      <c r="AG387" s="26"/>
      <c r="AH387" s="34"/>
      <c r="AI387" s="34"/>
      <c r="AJ387" s="18"/>
      <c r="AK387" s="48"/>
      <c r="AL387" s="26" t="str">
        <f>IFERROR(__xludf.DUMMYFUNCTION("""COMPUTED_VALUE"""),"* PLC3O *")</f>
        <v>* PLC3O *</v>
      </c>
      <c r="AM387" s="59">
        <f>IFERROR(__xludf.DUMMYFUNCTION("""COMPUTED_VALUE"""),157990.0)</f>
        <v>157990</v>
      </c>
    </row>
    <row r="388">
      <c r="A388" s="51"/>
      <c r="B388" s="51"/>
      <c r="C388" s="52"/>
      <c r="D388" s="51"/>
      <c r="E388" s="53"/>
      <c r="F388" s="54"/>
      <c r="G388" s="51"/>
      <c r="H388" s="51"/>
      <c r="I388" s="55"/>
      <c r="J388" s="56"/>
      <c r="K388" s="46"/>
      <c r="L388" s="46"/>
      <c r="M388" s="47"/>
      <c r="N388" s="46"/>
      <c r="O388" s="57"/>
      <c r="P388" s="46"/>
      <c r="Q388" s="46"/>
      <c r="R388" s="57"/>
      <c r="S388" s="7"/>
      <c r="T388" s="54"/>
      <c r="U388" s="58"/>
      <c r="V388" s="47"/>
      <c r="W388" s="18"/>
      <c r="X388" s="46"/>
      <c r="Y388" s="9"/>
      <c r="Z388" s="46"/>
      <c r="AA388" s="7"/>
      <c r="AB388" s="46"/>
      <c r="AC388" s="47"/>
      <c r="AD388" s="7"/>
      <c r="AE388" s="47"/>
      <c r="AF388" s="18"/>
      <c r="AG388" s="26"/>
      <c r="AH388" s="34"/>
      <c r="AI388" s="34"/>
      <c r="AJ388" s="18"/>
      <c r="AK388" s="48"/>
      <c r="AL388" s="26" t="str">
        <f>IFERROR(__xludf.DUMMYFUNCTION("""COMPUTED_VALUE"""),"* PLC4D *")</f>
        <v>* PLC4D *</v>
      </c>
      <c r="AM388" s="59">
        <f>IFERROR(__xludf.DUMMYFUNCTION("""COMPUTED_VALUE"""),103.75)</f>
        <v>103.75</v>
      </c>
    </row>
    <row r="389">
      <c r="A389" s="51"/>
      <c r="B389" s="51"/>
      <c r="C389" s="52"/>
      <c r="D389" s="51"/>
      <c r="E389" s="53"/>
      <c r="F389" s="54"/>
      <c r="G389" s="51"/>
      <c r="H389" s="51"/>
      <c r="I389" s="55"/>
      <c r="J389" s="56"/>
      <c r="K389" s="46"/>
      <c r="L389" s="46"/>
      <c r="M389" s="47"/>
      <c r="N389" s="46"/>
      <c r="O389" s="57"/>
      <c r="P389" s="46"/>
      <c r="Q389" s="46"/>
      <c r="R389" s="57"/>
      <c r="S389" s="7"/>
      <c r="T389" s="54"/>
      <c r="U389" s="58"/>
      <c r="V389" s="47"/>
      <c r="W389" s="18"/>
      <c r="X389" s="46"/>
      <c r="Y389" s="9"/>
      <c r="Z389" s="46"/>
      <c r="AA389" s="7"/>
      <c r="AB389" s="46"/>
      <c r="AC389" s="47"/>
      <c r="AD389" s="7"/>
      <c r="AE389" s="47"/>
      <c r="AF389" s="18"/>
      <c r="AG389" s="26"/>
      <c r="AH389" s="34"/>
      <c r="AI389" s="34"/>
      <c r="AJ389" s="18"/>
      <c r="AK389" s="48"/>
      <c r="AL389" s="26" t="str">
        <f>IFERROR(__xludf.DUMMYFUNCTION("""COMPUTED_VALUE"""),"* PLC4O *")</f>
        <v>* PLC4O *</v>
      </c>
      <c r="AM389" s="59">
        <f>IFERROR(__xludf.DUMMYFUNCTION("""COMPUTED_VALUE"""),151200.0)</f>
        <v>151200</v>
      </c>
    </row>
    <row r="390">
      <c r="A390" s="51"/>
      <c r="B390" s="51"/>
      <c r="C390" s="52"/>
      <c r="D390" s="51"/>
      <c r="E390" s="53"/>
      <c r="F390" s="54"/>
      <c r="G390" s="51"/>
      <c r="H390" s="51"/>
      <c r="I390" s="55"/>
      <c r="J390" s="56"/>
      <c r="K390" s="46"/>
      <c r="L390" s="46"/>
      <c r="M390" s="47"/>
      <c r="N390" s="46"/>
      <c r="O390" s="57"/>
      <c r="P390" s="46"/>
      <c r="Q390" s="46"/>
      <c r="R390" s="57"/>
      <c r="S390" s="7"/>
      <c r="T390" s="54"/>
      <c r="U390" s="58"/>
      <c r="V390" s="47"/>
      <c r="W390" s="18"/>
      <c r="X390" s="46"/>
      <c r="Y390" s="9"/>
      <c r="Z390" s="46"/>
      <c r="AA390" s="7"/>
      <c r="AB390" s="46"/>
      <c r="AC390" s="47"/>
      <c r="AD390" s="7"/>
      <c r="AE390" s="47"/>
      <c r="AF390" s="18"/>
      <c r="AG390" s="26"/>
      <c r="AH390" s="34"/>
      <c r="AI390" s="34"/>
      <c r="AJ390" s="18"/>
      <c r="AK390" s="48"/>
      <c r="AL390" s="26" t="str">
        <f>IFERROR(__xludf.DUMMYFUNCTION("""COMPUTED_VALUE"""),"* PLC5C *")</f>
        <v>* PLC5C *</v>
      </c>
      <c r="AM390" s="59">
        <f>IFERROR(__xludf.DUMMYFUNCTION("""COMPUTED_VALUE"""),99.27)</f>
        <v>99.27</v>
      </c>
    </row>
    <row r="391">
      <c r="A391" s="51"/>
      <c r="B391" s="51"/>
      <c r="C391" s="52"/>
      <c r="D391" s="51"/>
      <c r="E391" s="53"/>
      <c r="F391" s="54"/>
      <c r="G391" s="51"/>
      <c r="H391" s="51"/>
      <c r="I391" s="55"/>
      <c r="J391" s="56"/>
      <c r="K391" s="46"/>
      <c r="L391" s="46"/>
      <c r="M391" s="47"/>
      <c r="N391" s="46"/>
      <c r="O391" s="57"/>
      <c r="P391" s="46"/>
      <c r="Q391" s="46"/>
      <c r="R391" s="57"/>
      <c r="S391" s="7"/>
      <c r="T391" s="54"/>
      <c r="U391" s="58"/>
      <c r="V391" s="47"/>
      <c r="W391" s="18"/>
      <c r="X391" s="46"/>
      <c r="Y391" s="9"/>
      <c r="Z391" s="46"/>
      <c r="AA391" s="7"/>
      <c r="AB391" s="46"/>
      <c r="AC391" s="47"/>
      <c r="AD391" s="7"/>
      <c r="AE391" s="47"/>
      <c r="AF391" s="18"/>
      <c r="AG391" s="26"/>
      <c r="AH391" s="34"/>
      <c r="AI391" s="34"/>
      <c r="AJ391" s="18"/>
      <c r="AK391" s="48"/>
      <c r="AL391" s="26" t="str">
        <f>IFERROR(__xludf.DUMMYFUNCTION("""COMPUTED_VALUE"""),"* PLC5D *")</f>
        <v>* PLC5D *</v>
      </c>
      <c r="AM391" s="59">
        <f>IFERROR(__xludf.DUMMYFUNCTION("""COMPUTED_VALUE"""),102.0)</f>
        <v>102</v>
      </c>
    </row>
    <row r="392">
      <c r="A392" s="51"/>
      <c r="B392" s="51"/>
      <c r="C392" s="52"/>
      <c r="D392" s="51"/>
      <c r="E392" s="53"/>
      <c r="F392" s="54"/>
      <c r="G392" s="51"/>
      <c r="H392" s="51"/>
      <c r="I392" s="55"/>
      <c r="J392" s="56"/>
      <c r="K392" s="46"/>
      <c r="L392" s="46"/>
      <c r="M392" s="47"/>
      <c r="N392" s="46"/>
      <c r="O392" s="57"/>
      <c r="P392" s="46"/>
      <c r="Q392" s="46"/>
      <c r="R392" s="57"/>
      <c r="S392" s="7"/>
      <c r="T392" s="54"/>
      <c r="U392" s="58"/>
      <c r="V392" s="47"/>
      <c r="W392" s="18"/>
      <c r="X392" s="46"/>
      <c r="Y392" s="9"/>
      <c r="Z392" s="46"/>
      <c r="AA392" s="7"/>
      <c r="AB392" s="46"/>
      <c r="AC392" s="47"/>
      <c r="AD392" s="7"/>
      <c r="AE392" s="47"/>
      <c r="AF392" s="18"/>
      <c r="AG392" s="26"/>
      <c r="AH392" s="34"/>
      <c r="AI392" s="34"/>
      <c r="AJ392" s="18"/>
      <c r="AK392" s="48"/>
      <c r="AL392" s="26" t="str">
        <f>IFERROR(__xludf.DUMMYFUNCTION("""COMPUTED_VALUE"""),"* PLC5O *")</f>
        <v>* PLC5O *</v>
      </c>
      <c r="AM392" s="59">
        <f>IFERROR(__xludf.DUMMYFUNCTION("""COMPUTED_VALUE"""),149300.0)</f>
        <v>149300</v>
      </c>
    </row>
    <row r="393">
      <c r="A393" s="51"/>
      <c r="B393" s="51"/>
      <c r="C393" s="52"/>
      <c r="D393" s="51"/>
      <c r="E393" s="53"/>
      <c r="F393" s="54"/>
      <c r="G393" s="51"/>
      <c r="H393" s="51"/>
      <c r="I393" s="55"/>
      <c r="J393" s="56"/>
      <c r="K393" s="46"/>
      <c r="L393" s="46"/>
      <c r="M393" s="47"/>
      <c r="N393" s="46"/>
      <c r="O393" s="57"/>
      <c r="P393" s="46"/>
      <c r="Q393" s="46"/>
      <c r="R393" s="57"/>
      <c r="S393" s="7"/>
      <c r="T393" s="54"/>
      <c r="U393" s="58"/>
      <c r="V393" s="47"/>
      <c r="W393" s="18"/>
      <c r="X393" s="46"/>
      <c r="Y393" s="9"/>
      <c r="Z393" s="46"/>
      <c r="AA393" s="7"/>
      <c r="AB393" s="46"/>
      <c r="AC393" s="47"/>
      <c r="AD393" s="7"/>
      <c r="AE393" s="47"/>
      <c r="AF393" s="18"/>
      <c r="AG393" s="26"/>
      <c r="AH393" s="34"/>
      <c r="AI393" s="34"/>
      <c r="AJ393" s="18"/>
      <c r="AK393" s="48"/>
      <c r="AL393" s="26" t="str">
        <f>IFERROR(__xludf.DUMMYFUNCTION("""COMPUTED_VALUE"""),"* PN34D *")</f>
        <v>* PN34D *</v>
      </c>
      <c r="AM393" s="59">
        <f>IFERROR(__xludf.DUMMYFUNCTION("""COMPUTED_VALUE"""),99.5)</f>
        <v>99.5</v>
      </c>
    </row>
    <row r="394">
      <c r="A394" s="51"/>
      <c r="B394" s="51"/>
      <c r="C394" s="52"/>
      <c r="D394" s="51"/>
      <c r="E394" s="53"/>
      <c r="F394" s="54"/>
      <c r="G394" s="51"/>
      <c r="H394" s="51"/>
      <c r="I394" s="55"/>
      <c r="J394" s="56"/>
      <c r="K394" s="46"/>
      <c r="L394" s="46"/>
      <c r="M394" s="47"/>
      <c r="N394" s="46"/>
      <c r="O394" s="57"/>
      <c r="P394" s="46"/>
      <c r="Q394" s="46"/>
      <c r="R394" s="57"/>
      <c r="S394" s="7"/>
      <c r="T394" s="54"/>
      <c r="U394" s="58"/>
      <c r="V394" s="47"/>
      <c r="W394" s="18"/>
      <c r="X394" s="46"/>
      <c r="Y394" s="9"/>
      <c r="Z394" s="46"/>
      <c r="AA394" s="7"/>
      <c r="AB394" s="46"/>
      <c r="AC394" s="47"/>
      <c r="AD394" s="7"/>
      <c r="AE394" s="47"/>
      <c r="AF394" s="18"/>
      <c r="AG394" s="26"/>
      <c r="AH394" s="34"/>
      <c r="AI394" s="34"/>
      <c r="AJ394" s="18"/>
      <c r="AK394" s="48"/>
      <c r="AL394" s="26" t="str">
        <f>IFERROR(__xludf.DUMMYFUNCTION("""COMPUTED_VALUE"""),"* PN34O *")</f>
        <v>* PN34O *</v>
      </c>
      <c r="AM394" s="59">
        <f>IFERROR(__xludf.DUMMYFUNCTION("""COMPUTED_VALUE"""),146000.0)</f>
        <v>146000</v>
      </c>
    </row>
    <row r="395">
      <c r="A395" s="51"/>
      <c r="B395" s="51"/>
      <c r="C395" s="52"/>
      <c r="D395" s="51"/>
      <c r="E395" s="53"/>
      <c r="F395" s="54"/>
      <c r="G395" s="51"/>
      <c r="H395" s="51"/>
      <c r="I395" s="55"/>
      <c r="J395" s="56"/>
      <c r="K395" s="46"/>
      <c r="L395" s="46"/>
      <c r="M395" s="47"/>
      <c r="N395" s="46"/>
      <c r="O395" s="57"/>
      <c r="P395" s="46"/>
      <c r="Q395" s="46"/>
      <c r="R395" s="57"/>
      <c r="S395" s="7"/>
      <c r="T395" s="54"/>
      <c r="U395" s="58"/>
      <c r="V395" s="47"/>
      <c r="W395" s="18"/>
      <c r="X395" s="46"/>
      <c r="Y395" s="9"/>
      <c r="Z395" s="46"/>
      <c r="AA395" s="7"/>
      <c r="AB395" s="46"/>
      <c r="AC395" s="47"/>
      <c r="AD395" s="7"/>
      <c r="AE395" s="47"/>
      <c r="AF395" s="18"/>
      <c r="AG395" s="26"/>
      <c r="AH395" s="34"/>
      <c r="AI395" s="34"/>
      <c r="AJ395" s="18"/>
      <c r="AK395" s="48"/>
      <c r="AL395" s="26" t="str">
        <f>IFERROR(__xludf.DUMMYFUNCTION("""COMPUTED_VALUE"""),"* PN35D *")</f>
        <v>* PN35D *</v>
      </c>
      <c r="AM395" s="59">
        <f>IFERROR(__xludf.DUMMYFUNCTION("""COMPUTED_VALUE"""),101.7)</f>
        <v>101.7</v>
      </c>
    </row>
    <row r="396">
      <c r="A396" s="51"/>
      <c r="B396" s="51"/>
      <c r="C396" s="52"/>
      <c r="D396" s="51"/>
      <c r="E396" s="53"/>
      <c r="F396" s="54"/>
      <c r="G396" s="51"/>
      <c r="H396" s="51"/>
      <c r="I396" s="55"/>
      <c r="J396" s="56"/>
      <c r="K396" s="46"/>
      <c r="L396" s="46"/>
      <c r="M396" s="47"/>
      <c r="N396" s="46"/>
      <c r="O396" s="57"/>
      <c r="P396" s="46"/>
      <c r="Q396" s="46"/>
      <c r="R396" s="57"/>
      <c r="S396" s="7"/>
      <c r="T396" s="54"/>
      <c r="U396" s="58"/>
      <c r="V396" s="47"/>
      <c r="W396" s="18"/>
      <c r="X396" s="46"/>
      <c r="Y396" s="9"/>
      <c r="Z396" s="46"/>
      <c r="AA396" s="7"/>
      <c r="AB396" s="46"/>
      <c r="AC396" s="47"/>
      <c r="AD396" s="7"/>
      <c r="AE396" s="47"/>
      <c r="AF396" s="18"/>
      <c r="AG396" s="26"/>
      <c r="AH396" s="34"/>
      <c r="AI396" s="34"/>
      <c r="AJ396" s="18"/>
      <c r="AK396" s="48"/>
      <c r="AL396" s="26" t="str">
        <f>IFERROR(__xludf.DUMMYFUNCTION("""COMPUTED_VALUE"""),"* PN35O *")</f>
        <v>* PN35O *</v>
      </c>
      <c r="AM396" s="59">
        <f>IFERROR(__xludf.DUMMYFUNCTION("""COMPUTED_VALUE"""),148790.0)</f>
        <v>148790</v>
      </c>
    </row>
    <row r="397">
      <c r="A397" s="51"/>
      <c r="B397" s="51"/>
      <c r="C397" s="52"/>
      <c r="D397" s="51"/>
      <c r="E397" s="53"/>
      <c r="F397" s="54"/>
      <c r="G397" s="51"/>
      <c r="H397" s="51"/>
      <c r="I397" s="55"/>
      <c r="J397" s="56"/>
      <c r="K397" s="46"/>
      <c r="L397" s="46"/>
      <c r="M397" s="47"/>
      <c r="N397" s="46"/>
      <c r="O397" s="57"/>
      <c r="P397" s="46"/>
      <c r="Q397" s="46"/>
      <c r="R397" s="57"/>
      <c r="S397" s="7"/>
      <c r="T397" s="54"/>
      <c r="U397" s="58"/>
      <c r="V397" s="47"/>
      <c r="W397" s="18"/>
      <c r="X397" s="46"/>
      <c r="Y397" s="9"/>
      <c r="Z397" s="46"/>
      <c r="AA397" s="7"/>
      <c r="AB397" s="46"/>
      <c r="AC397" s="47"/>
      <c r="AD397" s="7"/>
      <c r="AE397" s="47"/>
      <c r="AF397" s="18"/>
      <c r="AG397" s="26"/>
      <c r="AH397" s="34"/>
      <c r="AI397" s="34"/>
      <c r="AJ397" s="18"/>
      <c r="AK397" s="48"/>
      <c r="AL397" s="26" t="str">
        <f>IFERROR(__xludf.DUMMYFUNCTION("""COMPUTED_VALUE"""),"* PN36D *")</f>
        <v>* PN36D *</v>
      </c>
      <c r="AM397" s="59">
        <f>IFERROR(__xludf.DUMMYFUNCTION("""COMPUTED_VALUE"""),101.25)</f>
        <v>101.25</v>
      </c>
    </row>
    <row r="398">
      <c r="A398" s="51"/>
      <c r="B398" s="51"/>
      <c r="C398" s="52"/>
      <c r="D398" s="51"/>
      <c r="E398" s="53"/>
      <c r="F398" s="54"/>
      <c r="G398" s="51"/>
      <c r="H398" s="51"/>
      <c r="I398" s="55"/>
      <c r="J398" s="56"/>
      <c r="K398" s="46"/>
      <c r="L398" s="46"/>
      <c r="M398" s="47"/>
      <c r="N398" s="46"/>
      <c r="O398" s="57"/>
      <c r="P398" s="46"/>
      <c r="Q398" s="46"/>
      <c r="R398" s="57"/>
      <c r="S398" s="7"/>
      <c r="T398" s="54"/>
      <c r="U398" s="58"/>
      <c r="V398" s="47"/>
      <c r="W398" s="18"/>
      <c r="X398" s="46"/>
      <c r="Y398" s="9"/>
      <c r="Z398" s="46"/>
      <c r="AA398" s="7"/>
      <c r="AB398" s="46"/>
      <c r="AC398" s="47"/>
      <c r="AD398" s="7"/>
      <c r="AE398" s="47"/>
      <c r="AF398" s="18"/>
      <c r="AG398" s="26"/>
      <c r="AH398" s="34"/>
      <c r="AI398" s="34"/>
      <c r="AJ398" s="18"/>
      <c r="AK398" s="48"/>
      <c r="AL398" s="26" t="str">
        <f>IFERROR(__xludf.DUMMYFUNCTION("""COMPUTED_VALUE"""),"* PN36O *")</f>
        <v>* PN36O *</v>
      </c>
      <c r="AM398" s="59">
        <f>IFERROR(__xludf.DUMMYFUNCTION("""COMPUTED_VALUE"""),148170.0)</f>
        <v>148170</v>
      </c>
    </row>
    <row r="399">
      <c r="A399" s="51"/>
      <c r="B399" s="51"/>
      <c r="C399" s="52"/>
      <c r="D399" s="51"/>
      <c r="E399" s="53"/>
      <c r="F399" s="54"/>
      <c r="G399" s="51"/>
      <c r="H399" s="51"/>
      <c r="I399" s="55"/>
      <c r="J399" s="56"/>
      <c r="K399" s="46"/>
      <c r="L399" s="46"/>
      <c r="M399" s="47"/>
      <c r="N399" s="46"/>
      <c r="O399" s="57"/>
      <c r="P399" s="46"/>
      <c r="Q399" s="46"/>
      <c r="R399" s="57"/>
      <c r="S399" s="7"/>
      <c r="T399" s="54"/>
      <c r="U399" s="58"/>
      <c r="V399" s="47"/>
      <c r="W399" s="18"/>
      <c r="X399" s="46"/>
      <c r="Y399" s="9"/>
      <c r="Z399" s="46"/>
      <c r="AA399" s="7"/>
      <c r="AB399" s="46"/>
      <c r="AC399" s="47"/>
      <c r="AD399" s="7"/>
      <c r="AE399" s="47"/>
      <c r="AF399" s="18"/>
      <c r="AG399" s="26"/>
      <c r="AH399" s="34"/>
      <c r="AI399" s="34"/>
      <c r="AJ399" s="18"/>
      <c r="AK399" s="48"/>
      <c r="AL399" s="26" t="str">
        <f>IFERROR(__xludf.DUMMYFUNCTION("""COMPUTED_VALUE"""),"* PN37D *")</f>
        <v>* PN37D *</v>
      </c>
      <c r="AM399" s="59">
        <f>IFERROR(__xludf.DUMMYFUNCTION("""COMPUTED_VALUE"""),99.3)</f>
        <v>99.3</v>
      </c>
    </row>
    <row r="400">
      <c r="A400" s="51"/>
      <c r="B400" s="51"/>
      <c r="C400" s="52"/>
      <c r="D400" s="51"/>
      <c r="E400" s="53"/>
      <c r="F400" s="54"/>
      <c r="G400" s="51"/>
      <c r="H400" s="51"/>
      <c r="I400" s="55"/>
      <c r="J400" s="56"/>
      <c r="K400" s="46"/>
      <c r="L400" s="46"/>
      <c r="M400" s="47"/>
      <c r="N400" s="46"/>
      <c r="O400" s="57"/>
      <c r="P400" s="46"/>
      <c r="Q400" s="46"/>
      <c r="R400" s="57"/>
      <c r="S400" s="7"/>
      <c r="T400" s="54"/>
      <c r="U400" s="58"/>
      <c r="V400" s="47"/>
      <c r="W400" s="18"/>
      <c r="X400" s="46"/>
      <c r="Y400" s="9"/>
      <c r="Z400" s="46"/>
      <c r="AA400" s="7"/>
      <c r="AB400" s="46"/>
      <c r="AC400" s="47"/>
      <c r="AD400" s="7"/>
      <c r="AE400" s="47"/>
      <c r="AF400" s="18"/>
      <c r="AG400" s="26"/>
      <c r="AH400" s="34"/>
      <c r="AI400" s="34"/>
      <c r="AJ400" s="18"/>
      <c r="AK400" s="48"/>
      <c r="AL400" s="26" t="str">
        <f>IFERROR(__xludf.DUMMYFUNCTION("""COMPUTED_VALUE"""),"* PN37O *")</f>
        <v>* PN37O *</v>
      </c>
      <c r="AM400" s="59">
        <f>IFERROR(__xludf.DUMMYFUNCTION("""COMPUTED_VALUE"""),148000.0)</f>
        <v>148000</v>
      </c>
    </row>
    <row r="401">
      <c r="A401" s="51"/>
      <c r="B401" s="51"/>
      <c r="C401" s="52"/>
      <c r="D401" s="51"/>
      <c r="E401" s="53"/>
      <c r="F401" s="54"/>
      <c r="G401" s="51"/>
      <c r="H401" s="51"/>
      <c r="I401" s="55"/>
      <c r="J401" s="56"/>
      <c r="K401" s="46"/>
      <c r="L401" s="46"/>
      <c r="M401" s="47"/>
      <c r="N401" s="46"/>
      <c r="O401" s="57"/>
      <c r="P401" s="46"/>
      <c r="Q401" s="46"/>
      <c r="R401" s="57"/>
      <c r="S401" s="7"/>
      <c r="T401" s="54"/>
      <c r="U401" s="58"/>
      <c r="V401" s="47"/>
      <c r="W401" s="18"/>
      <c r="X401" s="46"/>
      <c r="Y401" s="9"/>
      <c r="Z401" s="46"/>
      <c r="AA401" s="7"/>
      <c r="AB401" s="46"/>
      <c r="AC401" s="47"/>
      <c r="AD401" s="7"/>
      <c r="AE401" s="47"/>
      <c r="AF401" s="18"/>
      <c r="AG401" s="26"/>
      <c r="AH401" s="34"/>
      <c r="AI401" s="34"/>
      <c r="AJ401" s="18"/>
      <c r="AK401" s="48"/>
      <c r="AL401" s="26" t="str">
        <f>IFERROR(__xludf.DUMMYFUNCTION("""COMPUTED_VALUE"""),"* PN38D *")</f>
        <v>* PN38D *</v>
      </c>
      <c r="AM401" s="59">
        <f>IFERROR(__xludf.DUMMYFUNCTION("""COMPUTED_VALUE"""),103.0)</f>
        <v>103</v>
      </c>
    </row>
    <row r="402">
      <c r="A402" s="51"/>
      <c r="B402" s="51"/>
      <c r="C402" s="52"/>
      <c r="D402" s="51"/>
      <c r="E402" s="53"/>
      <c r="F402" s="54"/>
      <c r="G402" s="51"/>
      <c r="H402" s="51"/>
      <c r="I402" s="55"/>
      <c r="J402" s="56"/>
      <c r="K402" s="46"/>
      <c r="L402" s="46"/>
      <c r="M402" s="47"/>
      <c r="N402" s="46"/>
      <c r="O402" s="57"/>
      <c r="P402" s="46"/>
      <c r="Q402" s="46"/>
      <c r="R402" s="57"/>
      <c r="S402" s="7"/>
      <c r="T402" s="54"/>
      <c r="U402" s="58"/>
      <c r="V402" s="47"/>
      <c r="W402" s="18"/>
      <c r="X402" s="46"/>
      <c r="Y402" s="9"/>
      <c r="Z402" s="46"/>
      <c r="AA402" s="7"/>
      <c r="AB402" s="46"/>
      <c r="AC402" s="47"/>
      <c r="AD402" s="7"/>
      <c r="AE402" s="47"/>
      <c r="AF402" s="18"/>
      <c r="AG402" s="26"/>
      <c r="AH402" s="34"/>
      <c r="AI402" s="34"/>
      <c r="AJ402" s="18"/>
      <c r="AK402" s="48"/>
      <c r="AL402" s="26" t="str">
        <f>IFERROR(__xludf.DUMMYFUNCTION("""COMPUTED_VALUE"""),"* PN38O *")</f>
        <v>* PN38O *</v>
      </c>
      <c r="AM402" s="59">
        <f>IFERROR(__xludf.DUMMYFUNCTION("""COMPUTED_VALUE"""),157270.0)</f>
        <v>157270</v>
      </c>
    </row>
    <row r="403">
      <c r="A403" s="51"/>
      <c r="B403" s="51"/>
      <c r="C403" s="52"/>
      <c r="D403" s="51"/>
      <c r="E403" s="53"/>
      <c r="F403" s="54"/>
      <c r="G403" s="51"/>
      <c r="H403" s="51"/>
      <c r="I403" s="55"/>
      <c r="J403" s="56"/>
      <c r="K403" s="46"/>
      <c r="L403" s="46"/>
      <c r="M403" s="47"/>
      <c r="N403" s="46"/>
      <c r="O403" s="57"/>
      <c r="P403" s="46"/>
      <c r="Q403" s="46"/>
      <c r="R403" s="57"/>
      <c r="S403" s="7"/>
      <c r="T403" s="54"/>
      <c r="U403" s="58"/>
      <c r="V403" s="47"/>
      <c r="W403" s="18"/>
      <c r="X403" s="46"/>
      <c r="Y403" s="9"/>
      <c r="Z403" s="46"/>
      <c r="AA403" s="7"/>
      <c r="AB403" s="46"/>
      <c r="AC403" s="47"/>
      <c r="AD403" s="7"/>
      <c r="AE403" s="47"/>
      <c r="AF403" s="18"/>
      <c r="AG403" s="26"/>
      <c r="AH403" s="34"/>
      <c r="AI403" s="34"/>
      <c r="AJ403" s="18"/>
      <c r="AK403" s="48"/>
      <c r="AL403" s="26" t="str">
        <f>IFERROR(__xludf.DUMMYFUNCTION("""COMPUTED_VALUE"""),"* PN41C *")</f>
        <v>* PN41C *</v>
      </c>
      <c r="AM403" s="59">
        <f>IFERROR(__xludf.DUMMYFUNCTION("""COMPUTED_VALUE"""),101.7)</f>
        <v>101.7</v>
      </c>
    </row>
    <row r="404">
      <c r="A404" s="51"/>
      <c r="B404" s="51"/>
      <c r="C404" s="52"/>
      <c r="D404" s="51"/>
      <c r="E404" s="53"/>
      <c r="F404" s="54"/>
      <c r="G404" s="51"/>
      <c r="H404" s="51"/>
      <c r="I404" s="55"/>
      <c r="J404" s="56"/>
      <c r="K404" s="46"/>
      <c r="L404" s="46"/>
      <c r="M404" s="47"/>
      <c r="N404" s="46"/>
      <c r="O404" s="57"/>
      <c r="P404" s="46"/>
      <c r="Q404" s="46"/>
      <c r="R404" s="57"/>
      <c r="S404" s="7"/>
      <c r="T404" s="54"/>
      <c r="U404" s="58"/>
      <c r="V404" s="47"/>
      <c r="W404" s="18"/>
      <c r="X404" s="46"/>
      <c r="Y404" s="9"/>
      <c r="Z404" s="46"/>
      <c r="AA404" s="7"/>
      <c r="AB404" s="46"/>
      <c r="AC404" s="47"/>
      <c r="AD404" s="7"/>
      <c r="AE404" s="47"/>
      <c r="AF404" s="18"/>
      <c r="AG404" s="26"/>
      <c r="AH404" s="34"/>
      <c r="AI404" s="34"/>
      <c r="AJ404" s="18"/>
      <c r="AK404" s="48"/>
      <c r="AL404" s="26" t="str">
        <f>IFERROR(__xludf.DUMMYFUNCTION("""COMPUTED_VALUE"""),"* PN41D *")</f>
        <v>* PN41D *</v>
      </c>
      <c r="AM404" s="59">
        <f>IFERROR(__xludf.DUMMYFUNCTION("""COMPUTED_VALUE"""),103.55)</f>
        <v>103.55</v>
      </c>
    </row>
    <row r="405">
      <c r="A405" s="51"/>
      <c r="B405" s="51"/>
      <c r="C405" s="52"/>
      <c r="D405" s="51"/>
      <c r="E405" s="53"/>
      <c r="F405" s="54"/>
      <c r="G405" s="51"/>
      <c r="H405" s="51"/>
      <c r="I405" s="55"/>
      <c r="J405" s="56"/>
      <c r="K405" s="46"/>
      <c r="L405" s="46"/>
      <c r="M405" s="47"/>
      <c r="N405" s="46"/>
      <c r="O405" s="57"/>
      <c r="P405" s="46"/>
      <c r="Q405" s="46"/>
      <c r="R405" s="57"/>
      <c r="S405" s="7"/>
      <c r="T405" s="54"/>
      <c r="U405" s="58"/>
      <c r="V405" s="47"/>
      <c r="W405" s="18"/>
      <c r="X405" s="46"/>
      <c r="Y405" s="9"/>
      <c r="Z405" s="46"/>
      <c r="AA405" s="7"/>
      <c r="AB405" s="46"/>
      <c r="AC405" s="47"/>
      <c r="AD405" s="7"/>
      <c r="AE405" s="47"/>
      <c r="AF405" s="18"/>
      <c r="AG405" s="26"/>
      <c r="AH405" s="34"/>
      <c r="AI405" s="34"/>
      <c r="AJ405" s="18"/>
      <c r="AK405" s="48"/>
      <c r="AL405" s="26" t="str">
        <f>IFERROR(__xludf.DUMMYFUNCTION("""COMPUTED_VALUE"""),"* PN41O *")</f>
        <v>* PN41O *</v>
      </c>
      <c r="AM405" s="59">
        <f>IFERROR(__xludf.DUMMYFUNCTION("""COMPUTED_VALUE"""),150230.0)</f>
        <v>150230</v>
      </c>
    </row>
    <row r="406">
      <c r="A406" s="51"/>
      <c r="B406" s="51"/>
      <c r="C406" s="52"/>
      <c r="D406" s="51"/>
      <c r="E406" s="53"/>
      <c r="F406" s="54"/>
      <c r="G406" s="51"/>
      <c r="H406" s="51"/>
      <c r="I406" s="55"/>
      <c r="J406" s="56"/>
      <c r="K406" s="46"/>
      <c r="L406" s="46"/>
      <c r="M406" s="47"/>
      <c r="N406" s="46"/>
      <c r="O406" s="57"/>
      <c r="P406" s="46"/>
      <c r="Q406" s="46"/>
      <c r="R406" s="57"/>
      <c r="S406" s="7"/>
      <c r="T406" s="54"/>
      <c r="U406" s="58"/>
      <c r="V406" s="47"/>
      <c r="W406" s="18"/>
      <c r="X406" s="46"/>
      <c r="Y406" s="9"/>
      <c r="Z406" s="46"/>
      <c r="AA406" s="7"/>
      <c r="AB406" s="46"/>
      <c r="AC406" s="47"/>
      <c r="AD406" s="7"/>
      <c r="AE406" s="47"/>
      <c r="AF406" s="18"/>
      <c r="AG406" s="26"/>
      <c r="AH406" s="34"/>
      <c r="AI406" s="34"/>
      <c r="AJ406" s="18"/>
      <c r="AK406" s="48"/>
      <c r="AL406" s="26" t="str">
        <f>IFERROR(__xludf.DUMMYFUNCTION("""COMPUTED_VALUE"""),"* PN42C *")</f>
        <v>* PN42C *</v>
      </c>
      <c r="AM406" s="59">
        <f>IFERROR(__xludf.DUMMYFUNCTION("""COMPUTED_VALUE"""),100.2)</f>
        <v>100.2</v>
      </c>
    </row>
    <row r="407">
      <c r="A407" s="51"/>
      <c r="B407" s="51"/>
      <c r="C407" s="52"/>
      <c r="D407" s="51"/>
      <c r="E407" s="53"/>
      <c r="F407" s="54"/>
      <c r="G407" s="51"/>
      <c r="H407" s="51"/>
      <c r="I407" s="55"/>
      <c r="J407" s="56"/>
      <c r="K407" s="46"/>
      <c r="L407" s="46"/>
      <c r="M407" s="47"/>
      <c r="N407" s="46"/>
      <c r="O407" s="57"/>
      <c r="P407" s="46"/>
      <c r="Q407" s="46"/>
      <c r="R407" s="57"/>
      <c r="S407" s="7"/>
      <c r="T407" s="54"/>
      <c r="U407" s="58"/>
      <c r="V407" s="47"/>
      <c r="W407" s="18"/>
      <c r="X407" s="46"/>
      <c r="Y407" s="9"/>
      <c r="Z407" s="46"/>
      <c r="AA407" s="7"/>
      <c r="AB407" s="46"/>
      <c r="AC407" s="47"/>
      <c r="AD407" s="7"/>
      <c r="AE407" s="47"/>
      <c r="AF407" s="18"/>
      <c r="AG407" s="26"/>
      <c r="AH407" s="34"/>
      <c r="AI407" s="34"/>
      <c r="AJ407" s="18"/>
      <c r="AK407" s="48"/>
      <c r="AL407" s="26" t="str">
        <f>IFERROR(__xludf.DUMMYFUNCTION("""COMPUTED_VALUE"""),"* PN42D *")</f>
        <v>* PN42D *</v>
      </c>
      <c r="AM407" s="59">
        <f>IFERROR(__xludf.DUMMYFUNCTION("""COMPUTED_VALUE"""),101.0)</f>
        <v>101</v>
      </c>
    </row>
    <row r="408">
      <c r="A408" s="51"/>
      <c r="B408" s="51"/>
      <c r="C408" s="52"/>
      <c r="D408" s="51"/>
      <c r="E408" s="53"/>
      <c r="F408" s="54"/>
      <c r="G408" s="51"/>
      <c r="H408" s="51"/>
      <c r="I408" s="55"/>
      <c r="J408" s="56"/>
      <c r="K408" s="46"/>
      <c r="L408" s="46"/>
      <c r="M408" s="47"/>
      <c r="N408" s="46"/>
      <c r="O408" s="57"/>
      <c r="P408" s="46"/>
      <c r="Q408" s="46"/>
      <c r="R408" s="57"/>
      <c r="S408" s="7"/>
      <c r="T408" s="54"/>
      <c r="U408" s="58"/>
      <c r="V408" s="47"/>
      <c r="W408" s="18"/>
      <c r="X408" s="46"/>
      <c r="Y408" s="9"/>
      <c r="Z408" s="46"/>
      <c r="AA408" s="7"/>
      <c r="AB408" s="46"/>
      <c r="AC408" s="47"/>
      <c r="AD408" s="7"/>
      <c r="AE408" s="47"/>
      <c r="AF408" s="18"/>
      <c r="AG408" s="26"/>
      <c r="AH408" s="34"/>
      <c r="AI408" s="34"/>
      <c r="AJ408" s="18"/>
      <c r="AK408" s="48"/>
      <c r="AL408" s="26" t="str">
        <f>IFERROR(__xludf.DUMMYFUNCTION("""COMPUTED_VALUE"""),"* PN42O *")</f>
        <v>* PN42O *</v>
      </c>
      <c r="AM408" s="59">
        <f>IFERROR(__xludf.DUMMYFUNCTION("""COMPUTED_VALUE"""),146500.0)</f>
        <v>146500</v>
      </c>
    </row>
    <row r="409">
      <c r="A409" s="51"/>
      <c r="B409" s="51"/>
      <c r="C409" s="52"/>
      <c r="D409" s="51"/>
      <c r="E409" s="53"/>
      <c r="F409" s="54"/>
      <c r="G409" s="51"/>
      <c r="H409" s="51"/>
      <c r="I409" s="55"/>
      <c r="J409" s="56"/>
      <c r="K409" s="46"/>
      <c r="L409" s="46"/>
      <c r="M409" s="47"/>
      <c r="N409" s="46"/>
      <c r="O409" s="57"/>
      <c r="P409" s="46"/>
      <c r="Q409" s="46"/>
      <c r="R409" s="57"/>
      <c r="S409" s="7"/>
      <c r="T409" s="54"/>
      <c r="U409" s="58"/>
      <c r="V409" s="47"/>
      <c r="W409" s="18"/>
      <c r="X409" s="46"/>
      <c r="Y409" s="9"/>
      <c r="Z409" s="46"/>
      <c r="AA409" s="7"/>
      <c r="AB409" s="46"/>
      <c r="AC409" s="47"/>
      <c r="AD409" s="7"/>
      <c r="AE409" s="47"/>
      <c r="AF409" s="18"/>
      <c r="AG409" s="26"/>
      <c r="AH409" s="34"/>
      <c r="AI409" s="34"/>
      <c r="AJ409" s="18"/>
      <c r="AK409" s="48"/>
      <c r="AL409" s="26" t="str">
        <f>IFERROR(__xludf.DUMMYFUNCTION("""COMPUTED_VALUE"""),"* PN7CO *")</f>
        <v>* PN7CO *</v>
      </c>
      <c r="AM409" s="59">
        <f>IFERROR(__xludf.DUMMYFUNCTION("""COMPUTED_VALUE"""),148200.0)</f>
        <v>148200</v>
      </c>
    </row>
    <row r="410">
      <c r="A410" s="51"/>
      <c r="B410" s="51"/>
      <c r="C410" s="52"/>
      <c r="D410" s="51"/>
      <c r="E410" s="53"/>
      <c r="F410" s="54"/>
      <c r="G410" s="51"/>
      <c r="H410" s="51"/>
      <c r="I410" s="55"/>
      <c r="J410" s="56"/>
      <c r="K410" s="46"/>
      <c r="L410" s="46"/>
      <c r="M410" s="47"/>
      <c r="N410" s="46"/>
      <c r="O410" s="57"/>
      <c r="P410" s="46"/>
      <c r="Q410" s="46"/>
      <c r="R410" s="57"/>
      <c r="S410" s="7"/>
      <c r="T410" s="54"/>
      <c r="U410" s="58"/>
      <c r="V410" s="47"/>
      <c r="W410" s="18"/>
      <c r="X410" s="46"/>
      <c r="Y410" s="9"/>
      <c r="Z410" s="46"/>
      <c r="AA410" s="7"/>
      <c r="AB410" s="46"/>
      <c r="AC410" s="47"/>
      <c r="AD410" s="7"/>
      <c r="AE410" s="47"/>
      <c r="AF410" s="18"/>
      <c r="AG410" s="26"/>
      <c r="AH410" s="34"/>
      <c r="AI410" s="34"/>
      <c r="AJ410" s="18"/>
      <c r="AK410" s="48"/>
      <c r="AL410" s="26" t="str">
        <f>IFERROR(__xludf.DUMMYFUNCTION("""COMPUTED_VALUE"""),"* PNACO *")</f>
        <v>* PNACO *</v>
      </c>
      <c r="AM410" s="59">
        <f>IFERROR(__xludf.DUMMYFUNCTION("""COMPUTED_VALUE"""),126470.0)</f>
        <v>126470</v>
      </c>
    </row>
    <row r="411">
      <c r="A411" s="51"/>
      <c r="B411" s="51"/>
      <c r="C411" s="52"/>
      <c r="D411" s="51"/>
      <c r="E411" s="53"/>
      <c r="F411" s="54"/>
      <c r="G411" s="51"/>
      <c r="H411" s="51"/>
      <c r="I411" s="55"/>
      <c r="J411" s="56"/>
      <c r="K411" s="46"/>
      <c r="L411" s="46"/>
      <c r="M411" s="47"/>
      <c r="N411" s="46"/>
      <c r="O411" s="57"/>
      <c r="P411" s="46"/>
      <c r="Q411" s="46"/>
      <c r="R411" s="57"/>
      <c r="S411" s="7"/>
      <c r="T411" s="54"/>
      <c r="U411" s="58"/>
      <c r="V411" s="47"/>
      <c r="W411" s="18"/>
      <c r="X411" s="46"/>
      <c r="Y411" s="9"/>
      <c r="Z411" s="46"/>
      <c r="AA411" s="7"/>
      <c r="AB411" s="46"/>
      <c r="AC411" s="47"/>
      <c r="AD411" s="7"/>
      <c r="AE411" s="47"/>
      <c r="AF411" s="18"/>
      <c r="AG411" s="26"/>
      <c r="AH411" s="34"/>
      <c r="AI411" s="34"/>
      <c r="AJ411" s="18"/>
      <c r="AK411" s="48"/>
      <c r="AL411" s="26" t="str">
        <f>IFERROR(__xludf.DUMMYFUNCTION("""COMPUTED_VALUE"""),"* PNDCD *")</f>
        <v>* PNDCD *</v>
      </c>
      <c r="AM411" s="59">
        <f>IFERROR(__xludf.DUMMYFUNCTION("""COMPUTED_VALUE"""),63.19)</f>
        <v>63.19</v>
      </c>
    </row>
    <row r="412">
      <c r="A412" s="51"/>
      <c r="B412" s="51"/>
      <c r="C412" s="52"/>
      <c r="D412" s="51"/>
      <c r="E412" s="53"/>
      <c r="F412" s="54"/>
      <c r="G412" s="51"/>
      <c r="H412" s="51"/>
      <c r="I412" s="55"/>
      <c r="J412" s="56"/>
      <c r="K412" s="46"/>
      <c r="L412" s="46"/>
      <c r="M412" s="47"/>
      <c r="N412" s="46"/>
      <c r="O412" s="57"/>
      <c r="P412" s="46"/>
      <c r="Q412" s="46"/>
      <c r="R412" s="57"/>
      <c r="S412" s="7"/>
      <c r="T412" s="54"/>
      <c r="U412" s="58"/>
      <c r="V412" s="47"/>
      <c r="W412" s="18"/>
      <c r="X412" s="46"/>
      <c r="Y412" s="9"/>
      <c r="Z412" s="46"/>
      <c r="AA412" s="7"/>
      <c r="AB412" s="46"/>
      <c r="AC412" s="47"/>
      <c r="AD412" s="7"/>
      <c r="AE412" s="47"/>
      <c r="AF412" s="18"/>
      <c r="AG412" s="26"/>
      <c r="AH412" s="34"/>
      <c r="AI412" s="34"/>
      <c r="AJ412" s="18"/>
      <c r="AK412" s="48"/>
      <c r="AL412" s="26" t="str">
        <f>IFERROR(__xludf.DUMMYFUNCTION("""COMPUTED_VALUE"""),"* PNDCO *")</f>
        <v>* PNDCO *</v>
      </c>
      <c r="AM412" s="59">
        <f>IFERROR(__xludf.DUMMYFUNCTION("""COMPUTED_VALUE"""),92800.0)</f>
        <v>92800</v>
      </c>
    </row>
    <row r="413">
      <c r="A413" s="51"/>
      <c r="B413" s="51"/>
      <c r="C413" s="52"/>
      <c r="D413" s="51"/>
      <c r="E413" s="53"/>
      <c r="F413" s="54"/>
      <c r="G413" s="51"/>
      <c r="H413" s="51"/>
      <c r="I413" s="55"/>
      <c r="J413" s="56"/>
      <c r="K413" s="46"/>
      <c r="L413" s="46"/>
      <c r="M413" s="47"/>
      <c r="N413" s="46"/>
      <c r="O413" s="57"/>
      <c r="P413" s="46"/>
      <c r="Q413" s="46"/>
      <c r="R413" s="57"/>
      <c r="S413" s="7"/>
      <c r="T413" s="54"/>
      <c r="U413" s="58"/>
      <c r="V413" s="47"/>
      <c r="W413" s="18"/>
      <c r="X413" s="46"/>
      <c r="Y413" s="9"/>
      <c r="Z413" s="46"/>
      <c r="AA413" s="7"/>
      <c r="AB413" s="46"/>
      <c r="AC413" s="47"/>
      <c r="AD413" s="7"/>
      <c r="AE413" s="47"/>
      <c r="AF413" s="18"/>
      <c r="AG413" s="26"/>
      <c r="AH413" s="34"/>
      <c r="AI413" s="34"/>
      <c r="AJ413" s="18"/>
      <c r="AK413" s="48"/>
      <c r="AL413" s="26" t="str">
        <f>IFERROR(__xludf.DUMMYFUNCTION("""COMPUTED_VALUE"""),"* PNVCD *")</f>
        <v>* PNVCD *</v>
      </c>
      <c r="AM413" s="59">
        <f>IFERROR(__xludf.DUMMYFUNCTION("""COMPUTED_VALUE"""),106.85)</f>
        <v>106.85</v>
      </c>
    </row>
    <row r="414">
      <c r="A414" s="51"/>
      <c r="B414" s="51"/>
      <c r="C414" s="52"/>
      <c r="D414" s="51"/>
      <c r="E414" s="53"/>
      <c r="F414" s="54"/>
      <c r="G414" s="51"/>
      <c r="H414" s="51"/>
      <c r="I414" s="55"/>
      <c r="J414" s="56"/>
      <c r="K414" s="46"/>
      <c r="L414" s="46"/>
      <c r="M414" s="47"/>
      <c r="N414" s="46"/>
      <c r="O414" s="57"/>
      <c r="P414" s="46"/>
      <c r="Q414" s="46"/>
      <c r="R414" s="57"/>
      <c r="S414" s="7"/>
      <c r="T414" s="54"/>
      <c r="U414" s="58"/>
      <c r="V414" s="47"/>
      <c r="W414" s="18"/>
      <c r="X414" s="46"/>
      <c r="Y414" s="9"/>
      <c r="Z414" s="46"/>
      <c r="AA414" s="7"/>
      <c r="AB414" s="46"/>
      <c r="AC414" s="47"/>
      <c r="AD414" s="7"/>
      <c r="AE414" s="47"/>
      <c r="AF414" s="18"/>
      <c r="AG414" s="26"/>
      <c r="AH414" s="34"/>
      <c r="AI414" s="34"/>
      <c r="AJ414" s="18"/>
      <c r="AK414" s="48"/>
      <c r="AL414" s="26" t="str">
        <f>IFERROR(__xludf.DUMMYFUNCTION("""COMPUTED_VALUE"""),"* PNVCO *")</f>
        <v>* PNVCO *</v>
      </c>
      <c r="AM414" s="59">
        <f>IFERROR(__xludf.DUMMYFUNCTION("""COMPUTED_VALUE"""),148000.0)</f>
        <v>148000</v>
      </c>
    </row>
    <row r="415">
      <c r="A415" s="51"/>
      <c r="B415" s="51"/>
      <c r="C415" s="52"/>
      <c r="D415" s="51"/>
      <c r="E415" s="53"/>
      <c r="F415" s="54"/>
      <c r="G415" s="51"/>
      <c r="H415" s="51"/>
      <c r="I415" s="55"/>
      <c r="J415" s="56"/>
      <c r="K415" s="46"/>
      <c r="L415" s="46"/>
      <c r="M415" s="47"/>
      <c r="N415" s="46"/>
      <c r="O415" s="57"/>
      <c r="P415" s="46"/>
      <c r="Q415" s="46"/>
      <c r="R415" s="57"/>
      <c r="S415" s="7"/>
      <c r="T415" s="54"/>
      <c r="U415" s="58"/>
      <c r="V415" s="47"/>
      <c r="W415" s="18"/>
      <c r="X415" s="46"/>
      <c r="Y415" s="9"/>
      <c r="Z415" s="46"/>
      <c r="AA415" s="7"/>
      <c r="AB415" s="46"/>
      <c r="AC415" s="47"/>
      <c r="AD415" s="7"/>
      <c r="AE415" s="47"/>
      <c r="AF415" s="18"/>
      <c r="AG415" s="26"/>
      <c r="AH415" s="34"/>
      <c r="AI415" s="34"/>
      <c r="AJ415" s="18"/>
      <c r="AK415" s="48"/>
      <c r="AL415" s="26" t="str">
        <f>IFERROR(__xludf.DUMMYFUNCTION("""COMPUTED_VALUE"""),"* PNWCO *")</f>
        <v>* PNWCO *</v>
      </c>
      <c r="AM415" s="59">
        <f>IFERROR(__xludf.DUMMYFUNCTION("""COMPUTED_VALUE"""),154000.0)</f>
        <v>154000</v>
      </c>
    </row>
    <row r="416">
      <c r="A416" s="51"/>
      <c r="B416" s="51"/>
      <c r="C416" s="52"/>
      <c r="D416" s="51"/>
      <c r="E416" s="53"/>
      <c r="F416" s="54"/>
      <c r="G416" s="51"/>
      <c r="H416" s="51"/>
      <c r="I416" s="55"/>
      <c r="J416" s="56"/>
      <c r="K416" s="46"/>
      <c r="L416" s="46"/>
      <c r="M416" s="47"/>
      <c r="N416" s="46"/>
      <c r="O416" s="57"/>
      <c r="P416" s="46"/>
      <c r="Q416" s="46"/>
      <c r="R416" s="57"/>
      <c r="S416" s="7"/>
      <c r="T416" s="54"/>
      <c r="U416" s="58"/>
      <c r="V416" s="47"/>
      <c r="W416" s="18"/>
      <c r="X416" s="46"/>
      <c r="Y416" s="9"/>
      <c r="Z416" s="46"/>
      <c r="AA416" s="7"/>
      <c r="AB416" s="46"/>
      <c r="AC416" s="47"/>
      <c r="AD416" s="7"/>
      <c r="AE416" s="47"/>
      <c r="AF416" s="18"/>
      <c r="AG416" s="26"/>
      <c r="AH416" s="34"/>
      <c r="AI416" s="34"/>
      <c r="AJ416" s="18"/>
      <c r="AK416" s="48"/>
      <c r="AL416" s="26" t="str">
        <f>IFERROR(__xludf.DUMMYFUNCTION("""COMPUTED_VALUE"""),"* PNXCC *")</f>
        <v>* PNXCC *</v>
      </c>
      <c r="AM416" s="59">
        <f>IFERROR(__xludf.DUMMYFUNCTION("""COMPUTED_VALUE"""),105.8)</f>
        <v>105.8</v>
      </c>
    </row>
    <row r="417">
      <c r="A417" s="51"/>
      <c r="B417" s="51"/>
      <c r="C417" s="52"/>
      <c r="D417" s="51"/>
      <c r="E417" s="53"/>
      <c r="F417" s="54"/>
      <c r="G417" s="51"/>
      <c r="H417" s="51"/>
      <c r="I417" s="55"/>
      <c r="J417" s="56"/>
      <c r="K417" s="46"/>
      <c r="L417" s="46"/>
      <c r="M417" s="47"/>
      <c r="N417" s="46"/>
      <c r="O417" s="57"/>
      <c r="P417" s="46"/>
      <c r="Q417" s="46"/>
      <c r="R417" s="57"/>
      <c r="S417" s="7"/>
      <c r="T417" s="54"/>
      <c r="U417" s="58"/>
      <c r="V417" s="47"/>
      <c r="W417" s="18"/>
      <c r="X417" s="46"/>
      <c r="Y417" s="9"/>
      <c r="Z417" s="46"/>
      <c r="AA417" s="7"/>
      <c r="AB417" s="46"/>
      <c r="AC417" s="47"/>
      <c r="AD417" s="7"/>
      <c r="AE417" s="47"/>
      <c r="AF417" s="18"/>
      <c r="AG417" s="26"/>
      <c r="AH417" s="34"/>
      <c r="AI417" s="34"/>
      <c r="AJ417" s="18"/>
      <c r="AK417" s="48"/>
      <c r="AL417" s="26" t="str">
        <f>IFERROR(__xludf.DUMMYFUNCTION("""COMPUTED_VALUE"""),"* PNXCD *")</f>
        <v>* PNXCD *</v>
      </c>
      <c r="AM417" s="59">
        <f>IFERROR(__xludf.DUMMYFUNCTION("""COMPUTED_VALUE"""),108.6)</f>
        <v>108.6</v>
      </c>
    </row>
    <row r="418">
      <c r="A418" s="51"/>
      <c r="B418" s="51"/>
      <c r="C418" s="52"/>
      <c r="D418" s="51"/>
      <c r="E418" s="53"/>
      <c r="F418" s="54"/>
      <c r="G418" s="51"/>
      <c r="H418" s="51"/>
      <c r="I418" s="55"/>
      <c r="J418" s="56"/>
      <c r="K418" s="46"/>
      <c r="L418" s="46"/>
      <c r="M418" s="47"/>
      <c r="N418" s="46"/>
      <c r="O418" s="57"/>
      <c r="P418" s="46"/>
      <c r="Q418" s="46"/>
      <c r="R418" s="57"/>
      <c r="S418" s="7"/>
      <c r="T418" s="54"/>
      <c r="U418" s="58"/>
      <c r="V418" s="47"/>
      <c r="W418" s="18"/>
      <c r="X418" s="46"/>
      <c r="Y418" s="9"/>
      <c r="Z418" s="46"/>
      <c r="AA418" s="7"/>
      <c r="AB418" s="46"/>
      <c r="AC418" s="47"/>
      <c r="AD418" s="7"/>
      <c r="AE418" s="47"/>
      <c r="AF418" s="18"/>
      <c r="AG418" s="26"/>
      <c r="AH418" s="34"/>
      <c r="AI418" s="34"/>
      <c r="AJ418" s="18"/>
      <c r="AK418" s="48"/>
      <c r="AL418" s="26" t="str">
        <f>IFERROR(__xludf.DUMMYFUNCTION("""COMPUTED_VALUE"""),"* PNXCO *")</f>
        <v>* PNXCO *</v>
      </c>
      <c r="AM418" s="59">
        <f>IFERROR(__xludf.DUMMYFUNCTION("""COMPUTED_VALUE"""),159010.0)</f>
        <v>159010</v>
      </c>
    </row>
    <row r="419">
      <c r="A419" s="51"/>
      <c r="B419" s="51"/>
      <c r="C419" s="52"/>
      <c r="D419" s="51"/>
      <c r="E419" s="53"/>
      <c r="F419" s="54"/>
      <c r="G419" s="51"/>
      <c r="H419" s="51"/>
      <c r="I419" s="55"/>
      <c r="J419" s="56"/>
      <c r="K419" s="46"/>
      <c r="L419" s="46"/>
      <c r="M419" s="47"/>
      <c r="N419" s="46"/>
      <c r="O419" s="57"/>
      <c r="P419" s="46"/>
      <c r="Q419" s="46"/>
      <c r="R419" s="57"/>
      <c r="S419" s="7"/>
      <c r="T419" s="54"/>
      <c r="U419" s="58"/>
      <c r="V419" s="47"/>
      <c r="W419" s="18"/>
      <c r="X419" s="46"/>
      <c r="Y419" s="9"/>
      <c r="Z419" s="46"/>
      <c r="AA419" s="7"/>
      <c r="AB419" s="46"/>
      <c r="AC419" s="47"/>
      <c r="AD419" s="7"/>
      <c r="AE419" s="47"/>
      <c r="AF419" s="18"/>
      <c r="AG419" s="26"/>
      <c r="AH419" s="34"/>
      <c r="AI419" s="34"/>
      <c r="AJ419" s="18"/>
      <c r="AK419" s="48"/>
      <c r="AL419" s="26" t="str">
        <f>IFERROR(__xludf.DUMMYFUNCTION("""COMPUTED_VALUE"""),"* PQCOO *")</f>
        <v>* PQCOO *</v>
      </c>
      <c r="AM419" s="59">
        <f>IFERROR(__xludf.DUMMYFUNCTION("""COMPUTED_VALUE"""),119000.0)</f>
        <v>119000</v>
      </c>
    </row>
    <row r="420">
      <c r="A420" s="51"/>
      <c r="B420" s="51"/>
      <c r="C420" s="52"/>
      <c r="D420" s="51"/>
      <c r="E420" s="53"/>
      <c r="F420" s="54"/>
      <c r="G420" s="51"/>
      <c r="H420" s="51"/>
      <c r="I420" s="55"/>
      <c r="J420" s="56"/>
      <c r="K420" s="46"/>
      <c r="L420" s="46"/>
      <c r="M420" s="47"/>
      <c r="N420" s="46"/>
      <c r="O420" s="57"/>
      <c r="P420" s="46"/>
      <c r="Q420" s="46"/>
      <c r="R420" s="57"/>
      <c r="S420" s="7"/>
      <c r="T420" s="54"/>
      <c r="U420" s="58"/>
      <c r="V420" s="47"/>
      <c r="W420" s="18"/>
      <c r="X420" s="46"/>
      <c r="Y420" s="9"/>
      <c r="Z420" s="46"/>
      <c r="AA420" s="7"/>
      <c r="AB420" s="46"/>
      <c r="AC420" s="47"/>
      <c r="AD420" s="7"/>
      <c r="AE420" s="47"/>
      <c r="AF420" s="18"/>
      <c r="AG420" s="26"/>
      <c r="AH420" s="34"/>
      <c r="AI420" s="34"/>
      <c r="AJ420" s="18"/>
      <c r="AK420" s="48"/>
      <c r="AL420" s="26" t="str">
        <f>IFERROR(__xludf.DUMMYFUNCTION("""COMPUTED_VALUE"""),"* PQCRD *")</f>
        <v>* PQCRD *</v>
      </c>
      <c r="AM420" s="59">
        <f>IFERROR(__xludf.DUMMYFUNCTION("""COMPUTED_VALUE"""),91.0)</f>
        <v>91</v>
      </c>
    </row>
    <row r="421">
      <c r="A421" s="51"/>
      <c r="B421" s="51"/>
      <c r="C421" s="52"/>
      <c r="D421" s="51"/>
      <c r="E421" s="53"/>
      <c r="F421" s="54"/>
      <c r="G421" s="51"/>
      <c r="H421" s="51"/>
      <c r="I421" s="55"/>
      <c r="J421" s="56"/>
      <c r="K421" s="46"/>
      <c r="L421" s="46"/>
      <c r="M421" s="47"/>
      <c r="N421" s="46"/>
      <c r="O421" s="57"/>
      <c r="P421" s="46"/>
      <c r="Q421" s="46"/>
      <c r="R421" s="57"/>
      <c r="S421" s="7"/>
      <c r="T421" s="54"/>
      <c r="U421" s="58"/>
      <c r="V421" s="47"/>
      <c r="W421" s="18"/>
      <c r="X421" s="46"/>
      <c r="Y421" s="9"/>
      <c r="Z421" s="46"/>
      <c r="AA421" s="7"/>
      <c r="AB421" s="46"/>
      <c r="AC421" s="47"/>
      <c r="AD421" s="7"/>
      <c r="AE421" s="47"/>
      <c r="AF421" s="18"/>
      <c r="AG421" s="26"/>
      <c r="AH421" s="34"/>
      <c r="AI421" s="34"/>
      <c r="AJ421" s="18"/>
      <c r="AK421" s="48"/>
      <c r="AL421" s="26" t="str">
        <f>IFERROR(__xludf.DUMMYFUNCTION("""COMPUTED_VALUE"""),"* PQCRO *")</f>
        <v>* PQCRO *</v>
      </c>
      <c r="AM421" s="59">
        <f>IFERROR(__xludf.DUMMYFUNCTION("""COMPUTED_VALUE"""),136900.0)</f>
        <v>136900</v>
      </c>
    </row>
    <row r="422">
      <c r="A422" s="51"/>
      <c r="B422" s="51"/>
      <c r="C422" s="52"/>
      <c r="D422" s="51"/>
      <c r="E422" s="53"/>
      <c r="F422" s="54"/>
      <c r="G422" s="51"/>
      <c r="H422" s="51"/>
      <c r="I422" s="55"/>
      <c r="J422" s="56"/>
      <c r="K422" s="46"/>
      <c r="L422" s="46"/>
      <c r="M422" s="47"/>
      <c r="N422" s="46"/>
      <c r="O422" s="57"/>
      <c r="P422" s="46"/>
      <c r="Q422" s="46"/>
      <c r="R422" s="57"/>
      <c r="S422" s="7"/>
      <c r="T422" s="54"/>
      <c r="U422" s="58"/>
      <c r="V422" s="47"/>
      <c r="W422" s="18"/>
      <c r="X422" s="46"/>
      <c r="Y422" s="9"/>
      <c r="Z422" s="46"/>
      <c r="AA422" s="7"/>
      <c r="AB422" s="46"/>
      <c r="AC422" s="47"/>
      <c r="AD422" s="7"/>
      <c r="AE422" s="47"/>
      <c r="AF422" s="18"/>
      <c r="AG422" s="26"/>
      <c r="AH422" s="34"/>
      <c r="AI422" s="34"/>
      <c r="AJ422" s="18"/>
      <c r="AK422" s="48"/>
      <c r="AL422" s="26" t="str">
        <f>IFERROR(__xludf.DUMMYFUNCTION("""COMPUTED_VALUE"""),"* PQCSD *")</f>
        <v>* PQCSD *</v>
      </c>
      <c r="AM422" s="59">
        <f>IFERROR(__xludf.DUMMYFUNCTION("""COMPUTED_VALUE"""),93.86)</f>
        <v>93.86</v>
      </c>
    </row>
    <row r="423">
      <c r="A423" s="51"/>
      <c r="B423" s="51"/>
      <c r="C423" s="52"/>
      <c r="D423" s="51"/>
      <c r="E423" s="53"/>
      <c r="F423" s="54"/>
      <c r="G423" s="51"/>
      <c r="H423" s="51"/>
      <c r="I423" s="55"/>
      <c r="J423" s="56"/>
      <c r="K423" s="46"/>
      <c r="L423" s="46"/>
      <c r="M423" s="47"/>
      <c r="N423" s="46"/>
      <c r="O423" s="57"/>
      <c r="P423" s="46"/>
      <c r="Q423" s="46"/>
      <c r="R423" s="57"/>
      <c r="S423" s="7"/>
      <c r="T423" s="54"/>
      <c r="U423" s="58"/>
      <c r="V423" s="47"/>
      <c r="W423" s="18"/>
      <c r="X423" s="46"/>
      <c r="Y423" s="9"/>
      <c r="Z423" s="46"/>
      <c r="AA423" s="7"/>
      <c r="AB423" s="46"/>
      <c r="AC423" s="47"/>
      <c r="AD423" s="7"/>
      <c r="AE423" s="47"/>
      <c r="AF423" s="18"/>
      <c r="AG423" s="26"/>
      <c r="AH423" s="34"/>
      <c r="AI423" s="34"/>
      <c r="AJ423" s="18"/>
      <c r="AK423" s="48"/>
      <c r="AL423" s="26" t="str">
        <f>IFERROR(__xludf.DUMMYFUNCTION("""COMPUTED_VALUE"""),"* PQCSO *")</f>
        <v>* PQCSO *</v>
      </c>
      <c r="AM423" s="59">
        <f>IFERROR(__xludf.DUMMYFUNCTION("""COMPUTED_VALUE"""),137500.0)</f>
        <v>137500</v>
      </c>
    </row>
    <row r="424">
      <c r="A424" s="51"/>
      <c r="B424" s="51"/>
      <c r="C424" s="52"/>
      <c r="D424" s="51"/>
      <c r="E424" s="53"/>
      <c r="F424" s="54"/>
      <c r="G424" s="51"/>
      <c r="H424" s="51"/>
      <c r="I424" s="55"/>
      <c r="J424" s="56"/>
      <c r="K424" s="46"/>
      <c r="L424" s="46"/>
      <c r="M424" s="47"/>
      <c r="N424" s="46"/>
      <c r="O424" s="57"/>
      <c r="P424" s="46"/>
      <c r="Q424" s="46"/>
      <c r="R424" s="57"/>
      <c r="S424" s="7"/>
      <c r="T424" s="54"/>
      <c r="U424" s="58"/>
      <c r="V424" s="47"/>
      <c r="W424" s="18"/>
      <c r="X424" s="46"/>
      <c r="Y424" s="9"/>
      <c r="Z424" s="46"/>
      <c r="AA424" s="7"/>
      <c r="AB424" s="46"/>
      <c r="AC424" s="47"/>
      <c r="AD424" s="7"/>
      <c r="AE424" s="47"/>
      <c r="AF424" s="18"/>
      <c r="AG424" s="26"/>
      <c r="AH424" s="34"/>
      <c r="AI424" s="34"/>
      <c r="AJ424" s="18"/>
      <c r="AK424" s="48"/>
      <c r="AL424" s="26" t="str">
        <f>IFERROR(__xludf.DUMMYFUNCTION("""COMPUTED_VALUE"""),"* PVC1O *")</f>
        <v>* PVC1O *</v>
      </c>
      <c r="AM424" s="59">
        <f>IFERROR(__xludf.DUMMYFUNCTION("""COMPUTED_VALUE"""),100.0)</f>
        <v>100</v>
      </c>
    </row>
    <row r="425">
      <c r="A425" s="51"/>
      <c r="B425" s="51"/>
      <c r="C425" s="52"/>
      <c r="D425" s="51"/>
      <c r="E425" s="53"/>
      <c r="F425" s="54"/>
      <c r="G425" s="51"/>
      <c r="H425" s="51"/>
      <c r="I425" s="55"/>
      <c r="J425" s="56"/>
      <c r="K425" s="46"/>
      <c r="L425" s="46"/>
      <c r="M425" s="47"/>
      <c r="N425" s="46"/>
      <c r="O425" s="57"/>
      <c r="P425" s="46"/>
      <c r="Q425" s="46"/>
      <c r="R425" s="57"/>
      <c r="S425" s="7"/>
      <c r="T425" s="54"/>
      <c r="U425" s="58"/>
      <c r="V425" s="47"/>
      <c r="W425" s="18"/>
      <c r="X425" s="46"/>
      <c r="Y425" s="9"/>
      <c r="Z425" s="46"/>
      <c r="AA425" s="7"/>
      <c r="AB425" s="46"/>
      <c r="AC425" s="47"/>
      <c r="AD425" s="7"/>
      <c r="AE425" s="47"/>
      <c r="AF425" s="18"/>
      <c r="AG425" s="26"/>
      <c r="AH425" s="34"/>
      <c r="AI425" s="34"/>
      <c r="AJ425" s="18"/>
      <c r="AK425" s="48"/>
      <c r="AL425" s="26" t="str">
        <f>IFERROR(__xludf.DUMMYFUNCTION("""COMPUTED_VALUE"""),"* PVC2O *")</f>
        <v>* PVC2O *</v>
      </c>
      <c r="AM425" s="59">
        <f>IFERROR(__xludf.DUMMYFUNCTION("""COMPUTED_VALUE"""),116480.0)</f>
        <v>116480</v>
      </c>
    </row>
    <row r="426">
      <c r="A426" s="51"/>
      <c r="B426" s="51"/>
      <c r="C426" s="52"/>
      <c r="D426" s="51"/>
      <c r="E426" s="53"/>
      <c r="F426" s="54"/>
      <c r="G426" s="51"/>
      <c r="H426" s="51"/>
      <c r="I426" s="55"/>
      <c r="J426" s="56"/>
      <c r="K426" s="46"/>
      <c r="L426" s="46"/>
      <c r="M426" s="47"/>
      <c r="N426" s="46"/>
      <c r="O426" s="57"/>
      <c r="P426" s="46"/>
      <c r="Q426" s="46"/>
      <c r="R426" s="57"/>
      <c r="S426" s="7"/>
      <c r="T426" s="54"/>
      <c r="U426" s="58"/>
      <c r="V426" s="47"/>
      <c r="W426" s="18"/>
      <c r="X426" s="46"/>
      <c r="Y426" s="9"/>
      <c r="Z426" s="46"/>
      <c r="AA426" s="7"/>
      <c r="AB426" s="46"/>
      <c r="AC426" s="47"/>
      <c r="AD426" s="7"/>
      <c r="AE426" s="47"/>
      <c r="AF426" s="18"/>
      <c r="AG426" s="26"/>
      <c r="AH426" s="34"/>
      <c r="AI426" s="34"/>
      <c r="AJ426" s="18"/>
      <c r="AK426" s="48"/>
      <c r="AL426" s="26" t="str">
        <f>IFERROR(__xludf.DUMMYFUNCTION("""COMPUTED_VALUE"""),"* PVC3C *")</f>
        <v>* PVC3C *</v>
      </c>
      <c r="AM426" s="59">
        <f>IFERROR(__xludf.DUMMYFUNCTION("""COMPUTED_VALUE"""),100.0)</f>
        <v>100</v>
      </c>
    </row>
    <row r="427">
      <c r="A427" s="51"/>
      <c r="B427" s="51"/>
      <c r="C427" s="52"/>
      <c r="D427" s="51"/>
      <c r="E427" s="53"/>
      <c r="F427" s="54"/>
      <c r="G427" s="51"/>
      <c r="H427" s="51"/>
      <c r="I427" s="55"/>
      <c r="J427" s="56"/>
      <c r="K427" s="46"/>
      <c r="L427" s="46"/>
      <c r="M427" s="47"/>
      <c r="N427" s="46"/>
      <c r="O427" s="57"/>
      <c r="P427" s="46"/>
      <c r="Q427" s="46"/>
      <c r="R427" s="57"/>
      <c r="S427" s="7"/>
      <c r="T427" s="54"/>
      <c r="U427" s="58"/>
      <c r="V427" s="47"/>
      <c r="W427" s="18"/>
      <c r="X427" s="46"/>
      <c r="Y427" s="9"/>
      <c r="Z427" s="46"/>
      <c r="AA427" s="7"/>
      <c r="AB427" s="46"/>
      <c r="AC427" s="47"/>
      <c r="AD427" s="7"/>
      <c r="AE427" s="47"/>
      <c r="AF427" s="18"/>
      <c r="AG427" s="26"/>
      <c r="AH427" s="34"/>
      <c r="AI427" s="34"/>
      <c r="AJ427" s="18"/>
      <c r="AK427" s="48"/>
      <c r="AL427" s="26" t="str">
        <f>IFERROR(__xludf.DUMMYFUNCTION("""COMPUTED_VALUE"""),"* PVC3O *")</f>
        <v>* PVC3O *</v>
      </c>
      <c r="AM427" s="59">
        <f>IFERROR(__xludf.DUMMYFUNCTION("""COMPUTED_VALUE"""),146035.0)</f>
        <v>146035</v>
      </c>
    </row>
    <row r="428">
      <c r="A428" s="51"/>
      <c r="B428" s="51"/>
      <c r="C428" s="52"/>
      <c r="D428" s="51"/>
      <c r="E428" s="53"/>
      <c r="F428" s="54"/>
      <c r="G428" s="51"/>
      <c r="H428" s="51"/>
      <c r="I428" s="55"/>
      <c r="J428" s="56"/>
      <c r="K428" s="46"/>
      <c r="L428" s="46"/>
      <c r="M428" s="47"/>
      <c r="N428" s="46"/>
      <c r="O428" s="57"/>
      <c r="P428" s="46"/>
      <c r="Q428" s="46"/>
      <c r="R428" s="57"/>
      <c r="S428" s="7"/>
      <c r="T428" s="54"/>
      <c r="U428" s="58"/>
      <c r="V428" s="47"/>
      <c r="W428" s="18"/>
      <c r="X428" s="46"/>
      <c r="Y428" s="9"/>
      <c r="Z428" s="46"/>
      <c r="AA428" s="7"/>
      <c r="AB428" s="46"/>
      <c r="AC428" s="47"/>
      <c r="AD428" s="7"/>
      <c r="AE428" s="47"/>
      <c r="AF428" s="18"/>
      <c r="AG428" s="26"/>
      <c r="AH428" s="34"/>
      <c r="AI428" s="34"/>
      <c r="AJ428" s="18"/>
      <c r="AK428" s="48"/>
      <c r="AL428" s="26" t="str">
        <f>IFERROR(__xludf.DUMMYFUNCTION("""COMPUTED_VALUE"""),"* PVC4O *")</f>
        <v>* PVC4O *</v>
      </c>
      <c r="AM428" s="59">
        <f>IFERROR(__xludf.DUMMYFUNCTION("""COMPUTED_VALUE"""),100.0)</f>
        <v>100</v>
      </c>
    </row>
    <row r="429">
      <c r="A429" s="51"/>
      <c r="B429" s="51"/>
      <c r="C429" s="52"/>
      <c r="D429" s="51"/>
      <c r="E429" s="53"/>
      <c r="F429" s="54"/>
      <c r="G429" s="51"/>
      <c r="H429" s="51"/>
      <c r="I429" s="55"/>
      <c r="J429" s="56"/>
      <c r="K429" s="46"/>
      <c r="L429" s="46"/>
      <c r="M429" s="47"/>
      <c r="N429" s="46"/>
      <c r="O429" s="57"/>
      <c r="P429" s="46"/>
      <c r="Q429" s="46"/>
      <c r="R429" s="57"/>
      <c r="S429" s="7"/>
      <c r="T429" s="54"/>
      <c r="U429" s="58"/>
      <c r="V429" s="47"/>
      <c r="W429" s="18"/>
      <c r="X429" s="46"/>
      <c r="Y429" s="9"/>
      <c r="Z429" s="46"/>
      <c r="AA429" s="7"/>
      <c r="AB429" s="46"/>
      <c r="AC429" s="47"/>
      <c r="AD429" s="7"/>
      <c r="AE429" s="47"/>
      <c r="AF429" s="18"/>
      <c r="AG429" s="26"/>
      <c r="AH429" s="34"/>
      <c r="AI429" s="34"/>
      <c r="AJ429" s="18"/>
      <c r="AK429" s="48"/>
      <c r="AL429" s="26" t="str">
        <f>IFERROR(__xludf.DUMMYFUNCTION("""COMPUTED_VALUE"""),"* PZCGD *")</f>
        <v>* PZCGD *</v>
      </c>
      <c r="AM429" s="59">
        <f>IFERROR(__xludf.DUMMYFUNCTION("""COMPUTED_VALUE"""),99.0)</f>
        <v>99</v>
      </c>
    </row>
    <row r="430">
      <c r="A430" s="51"/>
      <c r="B430" s="51"/>
      <c r="C430" s="52"/>
      <c r="D430" s="51"/>
      <c r="E430" s="53"/>
      <c r="F430" s="54"/>
      <c r="G430" s="51"/>
      <c r="H430" s="51"/>
      <c r="I430" s="55"/>
      <c r="J430" s="56"/>
      <c r="K430" s="46"/>
      <c r="L430" s="46"/>
      <c r="M430" s="47"/>
      <c r="N430" s="46"/>
      <c r="O430" s="57"/>
      <c r="P430" s="46"/>
      <c r="Q430" s="46"/>
      <c r="R430" s="57"/>
      <c r="S430" s="7"/>
      <c r="T430" s="54"/>
      <c r="U430" s="58"/>
      <c r="V430" s="47"/>
      <c r="W430" s="18"/>
      <c r="X430" s="46"/>
      <c r="Y430" s="9"/>
      <c r="Z430" s="46"/>
      <c r="AA430" s="7"/>
      <c r="AB430" s="46"/>
      <c r="AC430" s="47"/>
      <c r="AD430" s="7"/>
      <c r="AE430" s="47"/>
      <c r="AF430" s="18"/>
      <c r="AG430" s="26"/>
      <c r="AH430" s="34"/>
      <c r="AI430" s="34"/>
      <c r="AJ430" s="18"/>
      <c r="AK430" s="48"/>
      <c r="AL430" s="26" t="str">
        <f>IFERROR(__xludf.DUMMYFUNCTION("""COMPUTED_VALUE"""),"* PZCGO *")</f>
        <v>* PZCGO *</v>
      </c>
      <c r="AM430" s="59">
        <f>IFERROR(__xludf.DUMMYFUNCTION("""COMPUTED_VALUE"""),147000.0)</f>
        <v>147000</v>
      </c>
    </row>
    <row r="431">
      <c r="A431" s="51"/>
      <c r="B431" s="51"/>
      <c r="C431" s="52"/>
      <c r="D431" s="51"/>
      <c r="E431" s="53"/>
      <c r="F431" s="54"/>
      <c r="G431" s="51"/>
      <c r="H431" s="51"/>
      <c r="I431" s="55"/>
      <c r="J431" s="56"/>
      <c r="K431" s="46"/>
      <c r="L431" s="46"/>
      <c r="M431" s="47"/>
      <c r="N431" s="46"/>
      <c r="O431" s="57"/>
      <c r="P431" s="46"/>
      <c r="Q431" s="46"/>
      <c r="R431" s="57"/>
      <c r="S431" s="7"/>
      <c r="T431" s="54"/>
      <c r="U431" s="58"/>
      <c r="V431" s="47"/>
      <c r="W431" s="18"/>
      <c r="X431" s="46"/>
      <c r="Y431" s="9"/>
      <c r="Z431" s="46"/>
      <c r="AA431" s="7"/>
      <c r="AB431" s="46"/>
      <c r="AC431" s="47"/>
      <c r="AD431" s="7"/>
      <c r="AE431" s="47"/>
      <c r="AF431" s="18"/>
      <c r="AG431" s="26"/>
      <c r="AH431" s="34"/>
      <c r="AI431" s="34"/>
      <c r="AJ431" s="18"/>
      <c r="AK431" s="48"/>
      <c r="AL431" s="26" t="str">
        <f>IFERROR(__xludf.DUMMYFUNCTION("""COMPUTED_VALUE"""),"* RAC4D *")</f>
        <v>* RAC4D *</v>
      </c>
      <c r="AM431" s="59">
        <f>IFERROR(__xludf.DUMMYFUNCTION("""COMPUTED_VALUE"""),106.5)</f>
        <v>106.5</v>
      </c>
    </row>
    <row r="432">
      <c r="A432" s="51"/>
      <c r="B432" s="51"/>
      <c r="C432" s="52"/>
      <c r="D432" s="51"/>
      <c r="E432" s="53"/>
      <c r="F432" s="54"/>
      <c r="G432" s="51"/>
      <c r="H432" s="51"/>
      <c r="I432" s="55"/>
      <c r="J432" s="56"/>
      <c r="K432" s="46"/>
      <c r="L432" s="46"/>
      <c r="M432" s="47"/>
      <c r="N432" s="46"/>
      <c r="O432" s="57"/>
      <c r="P432" s="46"/>
      <c r="Q432" s="46"/>
      <c r="R432" s="57"/>
      <c r="S432" s="7"/>
      <c r="T432" s="54"/>
      <c r="U432" s="58"/>
      <c r="V432" s="47"/>
      <c r="W432" s="18"/>
      <c r="X432" s="46"/>
      <c r="Y432" s="9"/>
      <c r="Z432" s="46"/>
      <c r="AA432" s="7"/>
      <c r="AB432" s="46"/>
      <c r="AC432" s="47"/>
      <c r="AD432" s="7"/>
      <c r="AE432" s="47"/>
      <c r="AF432" s="18"/>
      <c r="AG432" s="26"/>
      <c r="AH432" s="34"/>
      <c r="AI432" s="34"/>
      <c r="AJ432" s="18"/>
      <c r="AK432" s="48"/>
      <c r="AL432" s="26" t="str">
        <f>IFERROR(__xludf.DUMMYFUNCTION("""COMPUTED_VALUE"""),"* RAC4O *")</f>
        <v>* RAC4O *</v>
      </c>
      <c r="AM432" s="59">
        <f>IFERROR(__xludf.DUMMYFUNCTION("""COMPUTED_VALUE"""),164080.0)</f>
        <v>164080</v>
      </c>
    </row>
    <row r="433">
      <c r="A433" s="51"/>
      <c r="B433" s="51"/>
      <c r="C433" s="52"/>
      <c r="D433" s="51"/>
      <c r="E433" s="53"/>
      <c r="F433" s="54"/>
      <c r="G433" s="51"/>
      <c r="H433" s="51"/>
      <c r="I433" s="55"/>
      <c r="J433" s="56"/>
      <c r="K433" s="46"/>
      <c r="L433" s="46"/>
      <c r="M433" s="47"/>
      <c r="N433" s="46"/>
      <c r="O433" s="57"/>
      <c r="P433" s="46"/>
      <c r="Q433" s="46"/>
      <c r="R433" s="57"/>
      <c r="S433" s="7"/>
      <c r="T433" s="54"/>
      <c r="U433" s="58"/>
      <c r="V433" s="47"/>
      <c r="W433" s="18"/>
      <c r="X433" s="46"/>
      <c r="Y433" s="9"/>
      <c r="Z433" s="46"/>
      <c r="AA433" s="7"/>
      <c r="AB433" s="46"/>
      <c r="AC433" s="47"/>
      <c r="AD433" s="7"/>
      <c r="AE433" s="47"/>
      <c r="AF433" s="18"/>
      <c r="AG433" s="26"/>
      <c r="AH433" s="34"/>
      <c r="AI433" s="34"/>
      <c r="AJ433" s="18"/>
      <c r="AK433" s="48"/>
      <c r="AL433" s="26" t="str">
        <f>IFERROR(__xludf.DUMMYFUNCTION("""COMPUTED_VALUE"""),"* RAC6D *")</f>
        <v>* RAC6D *</v>
      </c>
      <c r="AM433" s="59">
        <f>IFERROR(__xludf.DUMMYFUNCTION("""COMPUTED_VALUE"""),33.8)</f>
        <v>33.8</v>
      </c>
    </row>
    <row r="434">
      <c r="A434" s="51"/>
      <c r="B434" s="51"/>
      <c r="C434" s="52"/>
      <c r="D434" s="51"/>
      <c r="E434" s="53"/>
      <c r="F434" s="54"/>
      <c r="G434" s="51"/>
      <c r="H434" s="51"/>
      <c r="I434" s="55"/>
      <c r="J434" s="56"/>
      <c r="K434" s="46"/>
      <c r="L434" s="46"/>
      <c r="M434" s="47"/>
      <c r="N434" s="46"/>
      <c r="O434" s="57"/>
      <c r="P434" s="46"/>
      <c r="Q434" s="46"/>
      <c r="R434" s="57"/>
      <c r="S434" s="7"/>
      <c r="T434" s="54"/>
      <c r="U434" s="58"/>
      <c r="V434" s="47"/>
      <c r="W434" s="18"/>
      <c r="X434" s="46"/>
      <c r="Y434" s="9"/>
      <c r="Z434" s="46"/>
      <c r="AA434" s="7"/>
      <c r="AB434" s="46"/>
      <c r="AC434" s="47"/>
      <c r="AD434" s="7"/>
      <c r="AE434" s="47"/>
      <c r="AF434" s="18"/>
      <c r="AG434" s="26"/>
      <c r="AH434" s="34"/>
      <c r="AI434" s="34"/>
      <c r="AJ434" s="18"/>
      <c r="AK434" s="48"/>
      <c r="AL434" s="26" t="str">
        <f>IFERROR(__xludf.DUMMYFUNCTION("""COMPUTED_VALUE"""),"* RAC6O *")</f>
        <v>* RAC6O *</v>
      </c>
      <c r="AM434" s="59">
        <f>IFERROR(__xludf.DUMMYFUNCTION("""COMPUTED_VALUE"""),50000.0)</f>
        <v>50000</v>
      </c>
    </row>
    <row r="435">
      <c r="A435" s="51"/>
      <c r="B435" s="51"/>
      <c r="C435" s="52"/>
      <c r="D435" s="51"/>
      <c r="E435" s="53"/>
      <c r="F435" s="54"/>
      <c r="G435" s="51"/>
      <c r="H435" s="51"/>
      <c r="I435" s="55"/>
      <c r="J435" s="56"/>
      <c r="K435" s="46"/>
      <c r="L435" s="46"/>
      <c r="M435" s="47"/>
      <c r="N435" s="46"/>
      <c r="O435" s="57"/>
      <c r="P435" s="46"/>
      <c r="Q435" s="46"/>
      <c r="R435" s="57"/>
      <c r="S435" s="7"/>
      <c r="T435" s="54"/>
      <c r="U435" s="58"/>
      <c r="V435" s="47"/>
      <c r="W435" s="18"/>
      <c r="X435" s="46"/>
      <c r="Y435" s="9"/>
      <c r="Z435" s="46"/>
      <c r="AA435" s="7"/>
      <c r="AB435" s="46"/>
      <c r="AC435" s="47"/>
      <c r="AD435" s="7"/>
      <c r="AE435" s="47"/>
      <c r="AF435" s="18"/>
      <c r="AG435" s="26"/>
      <c r="AH435" s="34"/>
      <c r="AI435" s="34"/>
      <c r="AJ435" s="18"/>
      <c r="AK435" s="48"/>
      <c r="AL435" s="26" t="str">
        <f>IFERROR(__xludf.DUMMYFUNCTION("""COMPUTED_VALUE"""),"* RC1CC *")</f>
        <v>* RC1CC *</v>
      </c>
      <c r="AM435" s="59">
        <f>IFERROR(__xludf.DUMMYFUNCTION("""COMPUTED_VALUE"""),104.0)</f>
        <v>104</v>
      </c>
    </row>
    <row r="436">
      <c r="A436" s="51"/>
      <c r="B436" s="51"/>
      <c r="C436" s="52"/>
      <c r="D436" s="51"/>
      <c r="E436" s="53"/>
      <c r="F436" s="54"/>
      <c r="G436" s="51"/>
      <c r="H436" s="51"/>
      <c r="I436" s="55"/>
      <c r="J436" s="56"/>
      <c r="K436" s="46"/>
      <c r="L436" s="46"/>
      <c r="M436" s="47"/>
      <c r="N436" s="46"/>
      <c r="O436" s="57"/>
      <c r="P436" s="46"/>
      <c r="Q436" s="46"/>
      <c r="R436" s="57"/>
      <c r="S436" s="7"/>
      <c r="T436" s="54"/>
      <c r="U436" s="58"/>
      <c r="V436" s="47"/>
      <c r="W436" s="18"/>
      <c r="X436" s="46"/>
      <c r="Y436" s="9"/>
      <c r="Z436" s="46"/>
      <c r="AA436" s="7"/>
      <c r="AB436" s="46"/>
      <c r="AC436" s="47"/>
      <c r="AD436" s="7"/>
      <c r="AE436" s="47"/>
      <c r="AF436" s="18"/>
      <c r="AG436" s="26"/>
      <c r="AH436" s="34"/>
      <c r="AI436" s="34"/>
      <c r="AJ436" s="18"/>
      <c r="AK436" s="48"/>
      <c r="AL436" s="26" t="str">
        <f>IFERROR(__xludf.DUMMYFUNCTION("""COMPUTED_VALUE"""),"* RC1CD *")</f>
        <v>* RC1CD *</v>
      </c>
      <c r="AM436" s="59">
        <f>IFERROR(__xludf.DUMMYFUNCTION("""COMPUTED_VALUE"""),107.0)</f>
        <v>107</v>
      </c>
    </row>
    <row r="437">
      <c r="A437" s="51"/>
      <c r="B437" s="51"/>
      <c r="C437" s="52"/>
      <c r="D437" s="51"/>
      <c r="E437" s="53"/>
      <c r="F437" s="54"/>
      <c r="G437" s="51"/>
      <c r="H437" s="51"/>
      <c r="I437" s="55"/>
      <c r="J437" s="56"/>
      <c r="K437" s="46"/>
      <c r="L437" s="46"/>
      <c r="M437" s="47"/>
      <c r="N437" s="46"/>
      <c r="O437" s="57"/>
      <c r="P437" s="46"/>
      <c r="Q437" s="46"/>
      <c r="R437" s="57"/>
      <c r="S437" s="7"/>
      <c r="T437" s="54"/>
      <c r="U437" s="58"/>
      <c r="V437" s="47"/>
      <c r="W437" s="18"/>
      <c r="X437" s="46"/>
      <c r="Y437" s="9"/>
      <c r="Z437" s="46"/>
      <c r="AA437" s="7"/>
      <c r="AB437" s="46"/>
      <c r="AC437" s="47"/>
      <c r="AD437" s="7"/>
      <c r="AE437" s="47"/>
      <c r="AF437" s="18"/>
      <c r="AG437" s="26"/>
      <c r="AH437" s="34"/>
      <c r="AI437" s="34"/>
      <c r="AJ437" s="18"/>
      <c r="AK437" s="48"/>
      <c r="AL437" s="26" t="str">
        <f>IFERROR(__xludf.DUMMYFUNCTION("""COMPUTED_VALUE"""),"* RC1CO *")</f>
        <v>* RC1CO *</v>
      </c>
      <c r="AM437" s="59">
        <f>IFERROR(__xludf.DUMMYFUNCTION("""COMPUTED_VALUE"""),156950.0)</f>
        <v>156950</v>
      </c>
    </row>
    <row r="438">
      <c r="A438" s="51"/>
      <c r="B438" s="51"/>
      <c r="C438" s="52"/>
      <c r="D438" s="51"/>
      <c r="E438" s="53"/>
      <c r="F438" s="54"/>
      <c r="G438" s="51"/>
      <c r="H438" s="51"/>
      <c r="I438" s="55"/>
      <c r="J438" s="56"/>
      <c r="K438" s="46"/>
      <c r="L438" s="46"/>
      <c r="M438" s="47"/>
      <c r="N438" s="46"/>
      <c r="O438" s="57"/>
      <c r="P438" s="46"/>
      <c r="Q438" s="46"/>
      <c r="R438" s="57"/>
      <c r="S438" s="7"/>
      <c r="T438" s="54"/>
      <c r="U438" s="58"/>
      <c r="V438" s="47"/>
      <c r="W438" s="18"/>
      <c r="X438" s="46"/>
      <c r="Y438" s="9"/>
      <c r="Z438" s="46"/>
      <c r="AA438" s="7"/>
      <c r="AB438" s="46"/>
      <c r="AC438" s="47"/>
      <c r="AD438" s="7"/>
      <c r="AE438" s="47"/>
      <c r="AF438" s="18"/>
      <c r="AG438" s="26"/>
      <c r="AH438" s="34"/>
      <c r="AI438" s="34"/>
      <c r="AJ438" s="18"/>
      <c r="AK438" s="48"/>
      <c r="AL438" s="26" t="str">
        <f>IFERROR(__xludf.DUMMYFUNCTION("""COMPUTED_VALUE"""),"* RC2CC *")</f>
        <v>* RC2CC *</v>
      </c>
      <c r="AM438" s="59">
        <f>IFERROR(__xludf.DUMMYFUNCTION("""COMPUTED_VALUE"""),98.0)</f>
        <v>98</v>
      </c>
    </row>
    <row r="439">
      <c r="A439" s="51"/>
      <c r="B439" s="51"/>
      <c r="C439" s="52"/>
      <c r="D439" s="51"/>
      <c r="E439" s="53"/>
      <c r="F439" s="54"/>
      <c r="G439" s="51"/>
      <c r="H439" s="51"/>
      <c r="I439" s="55"/>
      <c r="J439" s="56"/>
      <c r="K439" s="46"/>
      <c r="L439" s="46"/>
      <c r="M439" s="47"/>
      <c r="N439" s="46"/>
      <c r="O439" s="57"/>
      <c r="P439" s="46"/>
      <c r="Q439" s="46"/>
      <c r="R439" s="57"/>
      <c r="S439" s="7"/>
      <c r="T439" s="54"/>
      <c r="U439" s="58"/>
      <c r="V439" s="47"/>
      <c r="W439" s="18"/>
      <c r="X439" s="46"/>
      <c r="Y439" s="9"/>
      <c r="Z439" s="46"/>
      <c r="AA439" s="7"/>
      <c r="AB439" s="46"/>
      <c r="AC439" s="47"/>
      <c r="AD439" s="7"/>
      <c r="AE439" s="47"/>
      <c r="AF439" s="18"/>
      <c r="AG439" s="26"/>
      <c r="AH439" s="34"/>
      <c r="AI439" s="34"/>
      <c r="AJ439" s="18"/>
      <c r="AK439" s="48"/>
      <c r="AL439" s="26" t="str">
        <f>IFERROR(__xludf.DUMMYFUNCTION("""COMPUTED_VALUE"""),"* RC2CD *")</f>
        <v>* RC2CD *</v>
      </c>
      <c r="AM439" s="59">
        <f>IFERROR(__xludf.DUMMYFUNCTION("""COMPUTED_VALUE"""),102.0)</f>
        <v>102</v>
      </c>
    </row>
    <row r="440">
      <c r="A440" s="51"/>
      <c r="B440" s="51"/>
      <c r="C440" s="52"/>
      <c r="D440" s="51"/>
      <c r="E440" s="53"/>
      <c r="F440" s="54"/>
      <c r="G440" s="51"/>
      <c r="H440" s="51"/>
      <c r="I440" s="55"/>
      <c r="J440" s="56"/>
      <c r="K440" s="46"/>
      <c r="L440" s="46"/>
      <c r="M440" s="47"/>
      <c r="N440" s="46"/>
      <c r="O440" s="57"/>
      <c r="P440" s="46"/>
      <c r="Q440" s="46"/>
      <c r="R440" s="57"/>
      <c r="S440" s="7"/>
      <c r="T440" s="54"/>
      <c r="U440" s="58"/>
      <c r="V440" s="47"/>
      <c r="W440" s="18"/>
      <c r="X440" s="46"/>
      <c r="Y440" s="9"/>
      <c r="Z440" s="46"/>
      <c r="AA440" s="7"/>
      <c r="AB440" s="46"/>
      <c r="AC440" s="47"/>
      <c r="AD440" s="7"/>
      <c r="AE440" s="47"/>
      <c r="AF440" s="18"/>
      <c r="AG440" s="26"/>
      <c r="AH440" s="34"/>
      <c r="AI440" s="34"/>
      <c r="AJ440" s="18"/>
      <c r="AK440" s="48"/>
      <c r="AL440" s="26" t="str">
        <f>IFERROR(__xludf.DUMMYFUNCTION("""COMPUTED_VALUE"""),"* RC2CO *")</f>
        <v>* RC2CO *</v>
      </c>
      <c r="AM440" s="59">
        <f>IFERROR(__xludf.DUMMYFUNCTION("""COMPUTED_VALUE"""),149500.0)</f>
        <v>149500</v>
      </c>
    </row>
    <row r="441">
      <c r="A441" s="51"/>
      <c r="B441" s="51"/>
      <c r="C441" s="52"/>
      <c r="D441" s="51"/>
      <c r="E441" s="53"/>
      <c r="F441" s="54"/>
      <c r="G441" s="51"/>
      <c r="H441" s="51"/>
      <c r="I441" s="55"/>
      <c r="J441" s="56"/>
      <c r="K441" s="46"/>
      <c r="L441" s="46"/>
      <c r="M441" s="47"/>
      <c r="N441" s="46"/>
      <c r="O441" s="57"/>
      <c r="P441" s="46"/>
      <c r="Q441" s="46"/>
      <c r="R441" s="57"/>
      <c r="S441" s="7"/>
      <c r="T441" s="54"/>
      <c r="U441" s="58"/>
      <c r="V441" s="47"/>
      <c r="W441" s="18"/>
      <c r="X441" s="46"/>
      <c r="Y441" s="9"/>
      <c r="Z441" s="46"/>
      <c r="AA441" s="7"/>
      <c r="AB441" s="46"/>
      <c r="AC441" s="47"/>
      <c r="AD441" s="7"/>
      <c r="AE441" s="47"/>
      <c r="AF441" s="18"/>
      <c r="AG441" s="26"/>
      <c r="AH441" s="34"/>
      <c r="AI441" s="34"/>
      <c r="AJ441" s="18"/>
      <c r="AK441" s="48"/>
      <c r="AL441" s="26" t="str">
        <f>IFERROR(__xludf.DUMMYFUNCTION("""COMPUTED_VALUE"""),"* RCCMC *")</f>
        <v>* RCCMC *</v>
      </c>
      <c r="AM441" s="59">
        <f>IFERROR(__xludf.DUMMYFUNCTION("""COMPUTED_VALUE"""),99.65)</f>
        <v>99.65</v>
      </c>
    </row>
    <row r="442">
      <c r="A442" s="51"/>
      <c r="B442" s="51"/>
      <c r="C442" s="52"/>
      <c r="D442" s="51"/>
      <c r="E442" s="53"/>
      <c r="F442" s="54"/>
      <c r="G442" s="51"/>
      <c r="H442" s="51"/>
      <c r="I442" s="55"/>
      <c r="J442" s="56"/>
      <c r="K442" s="46"/>
      <c r="L442" s="46"/>
      <c r="M442" s="47"/>
      <c r="N442" s="46"/>
      <c r="O442" s="57"/>
      <c r="P442" s="46"/>
      <c r="Q442" s="46"/>
      <c r="R442" s="57"/>
      <c r="S442" s="7"/>
      <c r="T442" s="54"/>
      <c r="U442" s="58"/>
      <c r="V442" s="47"/>
      <c r="W442" s="18"/>
      <c r="X442" s="46"/>
      <c r="Y442" s="9"/>
      <c r="Z442" s="46"/>
      <c r="AA442" s="7"/>
      <c r="AB442" s="46"/>
      <c r="AC442" s="47"/>
      <c r="AD442" s="7"/>
      <c r="AE442" s="47"/>
      <c r="AF442" s="18"/>
      <c r="AG442" s="26"/>
      <c r="AH442" s="34"/>
      <c r="AI442" s="34"/>
      <c r="AJ442" s="18"/>
      <c r="AK442" s="48"/>
      <c r="AL442" s="26" t="str">
        <f>IFERROR(__xludf.DUMMYFUNCTION("""COMPUTED_VALUE"""),"* RCCMD *")</f>
        <v>* RCCMD *</v>
      </c>
      <c r="AM442" s="59">
        <f>IFERROR(__xludf.DUMMYFUNCTION("""COMPUTED_VALUE"""),101.95)</f>
        <v>101.95</v>
      </c>
    </row>
    <row r="443">
      <c r="A443" s="51"/>
      <c r="B443" s="51"/>
      <c r="C443" s="52"/>
      <c r="D443" s="51"/>
      <c r="E443" s="53"/>
      <c r="F443" s="54"/>
      <c r="G443" s="51"/>
      <c r="H443" s="51"/>
      <c r="I443" s="55"/>
      <c r="J443" s="56"/>
      <c r="K443" s="46"/>
      <c r="L443" s="46"/>
      <c r="M443" s="47"/>
      <c r="N443" s="46"/>
      <c r="O443" s="57"/>
      <c r="P443" s="46"/>
      <c r="Q443" s="46"/>
      <c r="R443" s="57"/>
      <c r="S443" s="7"/>
      <c r="T443" s="54"/>
      <c r="U443" s="58"/>
      <c r="V443" s="47"/>
      <c r="W443" s="18"/>
      <c r="X443" s="46"/>
      <c r="Y443" s="9"/>
      <c r="Z443" s="46"/>
      <c r="AA443" s="7"/>
      <c r="AB443" s="46"/>
      <c r="AC443" s="47"/>
      <c r="AD443" s="7"/>
      <c r="AE443" s="47"/>
      <c r="AF443" s="18"/>
      <c r="AG443" s="26"/>
      <c r="AH443" s="34"/>
      <c r="AI443" s="34"/>
      <c r="AJ443" s="18"/>
      <c r="AK443" s="48"/>
      <c r="AL443" s="26" t="str">
        <f>IFERROR(__xludf.DUMMYFUNCTION("""COMPUTED_VALUE"""),"* RCCMO *")</f>
        <v>* RCCMO *</v>
      </c>
      <c r="AM443" s="59">
        <f>IFERROR(__xludf.DUMMYFUNCTION("""COMPUTED_VALUE"""),145950.0)</f>
        <v>145950</v>
      </c>
    </row>
    <row r="444">
      <c r="A444" s="51"/>
      <c r="B444" s="51"/>
      <c r="C444" s="52"/>
      <c r="D444" s="51"/>
      <c r="E444" s="53"/>
      <c r="F444" s="54"/>
      <c r="G444" s="51"/>
      <c r="H444" s="51"/>
      <c r="I444" s="55"/>
      <c r="J444" s="56"/>
      <c r="K444" s="46"/>
      <c r="L444" s="46"/>
      <c r="M444" s="47"/>
      <c r="N444" s="46"/>
      <c r="O444" s="57"/>
      <c r="P444" s="46"/>
      <c r="Q444" s="46"/>
      <c r="R444" s="57"/>
      <c r="S444" s="7"/>
      <c r="T444" s="54"/>
      <c r="U444" s="58"/>
      <c r="V444" s="47"/>
      <c r="W444" s="18"/>
      <c r="X444" s="46"/>
      <c r="Y444" s="9"/>
      <c r="Z444" s="46"/>
      <c r="AA444" s="7"/>
      <c r="AB444" s="46"/>
      <c r="AC444" s="47"/>
      <c r="AD444" s="7"/>
      <c r="AE444" s="47"/>
      <c r="AF444" s="18"/>
      <c r="AG444" s="26"/>
      <c r="AH444" s="34"/>
      <c r="AI444" s="34"/>
      <c r="AJ444" s="18"/>
      <c r="AK444" s="48"/>
      <c r="AL444" s="26" t="str">
        <f>IFERROR(__xludf.DUMMYFUNCTION("""COMPUTED_VALUE"""),"* RCCRD *")</f>
        <v>* RCCRD *</v>
      </c>
      <c r="AM444" s="59">
        <f>IFERROR(__xludf.DUMMYFUNCTION("""COMPUTED_VALUE"""),101.0)</f>
        <v>101</v>
      </c>
    </row>
    <row r="445">
      <c r="A445" s="51"/>
      <c r="B445" s="51"/>
      <c r="C445" s="52"/>
      <c r="D445" s="51"/>
      <c r="E445" s="53"/>
      <c r="F445" s="54"/>
      <c r="G445" s="51"/>
      <c r="H445" s="51"/>
      <c r="I445" s="55"/>
      <c r="J445" s="56"/>
      <c r="K445" s="46"/>
      <c r="L445" s="46"/>
      <c r="M445" s="47"/>
      <c r="N445" s="46"/>
      <c r="O445" s="57"/>
      <c r="P445" s="46"/>
      <c r="Q445" s="46"/>
      <c r="R445" s="57"/>
      <c r="S445" s="7"/>
      <c r="T445" s="54"/>
      <c r="U445" s="58"/>
      <c r="V445" s="47"/>
      <c r="W445" s="18"/>
      <c r="X445" s="46"/>
      <c r="Y445" s="9"/>
      <c r="Z445" s="46"/>
      <c r="AA445" s="7"/>
      <c r="AB445" s="46"/>
      <c r="AC445" s="47"/>
      <c r="AD445" s="7"/>
      <c r="AE445" s="47"/>
      <c r="AF445" s="18"/>
      <c r="AG445" s="26"/>
      <c r="AH445" s="34"/>
      <c r="AI445" s="34"/>
      <c r="AJ445" s="18"/>
      <c r="AK445" s="48"/>
      <c r="AL445" s="26" t="str">
        <f>IFERROR(__xludf.DUMMYFUNCTION("""COMPUTED_VALUE"""),"* RCCRO *")</f>
        <v>* RCCRO *</v>
      </c>
      <c r="AM445" s="59">
        <f>IFERROR(__xludf.DUMMYFUNCTION("""COMPUTED_VALUE"""),149850.0)</f>
        <v>149850</v>
      </c>
    </row>
    <row r="446">
      <c r="A446" s="51"/>
      <c r="B446" s="51"/>
      <c r="C446" s="52"/>
      <c r="D446" s="51"/>
      <c r="E446" s="53"/>
      <c r="F446" s="54"/>
      <c r="G446" s="51"/>
      <c r="H446" s="51"/>
      <c r="I446" s="55"/>
      <c r="J446" s="56"/>
      <c r="K446" s="46"/>
      <c r="L446" s="46"/>
      <c r="M446" s="47"/>
      <c r="N446" s="46"/>
      <c r="O446" s="57"/>
      <c r="P446" s="46"/>
      <c r="Q446" s="46"/>
      <c r="R446" s="57"/>
      <c r="S446" s="7"/>
      <c r="T446" s="54"/>
      <c r="U446" s="58"/>
      <c r="V446" s="47"/>
      <c r="W446" s="18"/>
      <c r="X446" s="46"/>
      <c r="Y446" s="9"/>
      <c r="Z446" s="46"/>
      <c r="AA446" s="7"/>
      <c r="AB446" s="46"/>
      <c r="AC446" s="47"/>
      <c r="AD446" s="7"/>
      <c r="AE446" s="47"/>
      <c r="AF446" s="18"/>
      <c r="AG446" s="26"/>
      <c r="AH446" s="34"/>
      <c r="AI446" s="34"/>
      <c r="AJ446" s="18"/>
      <c r="AK446" s="48"/>
      <c r="AL446" s="26" t="str">
        <f>IFERROR(__xludf.DUMMYFUNCTION("""COMPUTED_VALUE"""),"* RCCTO *")</f>
        <v>* RCCTO *</v>
      </c>
      <c r="AM446" s="59">
        <f>IFERROR(__xludf.DUMMYFUNCTION("""COMPUTED_VALUE"""),107.0)</f>
        <v>107</v>
      </c>
    </row>
    <row r="447">
      <c r="A447" s="51"/>
      <c r="B447" s="51"/>
      <c r="C447" s="52"/>
      <c r="D447" s="51"/>
      <c r="E447" s="53"/>
      <c r="F447" s="54"/>
      <c r="G447" s="51"/>
      <c r="H447" s="51"/>
      <c r="I447" s="55"/>
      <c r="J447" s="56"/>
      <c r="K447" s="46"/>
      <c r="L447" s="46"/>
      <c r="M447" s="47"/>
      <c r="N447" s="46"/>
      <c r="O447" s="57"/>
      <c r="P447" s="46"/>
      <c r="Q447" s="46"/>
      <c r="R447" s="57"/>
      <c r="S447" s="7"/>
      <c r="T447" s="54"/>
      <c r="U447" s="58"/>
      <c r="V447" s="47"/>
      <c r="W447" s="18"/>
      <c r="X447" s="46"/>
      <c r="Y447" s="9"/>
      <c r="Z447" s="46"/>
      <c r="AA447" s="7"/>
      <c r="AB447" s="46"/>
      <c r="AC447" s="47"/>
      <c r="AD447" s="7"/>
      <c r="AE447" s="47"/>
      <c r="AF447" s="18"/>
      <c r="AG447" s="26"/>
      <c r="AH447" s="34"/>
      <c r="AI447" s="34"/>
      <c r="AJ447" s="18"/>
      <c r="AK447" s="48"/>
      <c r="AL447" s="26" t="str">
        <f>IFERROR(__xludf.DUMMYFUNCTION("""COMPUTED_VALUE"""),"* RDS1L *")</f>
        <v>* RDS1L *</v>
      </c>
      <c r="AM447" s="59">
        <f>IFERROR(__xludf.DUMMYFUNCTION("""COMPUTED_VALUE"""),100.0)</f>
        <v>100</v>
      </c>
    </row>
    <row r="448">
      <c r="A448" s="51"/>
      <c r="B448" s="51"/>
      <c r="C448" s="52"/>
      <c r="D448" s="51"/>
      <c r="E448" s="53"/>
      <c r="F448" s="54"/>
      <c r="G448" s="51"/>
      <c r="H448" s="51"/>
      <c r="I448" s="55"/>
      <c r="J448" s="56"/>
      <c r="K448" s="46"/>
      <c r="L448" s="46"/>
      <c r="M448" s="47"/>
      <c r="N448" s="46"/>
      <c r="O448" s="57"/>
      <c r="P448" s="46"/>
      <c r="Q448" s="46"/>
      <c r="R448" s="57"/>
      <c r="S448" s="7"/>
      <c r="T448" s="54"/>
      <c r="U448" s="58"/>
      <c r="V448" s="47"/>
      <c r="W448" s="18"/>
      <c r="X448" s="46"/>
      <c r="Y448" s="9"/>
      <c r="Z448" s="46"/>
      <c r="AA448" s="7"/>
      <c r="AB448" s="46"/>
      <c r="AC448" s="47"/>
      <c r="AD448" s="7"/>
      <c r="AE448" s="47"/>
      <c r="AF448" s="18"/>
      <c r="AG448" s="26"/>
      <c r="AH448" s="34"/>
      <c r="AI448" s="34"/>
      <c r="AJ448" s="18"/>
      <c r="AK448" s="48"/>
      <c r="AL448" s="26" t="str">
        <f>IFERROR(__xludf.DUMMYFUNCTION("""COMPUTED_VALUE"""),"* RFCBO *")</f>
        <v>* RFCBO *</v>
      </c>
      <c r="AM448" s="59">
        <f>IFERROR(__xludf.DUMMYFUNCTION("""COMPUTED_VALUE"""),28000.0)</f>
        <v>28000</v>
      </c>
    </row>
    <row r="449">
      <c r="A449" s="51"/>
      <c r="B449" s="51"/>
      <c r="C449" s="52"/>
      <c r="D449" s="51"/>
      <c r="E449" s="53"/>
      <c r="F449" s="54"/>
      <c r="G449" s="51"/>
      <c r="H449" s="51"/>
      <c r="I449" s="55"/>
      <c r="J449" s="56"/>
      <c r="K449" s="46"/>
      <c r="L449" s="46"/>
      <c r="M449" s="47"/>
      <c r="N449" s="46"/>
      <c r="O449" s="57"/>
      <c r="P449" s="46"/>
      <c r="Q449" s="46"/>
      <c r="R449" s="57"/>
      <c r="S449" s="7"/>
      <c r="T449" s="54"/>
      <c r="U449" s="58"/>
      <c r="V449" s="47"/>
      <c r="W449" s="18"/>
      <c r="X449" s="46"/>
      <c r="Y449" s="9"/>
      <c r="Z449" s="46"/>
      <c r="AA449" s="7"/>
      <c r="AB449" s="46"/>
      <c r="AC449" s="47"/>
      <c r="AD449" s="7"/>
      <c r="AE449" s="47"/>
      <c r="AF449" s="18"/>
      <c r="AG449" s="26"/>
      <c r="AH449" s="34"/>
      <c r="AI449" s="34"/>
      <c r="AJ449" s="18"/>
      <c r="AK449" s="48"/>
      <c r="AL449" s="26" t="str">
        <f>IFERROR(__xludf.DUMMYFUNCTION("""COMPUTED_VALUE"""),"* RIP2O *")</f>
        <v>* RIP2O *</v>
      </c>
      <c r="AM449" s="59">
        <f>IFERROR(__xludf.DUMMYFUNCTION("""COMPUTED_VALUE"""),100.0)</f>
        <v>100</v>
      </c>
    </row>
    <row r="450">
      <c r="A450" s="51"/>
      <c r="B450" s="51"/>
      <c r="C450" s="52"/>
      <c r="D450" s="51"/>
      <c r="E450" s="53"/>
      <c r="F450" s="54"/>
      <c r="G450" s="51"/>
      <c r="H450" s="51"/>
      <c r="I450" s="55"/>
      <c r="J450" s="56"/>
      <c r="K450" s="46"/>
      <c r="L450" s="46"/>
      <c r="M450" s="47"/>
      <c r="N450" s="46"/>
      <c r="O450" s="57"/>
      <c r="P450" s="46"/>
      <c r="Q450" s="46"/>
      <c r="R450" s="57"/>
      <c r="S450" s="7"/>
      <c r="T450" s="54"/>
      <c r="U450" s="58"/>
      <c r="V450" s="47"/>
      <c r="W450" s="18"/>
      <c r="X450" s="46"/>
      <c r="Y450" s="9"/>
      <c r="Z450" s="46"/>
      <c r="AA450" s="7"/>
      <c r="AB450" s="46"/>
      <c r="AC450" s="47"/>
      <c r="AD450" s="7"/>
      <c r="AE450" s="47"/>
      <c r="AF450" s="18"/>
      <c r="AG450" s="26"/>
      <c r="AH450" s="34"/>
      <c r="AI450" s="34"/>
      <c r="AJ450" s="18"/>
      <c r="AK450" s="48"/>
      <c r="AL450" s="26" t="str">
        <f>IFERROR(__xludf.DUMMYFUNCTION("""COMPUTED_VALUE"""),"* RUCAD *")</f>
        <v>* RUCAD *</v>
      </c>
      <c r="AM450" s="59">
        <f>IFERROR(__xludf.DUMMYFUNCTION("""COMPUTED_VALUE"""),100.75)</f>
        <v>100.75</v>
      </c>
    </row>
    <row r="451">
      <c r="A451" s="51"/>
      <c r="B451" s="51"/>
      <c r="C451" s="52"/>
      <c r="D451" s="51"/>
      <c r="E451" s="53"/>
      <c r="F451" s="54"/>
      <c r="G451" s="51"/>
      <c r="H451" s="51"/>
      <c r="I451" s="55"/>
      <c r="J451" s="56"/>
      <c r="K451" s="46"/>
      <c r="L451" s="46"/>
      <c r="M451" s="47"/>
      <c r="N451" s="46"/>
      <c r="O451" s="57"/>
      <c r="P451" s="46"/>
      <c r="Q451" s="46"/>
      <c r="R451" s="57"/>
      <c r="S451" s="7"/>
      <c r="T451" s="54"/>
      <c r="U451" s="58"/>
      <c r="V451" s="47"/>
      <c r="W451" s="18"/>
      <c r="X451" s="46"/>
      <c r="Y451" s="9"/>
      <c r="Z451" s="46"/>
      <c r="AA451" s="7"/>
      <c r="AB451" s="46"/>
      <c r="AC451" s="47"/>
      <c r="AD451" s="7"/>
      <c r="AE451" s="47"/>
      <c r="AF451" s="18"/>
      <c r="AG451" s="26"/>
      <c r="AH451" s="34"/>
      <c r="AI451" s="34"/>
      <c r="AJ451" s="18"/>
      <c r="AK451" s="48"/>
      <c r="AL451" s="26" t="str">
        <f>IFERROR(__xludf.DUMMYFUNCTION("""COMPUTED_VALUE"""),"* RUCAO *")</f>
        <v>* RUCAO *</v>
      </c>
      <c r="AM451" s="59">
        <f>IFERROR(__xludf.DUMMYFUNCTION("""COMPUTED_VALUE"""),147510.0)</f>
        <v>147510</v>
      </c>
    </row>
    <row r="452">
      <c r="A452" s="51"/>
      <c r="B452" s="51"/>
      <c r="C452" s="52"/>
      <c r="D452" s="51"/>
      <c r="E452" s="53"/>
      <c r="F452" s="54"/>
      <c r="G452" s="51"/>
      <c r="H452" s="51"/>
      <c r="I452" s="55"/>
      <c r="J452" s="56"/>
      <c r="K452" s="46"/>
      <c r="L452" s="46"/>
      <c r="M452" s="47"/>
      <c r="N452" s="46"/>
      <c r="O452" s="57"/>
      <c r="P452" s="46"/>
      <c r="Q452" s="46"/>
      <c r="R452" s="57"/>
      <c r="S452" s="7"/>
      <c r="T452" s="54"/>
      <c r="U452" s="58"/>
      <c r="V452" s="47"/>
      <c r="W452" s="18"/>
      <c r="X452" s="46"/>
      <c r="Y452" s="9"/>
      <c r="Z452" s="46"/>
      <c r="AA452" s="7"/>
      <c r="AB452" s="46"/>
      <c r="AC452" s="47"/>
      <c r="AD452" s="7"/>
      <c r="AE452" s="47"/>
      <c r="AF452" s="18"/>
      <c r="AG452" s="26"/>
      <c r="AH452" s="34"/>
      <c r="AI452" s="34"/>
      <c r="AJ452" s="18"/>
      <c r="AK452" s="48"/>
      <c r="AL452" s="26" t="str">
        <f>IFERROR(__xludf.DUMMYFUNCTION("""COMPUTED_VALUE"""),"* RUCDD *")</f>
        <v>* RUCDD *</v>
      </c>
      <c r="AM452" s="59">
        <f>IFERROR(__xludf.DUMMYFUNCTION("""COMPUTED_VALUE"""),99.0)</f>
        <v>99</v>
      </c>
    </row>
    <row r="453">
      <c r="A453" s="51"/>
      <c r="B453" s="51"/>
      <c r="C453" s="52"/>
      <c r="D453" s="51"/>
      <c r="E453" s="53"/>
      <c r="F453" s="54"/>
      <c r="G453" s="51"/>
      <c r="H453" s="51"/>
      <c r="I453" s="55"/>
      <c r="J453" s="56"/>
      <c r="K453" s="46"/>
      <c r="L453" s="46"/>
      <c r="M453" s="47"/>
      <c r="N453" s="46"/>
      <c r="O453" s="57"/>
      <c r="P453" s="46"/>
      <c r="Q453" s="46"/>
      <c r="R453" s="57"/>
      <c r="S453" s="7"/>
      <c r="T453" s="54"/>
      <c r="U453" s="58"/>
      <c r="V453" s="47"/>
      <c r="W453" s="18"/>
      <c r="X453" s="46"/>
      <c r="Y453" s="9"/>
      <c r="Z453" s="46"/>
      <c r="AA453" s="7"/>
      <c r="AB453" s="46"/>
      <c r="AC453" s="47"/>
      <c r="AD453" s="7"/>
      <c r="AE453" s="47"/>
      <c r="AF453" s="18"/>
      <c r="AG453" s="26"/>
      <c r="AH453" s="34"/>
      <c r="AI453" s="34"/>
      <c r="AJ453" s="18"/>
      <c r="AK453" s="48"/>
      <c r="AL453" s="26" t="str">
        <f>IFERROR(__xludf.DUMMYFUNCTION("""COMPUTED_VALUE"""),"* RUCDO *")</f>
        <v>* RUCDO *</v>
      </c>
      <c r="AM453" s="59">
        <f>IFERROR(__xludf.DUMMYFUNCTION("""COMPUTED_VALUE"""),145060.0)</f>
        <v>145060</v>
      </c>
    </row>
    <row r="454">
      <c r="A454" s="51"/>
      <c r="B454" s="51"/>
      <c r="C454" s="52"/>
      <c r="D454" s="51"/>
      <c r="E454" s="53"/>
      <c r="F454" s="54"/>
      <c r="G454" s="51"/>
      <c r="H454" s="51"/>
      <c r="I454" s="55"/>
      <c r="J454" s="56"/>
      <c r="K454" s="46"/>
      <c r="L454" s="46"/>
      <c r="M454" s="47"/>
      <c r="N454" s="46"/>
      <c r="O454" s="57"/>
      <c r="P454" s="46"/>
      <c r="Q454" s="46"/>
      <c r="R454" s="57"/>
      <c r="S454" s="7"/>
      <c r="T454" s="54"/>
      <c r="U454" s="58"/>
      <c r="V454" s="47"/>
      <c r="W454" s="18"/>
      <c r="X454" s="46"/>
      <c r="Y454" s="9"/>
      <c r="Z454" s="46"/>
      <c r="AA454" s="7"/>
      <c r="AB454" s="46"/>
      <c r="AC454" s="47"/>
      <c r="AD454" s="7"/>
      <c r="AE454" s="47"/>
      <c r="AF454" s="18"/>
      <c r="AG454" s="26"/>
      <c r="AH454" s="34"/>
      <c r="AI454" s="34"/>
      <c r="AJ454" s="18"/>
      <c r="AK454" s="48"/>
      <c r="AL454" s="26" t="str">
        <f>IFERROR(__xludf.DUMMYFUNCTION("""COMPUTED_VALUE"""),"* RVS1O *")</f>
        <v>* RVS1O *</v>
      </c>
      <c r="AM454" s="59">
        <f>IFERROR(__xludf.DUMMYFUNCTION("""COMPUTED_VALUE"""),76.89)</f>
        <v>76.89</v>
      </c>
    </row>
    <row r="455">
      <c r="A455" s="51"/>
      <c r="B455" s="51"/>
      <c r="C455" s="52"/>
      <c r="D455" s="51"/>
      <c r="E455" s="53"/>
      <c r="F455" s="54"/>
      <c r="G455" s="51"/>
      <c r="H455" s="51"/>
      <c r="I455" s="55"/>
      <c r="J455" s="56"/>
      <c r="K455" s="46"/>
      <c r="L455" s="46"/>
      <c r="M455" s="47"/>
      <c r="N455" s="46"/>
      <c r="O455" s="57"/>
      <c r="P455" s="46"/>
      <c r="Q455" s="46"/>
      <c r="R455" s="57"/>
      <c r="S455" s="7"/>
      <c r="T455" s="54"/>
      <c r="U455" s="58"/>
      <c r="V455" s="47"/>
      <c r="W455" s="18"/>
      <c r="X455" s="46"/>
      <c r="Y455" s="9"/>
      <c r="Z455" s="46"/>
      <c r="AA455" s="7"/>
      <c r="AB455" s="46"/>
      <c r="AC455" s="47"/>
      <c r="AD455" s="7"/>
      <c r="AE455" s="47"/>
      <c r="AF455" s="18"/>
      <c r="AG455" s="26"/>
      <c r="AH455" s="34"/>
      <c r="AI455" s="34"/>
      <c r="AJ455" s="18"/>
      <c r="AK455" s="48"/>
      <c r="AL455" s="26" t="str">
        <f>IFERROR(__xludf.DUMMYFUNCTION("""COMPUTED_VALUE"""),"* RZ8BC *")</f>
        <v>* RZ8BC *</v>
      </c>
      <c r="AM455" s="59">
        <f>IFERROR(__xludf.DUMMYFUNCTION("""COMPUTED_VALUE"""),100.0)</f>
        <v>100</v>
      </c>
    </row>
    <row r="456">
      <c r="A456" s="51"/>
      <c r="B456" s="51"/>
      <c r="C456" s="52"/>
      <c r="D456" s="51"/>
      <c r="E456" s="53"/>
      <c r="F456" s="54"/>
      <c r="G456" s="51"/>
      <c r="H456" s="51"/>
      <c r="I456" s="55"/>
      <c r="J456" s="56"/>
      <c r="K456" s="46"/>
      <c r="L456" s="46"/>
      <c r="M456" s="47"/>
      <c r="N456" s="46"/>
      <c r="O456" s="57"/>
      <c r="P456" s="46"/>
      <c r="Q456" s="46"/>
      <c r="R456" s="57"/>
      <c r="S456" s="7"/>
      <c r="T456" s="54"/>
      <c r="U456" s="58"/>
      <c r="V456" s="47"/>
      <c r="W456" s="18"/>
      <c r="X456" s="46"/>
      <c r="Y456" s="9"/>
      <c r="Z456" s="46"/>
      <c r="AA456" s="7"/>
      <c r="AB456" s="46"/>
      <c r="AC456" s="47"/>
      <c r="AD456" s="7"/>
      <c r="AE456" s="47"/>
      <c r="AF456" s="18"/>
      <c r="AG456" s="26"/>
      <c r="AH456" s="34"/>
      <c r="AI456" s="34"/>
      <c r="AJ456" s="18"/>
      <c r="AK456" s="48"/>
      <c r="AL456" s="26" t="str">
        <f>IFERROR(__xludf.DUMMYFUNCTION("""COMPUTED_VALUE"""),"* RZ8BD *")</f>
        <v>* RZ8BD *</v>
      </c>
      <c r="AM456" s="59">
        <f>IFERROR(__xludf.DUMMYFUNCTION("""COMPUTED_VALUE"""),100.0)</f>
        <v>100</v>
      </c>
    </row>
    <row r="457">
      <c r="A457" s="51"/>
      <c r="B457" s="51"/>
      <c r="C457" s="52"/>
      <c r="D457" s="51"/>
      <c r="E457" s="53"/>
      <c r="F457" s="54"/>
      <c r="G457" s="51"/>
      <c r="H457" s="51"/>
      <c r="I457" s="55"/>
      <c r="J457" s="56"/>
      <c r="K457" s="46"/>
      <c r="L457" s="46"/>
      <c r="M457" s="47"/>
      <c r="N457" s="46"/>
      <c r="O457" s="57"/>
      <c r="P457" s="46"/>
      <c r="Q457" s="46"/>
      <c r="R457" s="57"/>
      <c r="S457" s="7"/>
      <c r="T457" s="54"/>
      <c r="U457" s="58"/>
      <c r="V457" s="47"/>
      <c r="W457" s="18"/>
      <c r="X457" s="46"/>
      <c r="Y457" s="9"/>
      <c r="Z457" s="46"/>
      <c r="AA457" s="7"/>
      <c r="AB457" s="46"/>
      <c r="AC457" s="47"/>
      <c r="AD457" s="7"/>
      <c r="AE457" s="47"/>
      <c r="AF457" s="18"/>
      <c r="AG457" s="26"/>
      <c r="AH457" s="34"/>
      <c r="AI457" s="34"/>
      <c r="AJ457" s="18"/>
      <c r="AK457" s="48"/>
      <c r="AL457" s="26" t="str">
        <f>IFERROR(__xludf.DUMMYFUNCTION("""COMPUTED_VALUE"""),"* RZ8BO *")</f>
        <v>* RZ8BO *</v>
      </c>
      <c r="AM457" s="59">
        <f>IFERROR(__xludf.DUMMYFUNCTION("""COMPUTED_VALUE"""),70000.0)</f>
        <v>70000</v>
      </c>
    </row>
    <row r="458">
      <c r="A458" s="51"/>
      <c r="B458" s="51"/>
      <c r="C458" s="52"/>
      <c r="D458" s="51"/>
      <c r="E458" s="53"/>
      <c r="F458" s="54"/>
      <c r="G458" s="51"/>
      <c r="H458" s="51"/>
      <c r="I458" s="55"/>
      <c r="J458" s="56"/>
      <c r="K458" s="46"/>
      <c r="L458" s="46"/>
      <c r="M458" s="47"/>
      <c r="N458" s="46"/>
      <c r="O458" s="57"/>
      <c r="P458" s="46"/>
      <c r="Q458" s="46"/>
      <c r="R458" s="57"/>
      <c r="S458" s="7"/>
      <c r="T458" s="54"/>
      <c r="U458" s="58"/>
      <c r="V458" s="47"/>
      <c r="W458" s="18"/>
      <c r="X458" s="46"/>
      <c r="Y458" s="9"/>
      <c r="Z458" s="46"/>
      <c r="AA458" s="7"/>
      <c r="AB458" s="46"/>
      <c r="AC458" s="47"/>
      <c r="AD458" s="7"/>
      <c r="AE458" s="47"/>
      <c r="AF458" s="18"/>
      <c r="AG458" s="26"/>
      <c r="AH458" s="34"/>
      <c r="AI458" s="34"/>
      <c r="AJ458" s="18"/>
      <c r="AK458" s="48"/>
      <c r="AL458" s="26" t="str">
        <f>IFERROR(__xludf.DUMMYFUNCTION("""COMPUTED_VALUE"""),"* RZ9AO *")</f>
        <v>* RZ9AO *</v>
      </c>
      <c r="AM458" s="59">
        <f>IFERROR(__xludf.DUMMYFUNCTION("""COMPUTED_VALUE"""),82000.0)</f>
        <v>82000</v>
      </c>
    </row>
    <row r="459">
      <c r="A459" s="51"/>
      <c r="B459" s="51"/>
      <c r="C459" s="52"/>
      <c r="D459" s="51"/>
      <c r="E459" s="53"/>
      <c r="F459" s="54"/>
      <c r="G459" s="51"/>
      <c r="H459" s="51"/>
      <c r="I459" s="55"/>
      <c r="J459" s="56"/>
      <c r="K459" s="46"/>
      <c r="L459" s="46"/>
      <c r="M459" s="47"/>
      <c r="N459" s="46"/>
      <c r="O459" s="57"/>
      <c r="P459" s="46"/>
      <c r="Q459" s="46"/>
      <c r="R459" s="57"/>
      <c r="S459" s="7"/>
      <c r="T459" s="54"/>
      <c r="U459" s="58"/>
      <c r="V459" s="47"/>
      <c r="W459" s="18"/>
      <c r="X459" s="46"/>
      <c r="Y459" s="9"/>
      <c r="Z459" s="46"/>
      <c r="AA459" s="7"/>
      <c r="AB459" s="46"/>
      <c r="AC459" s="47"/>
      <c r="AD459" s="7"/>
      <c r="AE459" s="47"/>
      <c r="AF459" s="18"/>
      <c r="AG459" s="26"/>
      <c r="AH459" s="34"/>
      <c r="AI459" s="34"/>
      <c r="AJ459" s="18"/>
      <c r="AK459" s="48"/>
      <c r="AL459" s="26" t="str">
        <f>IFERROR(__xludf.DUMMYFUNCTION("""COMPUTED_VALUE"""),"* RZ9BD *")</f>
        <v>* RZ9BD *</v>
      </c>
      <c r="AM459" s="59">
        <f>IFERROR(__xludf.DUMMYFUNCTION("""COMPUTED_VALUE"""),58.0)</f>
        <v>58</v>
      </c>
    </row>
    <row r="460">
      <c r="A460" s="51"/>
      <c r="B460" s="51"/>
      <c r="C460" s="52"/>
      <c r="D460" s="51"/>
      <c r="E460" s="53"/>
      <c r="F460" s="54"/>
      <c r="G460" s="51"/>
      <c r="H460" s="51"/>
      <c r="I460" s="55"/>
      <c r="J460" s="56"/>
      <c r="K460" s="46"/>
      <c r="L460" s="46"/>
      <c r="M460" s="47"/>
      <c r="N460" s="46"/>
      <c r="O460" s="57"/>
      <c r="P460" s="46"/>
      <c r="Q460" s="46"/>
      <c r="R460" s="57"/>
      <c r="S460" s="7"/>
      <c r="T460" s="54"/>
      <c r="U460" s="58"/>
      <c r="V460" s="47"/>
      <c r="W460" s="18"/>
      <c r="X460" s="46"/>
      <c r="Y460" s="9"/>
      <c r="Z460" s="46"/>
      <c r="AA460" s="7"/>
      <c r="AB460" s="46"/>
      <c r="AC460" s="47"/>
      <c r="AD460" s="7"/>
      <c r="AE460" s="47"/>
      <c r="AF460" s="18"/>
      <c r="AG460" s="26"/>
      <c r="AH460" s="34"/>
      <c r="AI460" s="34"/>
      <c r="AJ460" s="18"/>
      <c r="AK460" s="48"/>
      <c r="AL460" s="26" t="str">
        <f>IFERROR(__xludf.DUMMYFUNCTION("""COMPUTED_VALUE"""),"* RZ9BO *")</f>
        <v>* RZ9BO *</v>
      </c>
      <c r="AM460" s="59">
        <f>IFERROR(__xludf.DUMMYFUNCTION("""COMPUTED_VALUE"""),85500.0)</f>
        <v>85500</v>
      </c>
    </row>
    <row r="461">
      <c r="A461" s="51"/>
      <c r="B461" s="51"/>
      <c r="C461" s="52"/>
      <c r="D461" s="51"/>
      <c r="E461" s="53"/>
      <c r="F461" s="54"/>
      <c r="G461" s="51"/>
      <c r="H461" s="51"/>
      <c r="I461" s="55"/>
      <c r="J461" s="56"/>
      <c r="K461" s="46"/>
      <c r="L461" s="46"/>
      <c r="M461" s="47"/>
      <c r="N461" s="46"/>
      <c r="O461" s="57"/>
      <c r="P461" s="46"/>
      <c r="Q461" s="46"/>
      <c r="R461" s="57"/>
      <c r="S461" s="7"/>
      <c r="T461" s="54"/>
      <c r="U461" s="58"/>
      <c r="V461" s="47"/>
      <c r="W461" s="18"/>
      <c r="X461" s="46"/>
      <c r="Y461" s="9"/>
      <c r="Z461" s="46"/>
      <c r="AA461" s="7"/>
      <c r="AB461" s="46"/>
      <c r="AC461" s="47"/>
      <c r="AD461" s="7"/>
      <c r="AE461" s="47"/>
      <c r="AF461" s="18"/>
      <c r="AG461" s="26"/>
      <c r="AH461" s="34"/>
      <c r="AI461" s="34"/>
      <c r="AJ461" s="18"/>
      <c r="AK461" s="48"/>
      <c r="AL461" s="26" t="str">
        <f>IFERROR(__xludf.DUMMYFUNCTION("""COMPUTED_VALUE"""),"* RZAAD *")</f>
        <v>* RZAAD *</v>
      </c>
      <c r="AM461" s="59">
        <f>IFERROR(__xludf.DUMMYFUNCTION("""COMPUTED_VALUE"""),100.0)</f>
        <v>100</v>
      </c>
    </row>
    <row r="462">
      <c r="A462" s="51"/>
      <c r="B462" s="51"/>
      <c r="C462" s="52"/>
      <c r="D462" s="51"/>
      <c r="E462" s="53"/>
      <c r="F462" s="54"/>
      <c r="G462" s="51"/>
      <c r="H462" s="51"/>
      <c r="I462" s="55"/>
      <c r="J462" s="56"/>
      <c r="K462" s="46"/>
      <c r="L462" s="46"/>
      <c r="M462" s="47"/>
      <c r="N462" s="46"/>
      <c r="O462" s="57"/>
      <c r="P462" s="46"/>
      <c r="Q462" s="46"/>
      <c r="R462" s="57"/>
      <c r="S462" s="7"/>
      <c r="T462" s="54"/>
      <c r="U462" s="58"/>
      <c r="V462" s="47"/>
      <c r="W462" s="18"/>
      <c r="X462" s="46"/>
      <c r="Y462" s="9"/>
      <c r="Z462" s="46"/>
      <c r="AA462" s="7"/>
      <c r="AB462" s="46"/>
      <c r="AC462" s="47"/>
      <c r="AD462" s="7"/>
      <c r="AE462" s="47"/>
      <c r="AF462" s="18"/>
      <c r="AG462" s="26"/>
      <c r="AH462" s="34"/>
      <c r="AI462" s="34"/>
      <c r="AJ462" s="18"/>
      <c r="AK462" s="48"/>
      <c r="AL462" s="26" t="str">
        <f>IFERROR(__xludf.DUMMYFUNCTION("""COMPUTED_VALUE"""),"* RZAAO *")</f>
        <v>* RZAAO *</v>
      </c>
      <c r="AM462" s="59">
        <f>IFERROR(__xludf.DUMMYFUNCTION("""COMPUTED_VALUE"""),100.0)</f>
        <v>100</v>
      </c>
    </row>
    <row r="463">
      <c r="A463" s="51"/>
      <c r="B463" s="51"/>
      <c r="C463" s="52"/>
      <c r="D463" s="51"/>
      <c r="E463" s="53"/>
      <c r="F463" s="54"/>
      <c r="G463" s="51"/>
      <c r="H463" s="51"/>
      <c r="I463" s="55"/>
      <c r="J463" s="56"/>
      <c r="K463" s="46"/>
      <c r="L463" s="46"/>
      <c r="M463" s="47"/>
      <c r="N463" s="46"/>
      <c r="O463" s="57"/>
      <c r="P463" s="46"/>
      <c r="Q463" s="46"/>
      <c r="R463" s="57"/>
      <c r="S463" s="7"/>
      <c r="T463" s="54"/>
      <c r="U463" s="58"/>
      <c r="V463" s="47"/>
      <c r="W463" s="18"/>
      <c r="X463" s="46"/>
      <c r="Y463" s="9"/>
      <c r="Z463" s="46"/>
      <c r="AA463" s="7"/>
      <c r="AB463" s="46"/>
      <c r="AC463" s="47"/>
      <c r="AD463" s="7"/>
      <c r="AE463" s="47"/>
      <c r="AF463" s="18"/>
      <c r="AG463" s="26"/>
      <c r="AH463" s="34"/>
      <c r="AI463" s="34"/>
      <c r="AJ463" s="18"/>
      <c r="AK463" s="48"/>
      <c r="AL463" s="26" t="str">
        <f>IFERROR(__xludf.DUMMYFUNCTION("""COMPUTED_VALUE"""),"* RZABD *")</f>
        <v>* RZABD *</v>
      </c>
      <c r="AM463" s="59">
        <f>IFERROR(__xludf.DUMMYFUNCTION("""COMPUTED_VALUE"""),57.0)</f>
        <v>57</v>
      </c>
    </row>
    <row r="464">
      <c r="A464" s="51"/>
      <c r="B464" s="51"/>
      <c r="C464" s="52"/>
      <c r="D464" s="51"/>
      <c r="E464" s="53"/>
      <c r="F464" s="54"/>
      <c r="G464" s="51"/>
      <c r="H464" s="51"/>
      <c r="I464" s="55"/>
      <c r="J464" s="56"/>
      <c r="K464" s="46"/>
      <c r="L464" s="46"/>
      <c r="M464" s="47"/>
      <c r="N464" s="46"/>
      <c r="O464" s="57"/>
      <c r="P464" s="46"/>
      <c r="Q464" s="46"/>
      <c r="R464" s="57"/>
      <c r="S464" s="7"/>
      <c r="T464" s="54"/>
      <c r="U464" s="58"/>
      <c r="V464" s="47"/>
      <c r="W464" s="18"/>
      <c r="X464" s="46"/>
      <c r="Y464" s="9"/>
      <c r="Z464" s="46"/>
      <c r="AA464" s="7"/>
      <c r="AB464" s="46"/>
      <c r="AC464" s="47"/>
      <c r="AD464" s="7"/>
      <c r="AE464" s="47"/>
      <c r="AF464" s="18"/>
      <c r="AG464" s="26"/>
      <c r="AH464" s="34"/>
      <c r="AI464" s="34"/>
      <c r="AJ464" s="18"/>
      <c r="AK464" s="48"/>
      <c r="AL464" s="26" t="str">
        <f>IFERROR(__xludf.DUMMYFUNCTION("""COMPUTED_VALUE"""),"* RZABO *")</f>
        <v>* RZABO *</v>
      </c>
      <c r="AM464" s="59">
        <f>IFERROR(__xludf.DUMMYFUNCTION("""COMPUTED_VALUE"""),83400.0)</f>
        <v>83400</v>
      </c>
    </row>
    <row r="465">
      <c r="A465" s="51"/>
      <c r="B465" s="51"/>
      <c r="C465" s="52"/>
      <c r="D465" s="51"/>
      <c r="E465" s="53"/>
      <c r="F465" s="54"/>
      <c r="G465" s="51"/>
      <c r="H465" s="51"/>
      <c r="I465" s="55"/>
      <c r="J465" s="56"/>
      <c r="K465" s="46"/>
      <c r="L465" s="46"/>
      <c r="M465" s="47"/>
      <c r="N465" s="46"/>
      <c r="O465" s="57"/>
      <c r="P465" s="46"/>
      <c r="Q465" s="46"/>
      <c r="R465" s="57"/>
      <c r="S465" s="7"/>
      <c r="T465" s="54"/>
      <c r="U465" s="58"/>
      <c r="V465" s="47"/>
      <c r="W465" s="18"/>
      <c r="X465" s="46"/>
      <c r="Y465" s="9"/>
      <c r="Z465" s="46"/>
      <c r="AA465" s="7"/>
      <c r="AB465" s="46"/>
      <c r="AC465" s="47"/>
      <c r="AD465" s="7"/>
      <c r="AE465" s="47"/>
      <c r="AF465" s="18"/>
      <c r="AG465" s="26"/>
      <c r="AH465" s="34"/>
      <c r="AI465" s="34"/>
      <c r="AJ465" s="18"/>
      <c r="AK465" s="48"/>
      <c r="AL465" s="26" t="str">
        <f>IFERROR(__xludf.DUMMYFUNCTION("""COMPUTED_VALUE"""),"* SBC1C *")</f>
        <v>* SBC1C *</v>
      </c>
      <c r="AM465" s="59">
        <f>IFERROR(__xludf.DUMMYFUNCTION("""COMPUTED_VALUE"""),101.0)</f>
        <v>101</v>
      </c>
    </row>
    <row r="466">
      <c r="A466" s="51"/>
      <c r="B466" s="51"/>
      <c r="C466" s="52"/>
      <c r="D466" s="51"/>
      <c r="E466" s="53"/>
      <c r="F466" s="54"/>
      <c r="G466" s="51"/>
      <c r="H466" s="51"/>
      <c r="I466" s="55"/>
      <c r="J466" s="56"/>
      <c r="K466" s="46"/>
      <c r="L466" s="46"/>
      <c r="M466" s="47"/>
      <c r="N466" s="46"/>
      <c r="O466" s="57"/>
      <c r="P466" s="46"/>
      <c r="Q466" s="46"/>
      <c r="R466" s="57"/>
      <c r="S466" s="7"/>
      <c r="T466" s="54"/>
      <c r="U466" s="58"/>
      <c r="V466" s="47"/>
      <c r="W466" s="18"/>
      <c r="X466" s="46"/>
      <c r="Y466" s="9"/>
      <c r="Z466" s="46"/>
      <c r="AA466" s="7"/>
      <c r="AB466" s="46"/>
      <c r="AC466" s="47"/>
      <c r="AD466" s="7"/>
      <c r="AE466" s="47"/>
      <c r="AF466" s="18"/>
      <c r="AG466" s="26"/>
      <c r="AH466" s="34"/>
      <c r="AI466" s="34"/>
      <c r="AJ466" s="18"/>
      <c r="AK466" s="48"/>
      <c r="AL466" s="26" t="str">
        <f>IFERROR(__xludf.DUMMYFUNCTION("""COMPUTED_VALUE"""),"* SBC1D *")</f>
        <v>* SBC1D *</v>
      </c>
      <c r="AM466" s="59">
        <f>IFERROR(__xludf.DUMMYFUNCTION("""COMPUTED_VALUE"""),101.75)</f>
        <v>101.75</v>
      </c>
    </row>
    <row r="467">
      <c r="A467" s="51"/>
      <c r="B467" s="51"/>
      <c r="C467" s="52"/>
      <c r="D467" s="51"/>
      <c r="E467" s="53"/>
      <c r="F467" s="54"/>
      <c r="G467" s="51"/>
      <c r="H467" s="51"/>
      <c r="I467" s="55"/>
      <c r="J467" s="56"/>
      <c r="K467" s="46"/>
      <c r="L467" s="46"/>
      <c r="M467" s="47"/>
      <c r="N467" s="46"/>
      <c r="O467" s="57"/>
      <c r="P467" s="46"/>
      <c r="Q467" s="46"/>
      <c r="R467" s="57"/>
      <c r="S467" s="7"/>
      <c r="T467" s="54"/>
      <c r="U467" s="58"/>
      <c r="V467" s="47"/>
      <c r="W467" s="18"/>
      <c r="X467" s="46"/>
      <c r="Y467" s="9"/>
      <c r="Z467" s="46"/>
      <c r="AA467" s="7"/>
      <c r="AB467" s="46"/>
      <c r="AC467" s="47"/>
      <c r="AD467" s="7"/>
      <c r="AE467" s="47"/>
      <c r="AF467" s="18"/>
      <c r="AG467" s="26"/>
      <c r="AH467" s="34"/>
      <c r="AI467" s="34"/>
      <c r="AJ467" s="18"/>
      <c r="AK467" s="48"/>
      <c r="AL467" s="26" t="str">
        <f>IFERROR(__xludf.DUMMYFUNCTION("""COMPUTED_VALUE"""),"* SBC1O *")</f>
        <v>* SBC1O *</v>
      </c>
      <c r="AM467" s="59">
        <f>IFERROR(__xludf.DUMMYFUNCTION("""COMPUTED_VALUE"""),148270.0)</f>
        <v>148270</v>
      </c>
    </row>
    <row r="468">
      <c r="A468" s="51"/>
      <c r="B468" s="51"/>
      <c r="C468" s="52"/>
      <c r="D468" s="51"/>
      <c r="E468" s="53"/>
      <c r="F468" s="54"/>
      <c r="G468" s="51"/>
      <c r="H468" s="51"/>
      <c r="I468" s="55"/>
      <c r="J468" s="56"/>
      <c r="K468" s="46"/>
      <c r="L468" s="46"/>
      <c r="M468" s="47"/>
      <c r="N468" s="46"/>
      <c r="O468" s="57"/>
      <c r="P468" s="46"/>
      <c r="Q468" s="46"/>
      <c r="R468" s="57"/>
      <c r="S468" s="7"/>
      <c r="T468" s="54"/>
      <c r="U468" s="58"/>
      <c r="V468" s="47"/>
      <c r="W468" s="18"/>
      <c r="X468" s="46"/>
      <c r="Y468" s="9"/>
      <c r="Z468" s="46"/>
      <c r="AA468" s="7"/>
      <c r="AB468" s="46"/>
      <c r="AC468" s="47"/>
      <c r="AD468" s="7"/>
      <c r="AE468" s="47"/>
      <c r="AF468" s="18"/>
      <c r="AG468" s="26"/>
      <c r="AH468" s="34"/>
      <c r="AI468" s="34"/>
      <c r="AJ468" s="18"/>
      <c r="AK468" s="48"/>
      <c r="AL468" s="26" t="str">
        <f>IFERROR(__xludf.DUMMYFUNCTION("""COMPUTED_VALUE"""),"* SIC1D *")</f>
        <v>* SIC1D *</v>
      </c>
      <c r="AM468" s="59">
        <f>IFERROR(__xludf.DUMMYFUNCTION("""COMPUTED_VALUE"""),100.1)</f>
        <v>100.1</v>
      </c>
    </row>
    <row r="469">
      <c r="A469" s="51"/>
      <c r="B469" s="51"/>
      <c r="C469" s="52"/>
      <c r="D469" s="51"/>
      <c r="E469" s="53"/>
      <c r="F469" s="54"/>
      <c r="G469" s="51"/>
      <c r="H469" s="51"/>
      <c r="I469" s="55"/>
      <c r="J469" s="56"/>
      <c r="K469" s="46"/>
      <c r="L469" s="46"/>
      <c r="M469" s="47"/>
      <c r="N469" s="46"/>
      <c r="O469" s="57"/>
      <c r="P469" s="46"/>
      <c r="Q469" s="46"/>
      <c r="R469" s="57"/>
      <c r="S469" s="7"/>
      <c r="T469" s="54"/>
      <c r="U469" s="58"/>
      <c r="V469" s="47"/>
      <c r="W469" s="18"/>
      <c r="X469" s="46"/>
      <c r="Y469" s="9"/>
      <c r="Z469" s="46"/>
      <c r="AA469" s="7"/>
      <c r="AB469" s="46"/>
      <c r="AC469" s="47"/>
      <c r="AD469" s="7"/>
      <c r="AE469" s="47"/>
      <c r="AF469" s="18"/>
      <c r="AG469" s="26"/>
      <c r="AH469" s="34"/>
      <c r="AI469" s="34"/>
      <c r="AJ469" s="18"/>
      <c r="AK469" s="48"/>
      <c r="AL469" s="26" t="str">
        <f>IFERROR(__xludf.DUMMYFUNCTION("""COMPUTED_VALUE"""),"* SIC1O *")</f>
        <v>* SIC1O *</v>
      </c>
      <c r="AM469" s="59">
        <f>IFERROR(__xludf.DUMMYFUNCTION("""COMPUTED_VALUE"""),151900.0)</f>
        <v>151900</v>
      </c>
    </row>
    <row r="470">
      <c r="A470" s="51"/>
      <c r="B470" s="51"/>
      <c r="C470" s="52"/>
      <c r="D470" s="51"/>
      <c r="E470" s="53"/>
      <c r="F470" s="54"/>
      <c r="G470" s="51"/>
      <c r="H470" s="51"/>
      <c r="I470" s="55"/>
      <c r="J470" s="56"/>
      <c r="K470" s="46"/>
      <c r="L470" s="46"/>
      <c r="M470" s="47"/>
      <c r="N470" s="46"/>
      <c r="O470" s="57"/>
      <c r="P470" s="46"/>
      <c r="Q470" s="46"/>
      <c r="R470" s="57"/>
      <c r="S470" s="7"/>
      <c r="T470" s="54"/>
      <c r="U470" s="58"/>
      <c r="V470" s="47"/>
      <c r="W470" s="18"/>
      <c r="X470" s="46"/>
      <c r="Y470" s="9"/>
      <c r="Z470" s="46"/>
      <c r="AA470" s="7"/>
      <c r="AB470" s="46"/>
      <c r="AC470" s="47"/>
      <c r="AD470" s="7"/>
      <c r="AE470" s="47"/>
      <c r="AF470" s="18"/>
      <c r="AG470" s="26"/>
      <c r="AH470" s="34"/>
      <c r="AI470" s="34"/>
      <c r="AJ470" s="18"/>
      <c r="AK470" s="48"/>
      <c r="AL470" s="26" t="str">
        <f>IFERROR(__xludf.DUMMYFUNCTION("""COMPUTED_VALUE"""),"* SNAAO *")</f>
        <v>* SNAAO *</v>
      </c>
      <c r="AM470" s="59">
        <f>IFERROR(__xludf.DUMMYFUNCTION("""COMPUTED_VALUE"""),94870.0)</f>
        <v>94870</v>
      </c>
    </row>
    <row r="471">
      <c r="A471" s="51"/>
      <c r="B471" s="51"/>
      <c r="C471" s="52"/>
      <c r="D471" s="51"/>
      <c r="E471" s="53"/>
      <c r="F471" s="54"/>
      <c r="G471" s="51"/>
      <c r="H471" s="51"/>
      <c r="I471" s="55"/>
      <c r="J471" s="56"/>
      <c r="K471" s="46"/>
      <c r="L471" s="46"/>
      <c r="M471" s="47"/>
      <c r="N471" s="46"/>
      <c r="O471" s="57"/>
      <c r="P471" s="46"/>
      <c r="Q471" s="46"/>
      <c r="R471" s="57"/>
      <c r="S471" s="7"/>
      <c r="T471" s="54"/>
      <c r="U471" s="58"/>
      <c r="V471" s="47"/>
      <c r="W471" s="18"/>
      <c r="X471" s="46"/>
      <c r="Y471" s="9"/>
      <c r="Z471" s="46"/>
      <c r="AA471" s="7"/>
      <c r="AB471" s="46"/>
      <c r="AC471" s="47"/>
      <c r="AD471" s="7"/>
      <c r="AE471" s="47"/>
      <c r="AF471" s="18"/>
      <c r="AG471" s="26"/>
      <c r="AH471" s="34"/>
      <c r="AI471" s="34"/>
      <c r="AJ471" s="18"/>
      <c r="AK471" s="48"/>
      <c r="AL471" s="26" t="str">
        <f>IFERROR(__xludf.DUMMYFUNCTION("""COMPUTED_VALUE"""),"* SNABD *")</f>
        <v>* SNABD *</v>
      </c>
      <c r="AM471" s="59">
        <f>IFERROR(__xludf.DUMMYFUNCTION("""COMPUTED_VALUE"""),69.81)</f>
        <v>69.81</v>
      </c>
    </row>
    <row r="472">
      <c r="A472" s="51"/>
      <c r="B472" s="51"/>
      <c r="C472" s="52"/>
      <c r="D472" s="51"/>
      <c r="E472" s="53"/>
      <c r="F472" s="54"/>
      <c r="G472" s="51"/>
      <c r="H472" s="51"/>
      <c r="I472" s="55"/>
      <c r="J472" s="56"/>
      <c r="K472" s="46"/>
      <c r="L472" s="46"/>
      <c r="M472" s="47"/>
      <c r="N472" s="46"/>
      <c r="O472" s="57"/>
      <c r="P472" s="46"/>
      <c r="Q472" s="46"/>
      <c r="R472" s="57"/>
      <c r="S472" s="7"/>
      <c r="T472" s="54"/>
      <c r="U472" s="58"/>
      <c r="V472" s="47"/>
      <c r="W472" s="18"/>
      <c r="X472" s="46"/>
      <c r="Y472" s="9"/>
      <c r="Z472" s="46"/>
      <c r="AA472" s="7"/>
      <c r="AB472" s="46"/>
      <c r="AC472" s="47"/>
      <c r="AD472" s="7"/>
      <c r="AE472" s="47"/>
      <c r="AF472" s="18"/>
      <c r="AG472" s="26"/>
      <c r="AH472" s="34"/>
      <c r="AI472" s="34"/>
      <c r="AJ472" s="18"/>
      <c r="AK472" s="48"/>
      <c r="AL472" s="26" t="str">
        <f>IFERROR(__xludf.DUMMYFUNCTION("""COMPUTED_VALUE"""),"* SNABO *")</f>
        <v>* SNABO *</v>
      </c>
      <c r="AM472" s="59">
        <f>IFERROR(__xludf.DUMMYFUNCTION("""COMPUTED_VALUE"""),102100.0)</f>
        <v>102100</v>
      </c>
    </row>
    <row r="473">
      <c r="A473" s="51"/>
      <c r="B473" s="51"/>
      <c r="C473" s="52"/>
      <c r="D473" s="51"/>
      <c r="E473" s="53"/>
      <c r="F473" s="54"/>
      <c r="G473" s="51"/>
      <c r="H473" s="51"/>
      <c r="I473" s="55"/>
      <c r="J473" s="56"/>
      <c r="K473" s="46"/>
      <c r="L473" s="46"/>
      <c r="M473" s="47"/>
      <c r="N473" s="46"/>
      <c r="O473" s="57"/>
      <c r="P473" s="46"/>
      <c r="Q473" s="46"/>
      <c r="R473" s="57"/>
      <c r="S473" s="7"/>
      <c r="T473" s="54"/>
      <c r="U473" s="58"/>
      <c r="V473" s="47"/>
      <c r="W473" s="18"/>
      <c r="X473" s="46"/>
      <c r="Y473" s="9"/>
      <c r="Z473" s="46"/>
      <c r="AA473" s="7"/>
      <c r="AB473" s="46"/>
      <c r="AC473" s="47"/>
      <c r="AD473" s="7"/>
      <c r="AE473" s="47"/>
      <c r="AF473" s="18"/>
      <c r="AG473" s="26"/>
      <c r="AH473" s="34"/>
      <c r="AI473" s="34"/>
      <c r="AJ473" s="18"/>
      <c r="AK473" s="48"/>
      <c r="AL473" s="26" t="str">
        <f>IFERROR(__xludf.DUMMYFUNCTION("""COMPUTED_VALUE"""),"* SNAOD *")</f>
        <v>* SNAOD *</v>
      </c>
      <c r="AM473" s="59">
        <f>IFERROR(__xludf.DUMMYFUNCTION("""COMPUTED_VALUE"""),100.0)</f>
        <v>100</v>
      </c>
    </row>
    <row r="474">
      <c r="A474" s="51"/>
      <c r="B474" s="51"/>
      <c r="C474" s="52"/>
      <c r="D474" s="51"/>
      <c r="E474" s="53"/>
      <c r="F474" s="54"/>
      <c r="G474" s="51"/>
      <c r="H474" s="51"/>
      <c r="I474" s="55"/>
      <c r="J474" s="56"/>
      <c r="K474" s="46"/>
      <c r="L474" s="46"/>
      <c r="M474" s="47"/>
      <c r="N474" s="46"/>
      <c r="O474" s="57"/>
      <c r="P474" s="46"/>
      <c r="Q474" s="46"/>
      <c r="R474" s="57"/>
      <c r="S474" s="7"/>
      <c r="T474" s="54"/>
      <c r="U474" s="58"/>
      <c r="V474" s="47"/>
      <c r="W474" s="18"/>
      <c r="X474" s="46"/>
      <c r="Y474" s="9"/>
      <c r="Z474" s="46"/>
      <c r="AA474" s="7"/>
      <c r="AB474" s="46"/>
      <c r="AC474" s="47"/>
      <c r="AD474" s="7"/>
      <c r="AE474" s="47"/>
      <c r="AF474" s="18"/>
      <c r="AG474" s="26"/>
      <c r="AH474" s="34"/>
      <c r="AI474" s="34"/>
      <c r="AJ474" s="18"/>
      <c r="AK474" s="48"/>
      <c r="AL474" s="26" t="str">
        <f>IFERROR(__xludf.DUMMYFUNCTION("""COMPUTED_VALUE"""),"* SNSBD *")</f>
        <v>* SNSBD *</v>
      </c>
      <c r="AM474" s="59">
        <f>IFERROR(__xludf.DUMMYFUNCTION("""COMPUTED_VALUE"""),76.0)</f>
        <v>76</v>
      </c>
    </row>
    <row r="475">
      <c r="A475" s="51"/>
      <c r="B475" s="51"/>
      <c r="C475" s="52"/>
      <c r="D475" s="51"/>
      <c r="E475" s="53"/>
      <c r="F475" s="54"/>
      <c r="G475" s="51"/>
      <c r="H475" s="51"/>
      <c r="I475" s="55"/>
      <c r="J475" s="56"/>
      <c r="K475" s="46"/>
      <c r="L475" s="46"/>
      <c r="M475" s="47"/>
      <c r="N475" s="46"/>
      <c r="O475" s="57"/>
      <c r="P475" s="46"/>
      <c r="Q475" s="46"/>
      <c r="R475" s="57"/>
      <c r="S475" s="7"/>
      <c r="T475" s="54"/>
      <c r="U475" s="58"/>
      <c r="V475" s="47"/>
      <c r="W475" s="18"/>
      <c r="X475" s="46"/>
      <c r="Y475" s="9"/>
      <c r="Z475" s="46"/>
      <c r="AA475" s="7"/>
      <c r="AB475" s="46"/>
      <c r="AC475" s="47"/>
      <c r="AD475" s="7"/>
      <c r="AE475" s="47"/>
      <c r="AF475" s="18"/>
      <c r="AG475" s="26"/>
      <c r="AH475" s="34"/>
      <c r="AI475" s="34"/>
      <c r="AJ475" s="18"/>
      <c r="AK475" s="48"/>
      <c r="AL475" s="26" t="str">
        <f>IFERROR(__xludf.DUMMYFUNCTION("""COMPUTED_VALUE"""),"* SNSBO *")</f>
        <v>* SNSBO *</v>
      </c>
      <c r="AM475" s="59">
        <f>IFERROR(__xludf.DUMMYFUNCTION("""COMPUTED_VALUE"""),110000.0)</f>
        <v>110000</v>
      </c>
    </row>
    <row r="476">
      <c r="A476" s="51"/>
      <c r="B476" s="51"/>
      <c r="C476" s="52"/>
      <c r="D476" s="51"/>
      <c r="E476" s="53"/>
      <c r="F476" s="54"/>
      <c r="G476" s="51"/>
      <c r="H476" s="51"/>
      <c r="I476" s="55"/>
      <c r="J476" s="56"/>
      <c r="K476" s="46"/>
      <c r="L476" s="46"/>
      <c r="M476" s="47"/>
      <c r="N476" s="46"/>
      <c r="O476" s="57"/>
      <c r="P476" s="46"/>
      <c r="Q476" s="46"/>
      <c r="R476" s="57"/>
      <c r="S476" s="7"/>
      <c r="T476" s="54"/>
      <c r="U476" s="58"/>
      <c r="V476" s="47"/>
      <c r="W476" s="18"/>
      <c r="X476" s="46"/>
      <c r="Y476" s="9"/>
      <c r="Z476" s="46"/>
      <c r="AA476" s="7"/>
      <c r="AB476" s="46"/>
      <c r="AC476" s="47"/>
      <c r="AD476" s="7"/>
      <c r="AE476" s="47"/>
      <c r="AF476" s="18"/>
      <c r="AG476" s="26"/>
      <c r="AH476" s="34"/>
      <c r="AI476" s="34"/>
      <c r="AJ476" s="18"/>
      <c r="AK476" s="48"/>
      <c r="AL476" s="26" t="str">
        <f>IFERROR(__xludf.DUMMYFUNCTION("""COMPUTED_VALUE"""),"* SNSDD *")</f>
        <v>* SNSDD *</v>
      </c>
      <c r="AM476" s="59">
        <f>IFERROR(__xludf.DUMMYFUNCTION("""COMPUTED_VALUE"""),73.0)</f>
        <v>73</v>
      </c>
    </row>
    <row r="477">
      <c r="A477" s="51"/>
      <c r="B477" s="51"/>
      <c r="C477" s="52"/>
      <c r="D477" s="51"/>
      <c r="E477" s="53"/>
      <c r="F477" s="54"/>
      <c r="G477" s="51"/>
      <c r="H477" s="51"/>
      <c r="I477" s="55"/>
      <c r="J477" s="56"/>
      <c r="K477" s="46"/>
      <c r="L477" s="46"/>
      <c r="M477" s="47"/>
      <c r="N477" s="46"/>
      <c r="O477" s="57"/>
      <c r="P477" s="46"/>
      <c r="Q477" s="46"/>
      <c r="R477" s="57"/>
      <c r="S477" s="7"/>
      <c r="T477" s="54"/>
      <c r="U477" s="58"/>
      <c r="V477" s="47"/>
      <c r="W477" s="18"/>
      <c r="X477" s="46"/>
      <c r="Y477" s="9"/>
      <c r="Z477" s="46"/>
      <c r="AA477" s="7"/>
      <c r="AB477" s="46"/>
      <c r="AC477" s="47"/>
      <c r="AD477" s="7"/>
      <c r="AE477" s="47"/>
      <c r="AF477" s="18"/>
      <c r="AG477" s="26"/>
      <c r="AH477" s="34"/>
      <c r="AI477" s="34"/>
      <c r="AJ477" s="18"/>
      <c r="AK477" s="48"/>
      <c r="AL477" s="26" t="str">
        <f>IFERROR(__xludf.DUMMYFUNCTION("""COMPUTED_VALUE"""),"* SNSDO *")</f>
        <v>* SNSDO *</v>
      </c>
      <c r="AM477" s="59">
        <f>IFERROR(__xludf.DUMMYFUNCTION("""COMPUTED_VALUE"""),106500.0)</f>
        <v>106500</v>
      </c>
    </row>
    <row r="478">
      <c r="A478" s="51"/>
      <c r="B478" s="51"/>
      <c r="C478" s="52"/>
      <c r="D478" s="51"/>
      <c r="E478" s="53"/>
      <c r="F478" s="54"/>
      <c r="G478" s="51"/>
      <c r="H478" s="51"/>
      <c r="I478" s="55"/>
      <c r="J478" s="56"/>
      <c r="K478" s="46"/>
      <c r="L478" s="46"/>
      <c r="M478" s="47"/>
      <c r="N478" s="46"/>
      <c r="O478" s="57"/>
      <c r="P478" s="46"/>
      <c r="Q478" s="46"/>
      <c r="R478" s="57"/>
      <c r="S478" s="7"/>
      <c r="T478" s="54"/>
      <c r="U478" s="58"/>
      <c r="V478" s="47"/>
      <c r="W478" s="18"/>
      <c r="X478" s="46"/>
      <c r="Y478" s="9"/>
      <c r="Z478" s="46"/>
      <c r="AA478" s="7"/>
      <c r="AB478" s="46"/>
      <c r="AC478" s="47"/>
      <c r="AD478" s="7"/>
      <c r="AE478" s="47"/>
      <c r="AF478" s="18"/>
      <c r="AG478" s="26"/>
      <c r="AH478" s="34"/>
      <c r="AI478" s="34"/>
      <c r="AJ478" s="18"/>
      <c r="AK478" s="48"/>
      <c r="AL478" s="26" t="str">
        <f>IFERROR(__xludf.DUMMYFUNCTION("""COMPUTED_VALUE"""),"* SXC1O *")</f>
        <v>* SXC1O *</v>
      </c>
      <c r="AM478" s="59">
        <f>IFERROR(__xludf.DUMMYFUNCTION("""COMPUTED_VALUE"""),109.0)</f>
        <v>109</v>
      </c>
    </row>
    <row r="479">
      <c r="A479" s="51"/>
      <c r="B479" s="51"/>
      <c r="C479" s="52"/>
      <c r="D479" s="51"/>
      <c r="E479" s="53"/>
      <c r="F479" s="54"/>
      <c r="G479" s="51"/>
      <c r="H479" s="51"/>
      <c r="I479" s="55"/>
      <c r="J479" s="56"/>
      <c r="K479" s="46"/>
      <c r="L479" s="46"/>
      <c r="M479" s="47"/>
      <c r="N479" s="46"/>
      <c r="O479" s="57"/>
      <c r="P479" s="46"/>
      <c r="Q479" s="46"/>
      <c r="R479" s="57"/>
      <c r="S479" s="7"/>
      <c r="T479" s="54"/>
      <c r="U479" s="58"/>
      <c r="V479" s="47"/>
      <c r="W479" s="18"/>
      <c r="X479" s="46"/>
      <c r="Y479" s="9"/>
      <c r="Z479" s="46"/>
      <c r="AA479" s="7"/>
      <c r="AB479" s="46"/>
      <c r="AC479" s="47"/>
      <c r="AD479" s="7"/>
      <c r="AE479" s="47"/>
      <c r="AF479" s="18"/>
      <c r="AG479" s="26"/>
      <c r="AH479" s="34"/>
      <c r="AI479" s="34"/>
      <c r="AJ479" s="18"/>
      <c r="AK479" s="48"/>
      <c r="AL479" s="26" t="str">
        <f>IFERROR(__xludf.DUMMYFUNCTION("""COMPUTED_VALUE"""),"* SXC2C *")</f>
        <v>* SXC2C *</v>
      </c>
      <c r="AM479" s="59">
        <f>IFERROR(__xludf.DUMMYFUNCTION("""COMPUTED_VALUE"""),98.5)</f>
        <v>98.5</v>
      </c>
    </row>
    <row r="480">
      <c r="A480" s="51"/>
      <c r="B480" s="51"/>
      <c r="C480" s="52"/>
      <c r="D480" s="51"/>
      <c r="E480" s="53"/>
      <c r="F480" s="54"/>
      <c r="G480" s="51"/>
      <c r="H480" s="51"/>
      <c r="I480" s="55"/>
      <c r="J480" s="56"/>
      <c r="K480" s="46"/>
      <c r="L480" s="46"/>
      <c r="M480" s="47"/>
      <c r="N480" s="46"/>
      <c r="O480" s="57"/>
      <c r="P480" s="46"/>
      <c r="Q480" s="46"/>
      <c r="R480" s="57"/>
      <c r="S480" s="7"/>
      <c r="T480" s="54"/>
      <c r="U480" s="58"/>
      <c r="V480" s="47"/>
      <c r="W480" s="18"/>
      <c r="X480" s="46"/>
      <c r="Y480" s="9"/>
      <c r="Z480" s="46"/>
      <c r="AA480" s="7"/>
      <c r="AB480" s="46"/>
      <c r="AC480" s="47"/>
      <c r="AD480" s="7"/>
      <c r="AE480" s="47"/>
      <c r="AF480" s="18"/>
      <c r="AG480" s="26"/>
      <c r="AH480" s="34"/>
      <c r="AI480" s="34"/>
      <c r="AJ480" s="18"/>
      <c r="AK480" s="48"/>
      <c r="AL480" s="26" t="str">
        <f>IFERROR(__xludf.DUMMYFUNCTION("""COMPUTED_VALUE"""),"* SXC2D *")</f>
        <v>* SXC2D *</v>
      </c>
      <c r="AM480" s="59">
        <f>IFERROR(__xludf.DUMMYFUNCTION("""COMPUTED_VALUE"""),101.25)</f>
        <v>101.25</v>
      </c>
    </row>
    <row r="481">
      <c r="A481" s="51"/>
      <c r="B481" s="51"/>
      <c r="C481" s="52"/>
      <c r="D481" s="51"/>
      <c r="E481" s="53"/>
      <c r="F481" s="54"/>
      <c r="G481" s="51"/>
      <c r="H481" s="51"/>
      <c r="I481" s="55"/>
      <c r="J481" s="56"/>
      <c r="K481" s="46"/>
      <c r="L481" s="46"/>
      <c r="M481" s="47"/>
      <c r="N481" s="46"/>
      <c r="O481" s="57"/>
      <c r="P481" s="46"/>
      <c r="Q481" s="46"/>
      <c r="R481" s="57"/>
      <c r="S481" s="7"/>
      <c r="T481" s="54"/>
      <c r="U481" s="58"/>
      <c r="V481" s="47"/>
      <c r="W481" s="18"/>
      <c r="X481" s="46"/>
      <c r="Y481" s="9"/>
      <c r="Z481" s="46"/>
      <c r="AA481" s="7"/>
      <c r="AB481" s="46"/>
      <c r="AC481" s="47"/>
      <c r="AD481" s="7"/>
      <c r="AE481" s="47"/>
      <c r="AF481" s="18"/>
      <c r="AG481" s="26"/>
      <c r="AH481" s="34"/>
      <c r="AI481" s="34"/>
      <c r="AJ481" s="18"/>
      <c r="AK481" s="48"/>
      <c r="AL481" s="26" t="str">
        <f>IFERROR(__xludf.DUMMYFUNCTION("""COMPUTED_VALUE"""),"* SXC2O *")</f>
        <v>* SXC2O *</v>
      </c>
      <c r="AM481" s="59">
        <f>IFERROR(__xludf.DUMMYFUNCTION("""COMPUTED_VALUE"""),149700.0)</f>
        <v>149700</v>
      </c>
    </row>
    <row r="482">
      <c r="A482" s="51"/>
      <c r="B482" s="51"/>
      <c r="C482" s="52"/>
      <c r="D482" s="51"/>
      <c r="E482" s="53"/>
      <c r="F482" s="54"/>
      <c r="G482" s="51"/>
      <c r="H482" s="51"/>
      <c r="I482" s="55"/>
      <c r="J482" s="56"/>
      <c r="K482" s="46"/>
      <c r="L482" s="46"/>
      <c r="M482" s="47"/>
      <c r="N482" s="46"/>
      <c r="O482" s="57"/>
      <c r="P482" s="46"/>
      <c r="Q482" s="46"/>
      <c r="R482" s="57"/>
      <c r="S482" s="7"/>
      <c r="T482" s="54"/>
      <c r="U482" s="58"/>
      <c r="V482" s="47"/>
      <c r="W482" s="18"/>
      <c r="X482" s="46"/>
      <c r="Y482" s="9"/>
      <c r="Z482" s="46"/>
      <c r="AA482" s="7"/>
      <c r="AB482" s="46"/>
      <c r="AC482" s="47"/>
      <c r="AD482" s="7"/>
      <c r="AE482" s="47"/>
      <c r="AF482" s="18"/>
      <c r="AG482" s="26"/>
      <c r="AH482" s="34"/>
      <c r="AI482" s="34"/>
      <c r="AJ482" s="18"/>
      <c r="AK482" s="48"/>
      <c r="AL482" s="26" t="str">
        <f>IFERROR(__xludf.DUMMYFUNCTION("""COMPUTED_VALUE"""),"* T641D *")</f>
        <v>* T641D *</v>
      </c>
      <c r="AM482" s="59">
        <f>IFERROR(__xludf.DUMMYFUNCTION("""COMPUTED_VALUE"""),100.5)</f>
        <v>100.5</v>
      </c>
    </row>
    <row r="483">
      <c r="A483" s="51"/>
      <c r="B483" s="51"/>
      <c r="C483" s="52"/>
      <c r="D483" s="51"/>
      <c r="E483" s="53"/>
      <c r="F483" s="54"/>
      <c r="G483" s="51"/>
      <c r="H483" s="51"/>
      <c r="I483" s="55"/>
      <c r="J483" s="56"/>
      <c r="K483" s="46"/>
      <c r="L483" s="46"/>
      <c r="M483" s="47"/>
      <c r="N483" s="46"/>
      <c r="O483" s="57"/>
      <c r="P483" s="46"/>
      <c r="Q483" s="46"/>
      <c r="R483" s="57"/>
      <c r="S483" s="7"/>
      <c r="T483" s="54"/>
      <c r="U483" s="58"/>
      <c r="V483" s="47"/>
      <c r="W483" s="18"/>
      <c r="X483" s="46"/>
      <c r="Y483" s="9"/>
      <c r="Z483" s="46"/>
      <c r="AA483" s="7"/>
      <c r="AB483" s="46"/>
      <c r="AC483" s="47"/>
      <c r="AD483" s="7"/>
      <c r="AE483" s="47"/>
      <c r="AF483" s="18"/>
      <c r="AG483" s="26"/>
      <c r="AH483" s="34"/>
      <c r="AI483" s="34"/>
      <c r="AJ483" s="18"/>
      <c r="AK483" s="48"/>
      <c r="AL483" s="26" t="str">
        <f>IFERROR(__xludf.DUMMYFUNCTION("""COMPUTED_VALUE"""),"* T641O *")</f>
        <v>* T641O *</v>
      </c>
      <c r="AM483" s="59">
        <f>IFERROR(__xludf.DUMMYFUNCTION("""COMPUTED_VALUE"""),151470.0)</f>
        <v>151470</v>
      </c>
    </row>
    <row r="484">
      <c r="A484" s="51"/>
      <c r="B484" s="51"/>
      <c r="C484" s="52"/>
      <c r="D484" s="51"/>
      <c r="E484" s="53"/>
      <c r="F484" s="54"/>
      <c r="G484" s="51"/>
      <c r="H484" s="51"/>
      <c r="I484" s="55"/>
      <c r="J484" s="56"/>
      <c r="K484" s="46"/>
      <c r="L484" s="46"/>
      <c r="M484" s="47"/>
      <c r="N484" s="46"/>
      <c r="O484" s="57"/>
      <c r="P484" s="46"/>
      <c r="Q484" s="46"/>
      <c r="R484" s="57"/>
      <c r="S484" s="7"/>
      <c r="T484" s="54"/>
      <c r="U484" s="58"/>
      <c r="V484" s="47"/>
      <c r="W484" s="18"/>
      <c r="X484" s="46"/>
      <c r="Y484" s="9"/>
      <c r="Z484" s="46"/>
      <c r="AA484" s="7"/>
      <c r="AB484" s="46"/>
      <c r="AC484" s="47"/>
      <c r="AD484" s="7"/>
      <c r="AE484" s="47"/>
      <c r="AF484" s="18"/>
      <c r="AG484" s="26"/>
      <c r="AH484" s="34"/>
      <c r="AI484" s="34"/>
      <c r="AJ484" s="18"/>
      <c r="AK484" s="48"/>
      <c r="AL484" s="26" t="str">
        <f>IFERROR(__xludf.DUMMYFUNCTION("""COMPUTED_VALUE"""),"* T643O *")</f>
        <v>* T643O *</v>
      </c>
      <c r="AM484" s="59">
        <f>IFERROR(__xludf.DUMMYFUNCTION("""COMPUTED_VALUE"""),106.9)</f>
        <v>106.9</v>
      </c>
    </row>
    <row r="485">
      <c r="A485" s="51"/>
      <c r="B485" s="51"/>
      <c r="C485" s="52"/>
      <c r="D485" s="51"/>
      <c r="E485" s="53"/>
      <c r="F485" s="54"/>
      <c r="G485" s="51"/>
      <c r="H485" s="51"/>
      <c r="I485" s="55"/>
      <c r="J485" s="56"/>
      <c r="K485" s="46"/>
      <c r="L485" s="46"/>
      <c r="M485" s="47"/>
      <c r="N485" s="46"/>
      <c r="O485" s="57"/>
      <c r="P485" s="46"/>
      <c r="Q485" s="46"/>
      <c r="R485" s="57"/>
      <c r="S485" s="7"/>
      <c r="T485" s="54"/>
      <c r="U485" s="58"/>
      <c r="V485" s="47"/>
      <c r="W485" s="18"/>
      <c r="X485" s="46"/>
      <c r="Y485" s="9"/>
      <c r="Z485" s="46"/>
      <c r="AA485" s="7"/>
      <c r="AB485" s="46"/>
      <c r="AC485" s="47"/>
      <c r="AD485" s="7"/>
      <c r="AE485" s="47"/>
      <c r="AF485" s="18"/>
      <c r="AG485" s="26"/>
      <c r="AH485" s="34"/>
      <c r="AI485" s="34"/>
      <c r="AJ485" s="18"/>
      <c r="AK485" s="48"/>
      <c r="AL485" s="26" t="str">
        <f>IFERROR(__xludf.DUMMYFUNCTION("""COMPUTED_VALUE"""),"* T651O *")</f>
        <v>* T651O *</v>
      </c>
      <c r="AM485" s="59">
        <f>IFERROR(__xludf.DUMMYFUNCTION("""COMPUTED_VALUE"""),112.0)</f>
        <v>112</v>
      </c>
    </row>
    <row r="486">
      <c r="A486" s="51"/>
      <c r="B486" s="51"/>
      <c r="C486" s="52"/>
      <c r="D486" s="51"/>
      <c r="E486" s="53"/>
      <c r="F486" s="54"/>
      <c r="G486" s="51"/>
      <c r="H486" s="51"/>
      <c r="I486" s="55"/>
      <c r="J486" s="56"/>
      <c r="K486" s="46"/>
      <c r="L486" s="46"/>
      <c r="M486" s="47"/>
      <c r="N486" s="46"/>
      <c r="O486" s="57"/>
      <c r="P486" s="46"/>
      <c r="Q486" s="46"/>
      <c r="R486" s="57"/>
      <c r="S486" s="7"/>
      <c r="T486" s="54"/>
      <c r="U486" s="58"/>
      <c r="V486" s="47"/>
      <c r="W486" s="18"/>
      <c r="X486" s="46"/>
      <c r="Y486" s="9"/>
      <c r="Z486" s="46"/>
      <c r="AA486" s="7"/>
      <c r="AB486" s="46"/>
      <c r="AC486" s="47"/>
      <c r="AD486" s="7"/>
      <c r="AE486" s="47"/>
      <c r="AF486" s="18"/>
      <c r="AG486" s="26"/>
      <c r="AH486" s="34"/>
      <c r="AI486" s="34"/>
      <c r="AJ486" s="18"/>
      <c r="AK486" s="48"/>
      <c r="AL486" s="26" t="str">
        <f>IFERROR(__xludf.DUMMYFUNCTION("""COMPUTED_VALUE"""),"* T652C *")</f>
        <v>* T652C *</v>
      </c>
      <c r="AM486" s="59">
        <f>IFERROR(__xludf.DUMMYFUNCTION("""COMPUTED_VALUE"""),100.6)</f>
        <v>100.6</v>
      </c>
    </row>
    <row r="487">
      <c r="A487" s="51"/>
      <c r="B487" s="51"/>
      <c r="C487" s="52"/>
      <c r="D487" s="51"/>
      <c r="E487" s="53"/>
      <c r="F487" s="54"/>
      <c r="G487" s="51"/>
      <c r="H487" s="51"/>
      <c r="I487" s="55"/>
      <c r="J487" s="56"/>
      <c r="K487" s="46"/>
      <c r="L487" s="46"/>
      <c r="M487" s="47"/>
      <c r="N487" s="46"/>
      <c r="O487" s="57"/>
      <c r="P487" s="46"/>
      <c r="Q487" s="46"/>
      <c r="R487" s="57"/>
      <c r="S487" s="7"/>
      <c r="T487" s="54"/>
      <c r="U487" s="58"/>
      <c r="V487" s="47"/>
      <c r="W487" s="18"/>
      <c r="X487" s="46"/>
      <c r="Y487" s="9"/>
      <c r="Z487" s="46"/>
      <c r="AA487" s="7"/>
      <c r="AB487" s="46"/>
      <c r="AC487" s="47"/>
      <c r="AD487" s="7"/>
      <c r="AE487" s="47"/>
      <c r="AF487" s="18"/>
      <c r="AG487" s="26"/>
      <c r="AH487" s="34"/>
      <c r="AI487" s="34"/>
      <c r="AJ487" s="18"/>
      <c r="AK487" s="48"/>
      <c r="AL487" s="26" t="str">
        <f>IFERROR(__xludf.DUMMYFUNCTION("""COMPUTED_VALUE"""),"* T652D *")</f>
        <v>* T652D *</v>
      </c>
      <c r="AM487" s="59">
        <f>IFERROR(__xludf.DUMMYFUNCTION("""COMPUTED_VALUE"""),101.5)</f>
        <v>101.5</v>
      </c>
    </row>
    <row r="488">
      <c r="A488" s="51"/>
      <c r="B488" s="51"/>
      <c r="C488" s="52"/>
      <c r="D488" s="51"/>
      <c r="E488" s="53"/>
      <c r="F488" s="54"/>
      <c r="G488" s="51"/>
      <c r="H488" s="51"/>
      <c r="I488" s="55"/>
      <c r="J488" s="56"/>
      <c r="K488" s="46"/>
      <c r="L488" s="46"/>
      <c r="M488" s="47"/>
      <c r="N488" s="46"/>
      <c r="O488" s="57"/>
      <c r="P488" s="46"/>
      <c r="Q488" s="46"/>
      <c r="R488" s="57"/>
      <c r="S488" s="7"/>
      <c r="T488" s="54"/>
      <c r="U488" s="58"/>
      <c r="V488" s="47"/>
      <c r="W488" s="18"/>
      <c r="X488" s="46"/>
      <c r="Y488" s="9"/>
      <c r="Z488" s="46"/>
      <c r="AA488" s="7"/>
      <c r="AB488" s="46"/>
      <c r="AC488" s="47"/>
      <c r="AD488" s="7"/>
      <c r="AE488" s="47"/>
      <c r="AF488" s="18"/>
      <c r="AG488" s="26"/>
      <c r="AH488" s="34"/>
      <c r="AI488" s="34"/>
      <c r="AJ488" s="18"/>
      <c r="AK488" s="48"/>
      <c r="AL488" s="26" t="str">
        <f>IFERROR(__xludf.DUMMYFUNCTION("""COMPUTED_VALUE"""),"* T652O *")</f>
        <v>* T652O *</v>
      </c>
      <c r="AM488" s="59">
        <f>IFERROR(__xludf.DUMMYFUNCTION("""COMPUTED_VALUE"""),149000.0)</f>
        <v>149000</v>
      </c>
    </row>
    <row r="489">
      <c r="A489" s="51"/>
      <c r="B489" s="51"/>
      <c r="C489" s="52"/>
      <c r="D489" s="51"/>
      <c r="E489" s="53"/>
      <c r="F489" s="54"/>
      <c r="G489" s="51"/>
      <c r="H489" s="51"/>
      <c r="I489" s="55"/>
      <c r="J489" s="56"/>
      <c r="K489" s="46"/>
      <c r="L489" s="46"/>
      <c r="M489" s="47"/>
      <c r="N489" s="46"/>
      <c r="O489" s="57"/>
      <c r="P489" s="46"/>
      <c r="Q489" s="46"/>
      <c r="R489" s="57"/>
      <c r="S489" s="7"/>
      <c r="T489" s="54"/>
      <c r="U489" s="58"/>
      <c r="V489" s="47"/>
      <c r="W489" s="18"/>
      <c r="X489" s="46"/>
      <c r="Y489" s="9"/>
      <c r="Z489" s="46"/>
      <c r="AA489" s="7"/>
      <c r="AB489" s="46"/>
      <c r="AC489" s="47"/>
      <c r="AD489" s="7"/>
      <c r="AE489" s="47"/>
      <c r="AF489" s="18"/>
      <c r="AG489" s="26"/>
      <c r="AH489" s="34"/>
      <c r="AI489" s="34"/>
      <c r="AJ489" s="18"/>
      <c r="AK489" s="48"/>
      <c r="AL489" s="26" t="str">
        <f>IFERROR(__xludf.DUMMYFUNCTION("""COMPUTED_VALUE"""),"* T661O *")</f>
        <v>* T661O *</v>
      </c>
      <c r="AM489" s="59">
        <f>IFERROR(__xludf.DUMMYFUNCTION("""COMPUTED_VALUE"""),100.0)</f>
        <v>100</v>
      </c>
    </row>
    <row r="490">
      <c r="A490" s="51"/>
      <c r="B490" s="51"/>
      <c r="C490" s="52"/>
      <c r="D490" s="51"/>
      <c r="E490" s="53"/>
      <c r="F490" s="54"/>
      <c r="G490" s="51"/>
      <c r="H490" s="51"/>
      <c r="I490" s="55"/>
      <c r="J490" s="56"/>
      <c r="K490" s="46"/>
      <c r="L490" s="46"/>
      <c r="M490" s="47"/>
      <c r="N490" s="46"/>
      <c r="O490" s="57"/>
      <c r="P490" s="46"/>
      <c r="Q490" s="46"/>
      <c r="R490" s="57"/>
      <c r="S490" s="7"/>
      <c r="T490" s="54"/>
      <c r="U490" s="58"/>
      <c r="V490" s="47"/>
      <c r="W490" s="18"/>
      <c r="X490" s="46"/>
      <c r="Y490" s="9"/>
      <c r="Z490" s="46"/>
      <c r="AA490" s="7"/>
      <c r="AB490" s="46"/>
      <c r="AC490" s="47"/>
      <c r="AD490" s="7"/>
      <c r="AE490" s="47"/>
      <c r="AF490" s="18"/>
      <c r="AG490" s="26"/>
      <c r="AH490" s="34"/>
      <c r="AI490" s="34"/>
      <c r="AJ490" s="18"/>
      <c r="AK490" s="48"/>
      <c r="AL490" s="26" t="str">
        <f>IFERROR(__xludf.DUMMYFUNCTION("""COMPUTED_VALUE"""),"* T662C *")</f>
        <v>* T662C *</v>
      </c>
      <c r="AM490" s="59">
        <f>IFERROR(__xludf.DUMMYFUNCTION("""COMPUTED_VALUE"""),100.0)</f>
        <v>100</v>
      </c>
    </row>
    <row r="491">
      <c r="A491" s="51"/>
      <c r="B491" s="51"/>
      <c r="C491" s="52"/>
      <c r="D491" s="51"/>
      <c r="E491" s="53"/>
      <c r="F491" s="54"/>
      <c r="G491" s="51"/>
      <c r="H491" s="51"/>
      <c r="I491" s="55"/>
      <c r="J491" s="56"/>
      <c r="K491" s="46"/>
      <c r="L491" s="46"/>
      <c r="M491" s="47"/>
      <c r="N491" s="46"/>
      <c r="O491" s="57"/>
      <c r="P491" s="46"/>
      <c r="Q491" s="46"/>
      <c r="R491" s="57"/>
      <c r="S491" s="7"/>
      <c r="T491" s="54"/>
      <c r="U491" s="58"/>
      <c r="V491" s="47"/>
      <c r="W491" s="18"/>
      <c r="X491" s="46"/>
      <c r="Y491" s="9"/>
      <c r="Z491" s="46"/>
      <c r="AA491" s="7"/>
      <c r="AB491" s="46"/>
      <c r="AC491" s="47"/>
      <c r="AD491" s="7"/>
      <c r="AE491" s="47"/>
      <c r="AF491" s="18"/>
      <c r="AG491" s="26"/>
      <c r="AH491" s="34"/>
      <c r="AI491" s="34"/>
      <c r="AJ491" s="18"/>
      <c r="AK491" s="48"/>
      <c r="AL491" s="26" t="str">
        <f>IFERROR(__xludf.DUMMYFUNCTION("""COMPUTED_VALUE"""),"* T662D *")</f>
        <v>* T662D *</v>
      </c>
      <c r="AM491" s="59">
        <f>IFERROR(__xludf.DUMMYFUNCTION("""COMPUTED_VALUE"""),100.45)</f>
        <v>100.45</v>
      </c>
    </row>
    <row r="492">
      <c r="A492" s="51"/>
      <c r="B492" s="51"/>
      <c r="C492" s="52"/>
      <c r="D492" s="51"/>
      <c r="E492" s="53"/>
      <c r="F492" s="54"/>
      <c r="G492" s="51"/>
      <c r="H492" s="51"/>
      <c r="I492" s="55"/>
      <c r="J492" s="56"/>
      <c r="K492" s="46"/>
      <c r="L492" s="46"/>
      <c r="M492" s="47"/>
      <c r="N492" s="46"/>
      <c r="O492" s="57"/>
      <c r="P492" s="46"/>
      <c r="Q492" s="46"/>
      <c r="R492" s="57"/>
      <c r="S492" s="7"/>
      <c r="T492" s="54"/>
      <c r="U492" s="58"/>
      <c r="V492" s="47"/>
      <c r="W492" s="18"/>
      <c r="X492" s="46"/>
      <c r="Y492" s="9"/>
      <c r="Z492" s="46"/>
      <c r="AA492" s="7"/>
      <c r="AB492" s="46"/>
      <c r="AC492" s="47"/>
      <c r="AD492" s="7"/>
      <c r="AE492" s="47"/>
      <c r="AF492" s="18"/>
      <c r="AG492" s="26"/>
      <c r="AH492" s="34"/>
      <c r="AI492" s="34"/>
      <c r="AJ492" s="18"/>
      <c r="AK492" s="48"/>
      <c r="AL492" s="26" t="str">
        <f>IFERROR(__xludf.DUMMYFUNCTION("""COMPUTED_VALUE"""),"* T662O *")</f>
        <v>* T662O *</v>
      </c>
      <c r="AM492" s="59">
        <f>IFERROR(__xludf.DUMMYFUNCTION("""COMPUTED_VALUE"""),144000.0)</f>
        <v>144000</v>
      </c>
    </row>
    <row r="493">
      <c r="A493" s="51"/>
      <c r="B493" s="51"/>
      <c r="C493" s="52"/>
      <c r="D493" s="51"/>
      <c r="E493" s="53"/>
      <c r="F493" s="54"/>
      <c r="G493" s="51"/>
      <c r="H493" s="51"/>
      <c r="I493" s="55"/>
      <c r="J493" s="56"/>
      <c r="K493" s="46"/>
      <c r="L493" s="46"/>
      <c r="M493" s="47"/>
      <c r="N493" s="46"/>
      <c r="O493" s="57"/>
      <c r="P493" s="46"/>
      <c r="Q493" s="46"/>
      <c r="R493" s="57"/>
      <c r="S493" s="7"/>
      <c r="T493" s="54"/>
      <c r="U493" s="58"/>
      <c r="V493" s="47"/>
      <c r="W493" s="18"/>
      <c r="X493" s="46"/>
      <c r="Y493" s="9"/>
      <c r="Z493" s="46"/>
      <c r="AA493" s="7"/>
      <c r="AB493" s="46"/>
      <c r="AC493" s="47"/>
      <c r="AD493" s="7"/>
      <c r="AE493" s="47"/>
      <c r="AF493" s="18"/>
      <c r="AG493" s="26"/>
      <c r="AH493" s="34"/>
      <c r="AI493" s="34"/>
      <c r="AJ493" s="18"/>
      <c r="AK493" s="48"/>
      <c r="AL493" s="26" t="str">
        <f>IFERROR(__xludf.DUMMYFUNCTION("""COMPUTED_VALUE"""),"* TLC1D *")</f>
        <v>* TLC1D *</v>
      </c>
      <c r="AM493" s="59">
        <f>IFERROR(__xludf.DUMMYFUNCTION("""COMPUTED_VALUE"""),105.0)</f>
        <v>105</v>
      </c>
    </row>
    <row r="494">
      <c r="A494" s="51"/>
      <c r="B494" s="51"/>
      <c r="C494" s="52"/>
      <c r="D494" s="51"/>
      <c r="E494" s="53"/>
      <c r="F494" s="54"/>
      <c r="G494" s="51"/>
      <c r="H494" s="51"/>
      <c r="I494" s="55"/>
      <c r="J494" s="56"/>
      <c r="K494" s="46"/>
      <c r="L494" s="46"/>
      <c r="M494" s="47"/>
      <c r="N494" s="46"/>
      <c r="O494" s="57"/>
      <c r="P494" s="46"/>
      <c r="Q494" s="46"/>
      <c r="R494" s="57"/>
      <c r="S494" s="7"/>
      <c r="T494" s="54"/>
      <c r="U494" s="58"/>
      <c r="V494" s="47"/>
      <c r="W494" s="18"/>
      <c r="X494" s="46"/>
      <c r="Y494" s="9"/>
      <c r="Z494" s="46"/>
      <c r="AA494" s="7"/>
      <c r="AB494" s="46"/>
      <c r="AC494" s="47"/>
      <c r="AD494" s="7"/>
      <c r="AE494" s="47"/>
      <c r="AF494" s="18"/>
      <c r="AG494" s="26"/>
      <c r="AH494" s="34"/>
      <c r="AI494" s="34"/>
      <c r="AJ494" s="18"/>
      <c r="AK494" s="48"/>
      <c r="AL494" s="26" t="str">
        <f>IFERROR(__xludf.DUMMYFUNCTION("""COMPUTED_VALUE"""),"* TLC1O *")</f>
        <v>* TLC1O *</v>
      </c>
      <c r="AM494" s="59">
        <f>IFERROR(__xludf.DUMMYFUNCTION("""COMPUTED_VALUE"""),154870.0)</f>
        <v>154870</v>
      </c>
    </row>
    <row r="495">
      <c r="A495" s="51"/>
      <c r="B495" s="51"/>
      <c r="C495" s="52"/>
      <c r="D495" s="51"/>
      <c r="E495" s="53"/>
      <c r="F495" s="54"/>
      <c r="G495" s="51"/>
      <c r="H495" s="51"/>
      <c r="I495" s="55"/>
      <c r="J495" s="56"/>
      <c r="K495" s="46"/>
      <c r="L495" s="46"/>
      <c r="M495" s="47"/>
      <c r="N495" s="46"/>
      <c r="O495" s="57"/>
      <c r="P495" s="46"/>
      <c r="Q495" s="46"/>
      <c r="R495" s="57"/>
      <c r="S495" s="7"/>
      <c r="T495" s="54"/>
      <c r="U495" s="58"/>
      <c r="V495" s="47"/>
      <c r="W495" s="18"/>
      <c r="X495" s="46"/>
      <c r="Y495" s="9"/>
      <c r="Z495" s="46"/>
      <c r="AA495" s="7"/>
      <c r="AB495" s="46"/>
      <c r="AC495" s="47"/>
      <c r="AD495" s="7"/>
      <c r="AE495" s="47"/>
      <c r="AF495" s="18"/>
      <c r="AG495" s="26"/>
      <c r="AH495" s="34"/>
      <c r="AI495" s="34"/>
      <c r="AJ495" s="18"/>
      <c r="AK495" s="48"/>
      <c r="AL495" s="26" t="str">
        <f>IFERROR(__xludf.DUMMYFUNCTION("""COMPUTED_VALUE"""),"* TLCDD *")</f>
        <v>* TLCDD *</v>
      </c>
      <c r="AM495" s="59">
        <f>IFERROR(__xludf.DUMMYFUNCTION("""COMPUTED_VALUE"""),69.48)</f>
        <v>69.48</v>
      </c>
    </row>
    <row r="496">
      <c r="A496" s="51"/>
      <c r="B496" s="51"/>
      <c r="C496" s="52"/>
      <c r="D496" s="51"/>
      <c r="E496" s="53"/>
      <c r="F496" s="54"/>
      <c r="G496" s="51"/>
      <c r="H496" s="51"/>
      <c r="I496" s="55"/>
      <c r="J496" s="56"/>
      <c r="K496" s="46"/>
      <c r="L496" s="46"/>
      <c r="M496" s="47"/>
      <c r="N496" s="46"/>
      <c r="O496" s="57"/>
      <c r="P496" s="46"/>
      <c r="Q496" s="46"/>
      <c r="R496" s="57"/>
      <c r="S496" s="7"/>
      <c r="T496" s="54"/>
      <c r="U496" s="58"/>
      <c r="V496" s="47"/>
      <c r="W496" s="18"/>
      <c r="X496" s="46"/>
      <c r="Y496" s="9"/>
      <c r="Z496" s="46"/>
      <c r="AA496" s="7"/>
      <c r="AB496" s="46"/>
      <c r="AC496" s="47"/>
      <c r="AD496" s="7"/>
      <c r="AE496" s="47"/>
      <c r="AF496" s="18"/>
      <c r="AG496" s="26"/>
      <c r="AH496" s="34"/>
      <c r="AI496" s="34"/>
      <c r="AJ496" s="18"/>
      <c r="AK496" s="48"/>
      <c r="AL496" s="26" t="str">
        <f>IFERROR(__xludf.DUMMYFUNCTION("""COMPUTED_VALUE"""),"* TLCDO *")</f>
        <v>* TLCDO *</v>
      </c>
      <c r="AM496" s="59">
        <f>IFERROR(__xludf.DUMMYFUNCTION("""COMPUTED_VALUE"""),120000.0)</f>
        <v>120000</v>
      </c>
    </row>
    <row r="497">
      <c r="A497" s="51"/>
      <c r="B497" s="51"/>
      <c r="C497" s="52"/>
      <c r="D497" s="51"/>
      <c r="E497" s="53"/>
      <c r="F497" s="54"/>
      <c r="G497" s="51"/>
      <c r="H497" s="51"/>
      <c r="I497" s="55"/>
      <c r="J497" s="56"/>
      <c r="K497" s="46"/>
      <c r="L497" s="46"/>
      <c r="M497" s="47"/>
      <c r="N497" s="46"/>
      <c r="O497" s="57"/>
      <c r="P497" s="46"/>
      <c r="Q497" s="46"/>
      <c r="R497" s="57"/>
      <c r="S497" s="7"/>
      <c r="T497" s="54"/>
      <c r="U497" s="58"/>
      <c r="V497" s="47"/>
      <c r="W497" s="18"/>
      <c r="X497" s="46"/>
      <c r="Y497" s="9"/>
      <c r="Z497" s="46"/>
      <c r="AA497" s="7"/>
      <c r="AB497" s="46"/>
      <c r="AC497" s="47"/>
      <c r="AD497" s="7"/>
      <c r="AE497" s="47"/>
      <c r="AF497" s="18"/>
      <c r="AG497" s="26"/>
      <c r="AH497" s="34"/>
      <c r="AI497" s="34"/>
      <c r="AJ497" s="18"/>
      <c r="AK497" s="48"/>
      <c r="AL497" s="26" t="str">
        <f>IFERROR(__xludf.DUMMYFUNCTION("""COMPUTED_VALUE"""),"* TLCGO *")</f>
        <v>* TLCGO *</v>
      </c>
      <c r="AM497" s="59">
        <f>IFERROR(__xludf.DUMMYFUNCTION("""COMPUTED_VALUE"""),132250.0)</f>
        <v>132250</v>
      </c>
    </row>
    <row r="498">
      <c r="A498" s="51"/>
      <c r="B498" s="51"/>
      <c r="C498" s="52"/>
      <c r="D498" s="51"/>
      <c r="E498" s="53"/>
      <c r="F498" s="54"/>
      <c r="G498" s="51"/>
      <c r="H498" s="51"/>
      <c r="I498" s="55"/>
      <c r="J498" s="56"/>
      <c r="K498" s="46"/>
      <c r="L498" s="46"/>
      <c r="M498" s="47"/>
      <c r="N498" s="46"/>
      <c r="O498" s="57"/>
      <c r="P498" s="46"/>
      <c r="Q498" s="46"/>
      <c r="R498" s="57"/>
      <c r="S498" s="7"/>
      <c r="T498" s="54"/>
      <c r="U498" s="58"/>
      <c r="V498" s="47"/>
      <c r="W498" s="18"/>
      <c r="X498" s="46"/>
      <c r="Y498" s="9"/>
      <c r="Z498" s="46"/>
      <c r="AA498" s="7"/>
      <c r="AB498" s="46"/>
      <c r="AC498" s="47"/>
      <c r="AD498" s="7"/>
      <c r="AE498" s="47"/>
      <c r="AF498" s="18"/>
      <c r="AG498" s="26"/>
      <c r="AH498" s="34"/>
      <c r="AI498" s="34"/>
      <c r="AJ498" s="18"/>
      <c r="AK498" s="48"/>
      <c r="AL498" s="26" t="str">
        <f>IFERROR(__xludf.DUMMYFUNCTION("""COMPUTED_VALUE"""),"* TLCKO *")</f>
        <v>* TLCKO *</v>
      </c>
      <c r="AM498" s="59">
        <f>IFERROR(__xludf.DUMMYFUNCTION("""COMPUTED_VALUE"""),137790.0)</f>
        <v>137790</v>
      </c>
    </row>
    <row r="499">
      <c r="A499" s="51"/>
      <c r="B499" s="51"/>
      <c r="C499" s="52"/>
      <c r="D499" s="51"/>
      <c r="E499" s="53"/>
      <c r="F499" s="54"/>
      <c r="G499" s="51"/>
      <c r="H499" s="51"/>
      <c r="I499" s="55"/>
      <c r="J499" s="56"/>
      <c r="K499" s="46"/>
      <c r="L499" s="46"/>
      <c r="M499" s="47"/>
      <c r="N499" s="46"/>
      <c r="O499" s="57"/>
      <c r="P499" s="46"/>
      <c r="Q499" s="46"/>
      <c r="R499" s="57"/>
      <c r="S499" s="7"/>
      <c r="T499" s="54"/>
      <c r="U499" s="58"/>
      <c r="V499" s="47"/>
      <c r="W499" s="18"/>
      <c r="X499" s="46"/>
      <c r="Y499" s="9"/>
      <c r="Z499" s="46"/>
      <c r="AA499" s="7"/>
      <c r="AB499" s="46"/>
      <c r="AC499" s="47"/>
      <c r="AD499" s="7"/>
      <c r="AE499" s="47"/>
      <c r="AF499" s="18"/>
      <c r="AG499" s="26"/>
      <c r="AH499" s="34"/>
      <c r="AI499" s="34"/>
      <c r="AJ499" s="18"/>
      <c r="AK499" s="48"/>
      <c r="AL499" s="26" t="str">
        <f>IFERROR(__xludf.DUMMYFUNCTION("""COMPUTED_VALUE"""),"* TLCMD *")</f>
        <v>* TLCMD *</v>
      </c>
      <c r="AM499" s="59">
        <f>IFERROR(__xludf.DUMMYFUNCTION("""COMPUTED_VALUE"""),111.0)</f>
        <v>111</v>
      </c>
    </row>
    <row r="500">
      <c r="A500" s="51"/>
      <c r="B500" s="51"/>
      <c r="C500" s="52"/>
      <c r="D500" s="51"/>
      <c r="E500" s="53"/>
      <c r="F500" s="54"/>
      <c r="G500" s="51"/>
      <c r="H500" s="51"/>
      <c r="I500" s="55"/>
      <c r="J500" s="56"/>
      <c r="K500" s="46"/>
      <c r="L500" s="46"/>
      <c r="M500" s="47"/>
      <c r="N500" s="46"/>
      <c r="O500" s="57"/>
      <c r="P500" s="46"/>
      <c r="Q500" s="46"/>
      <c r="R500" s="57"/>
      <c r="S500" s="7"/>
      <c r="T500" s="54"/>
      <c r="U500" s="58"/>
      <c r="V500" s="47"/>
      <c r="W500" s="18"/>
      <c r="X500" s="46"/>
      <c r="Y500" s="9"/>
      <c r="Z500" s="46"/>
      <c r="AA500" s="7"/>
      <c r="AB500" s="46"/>
      <c r="AC500" s="47"/>
      <c r="AD500" s="7"/>
      <c r="AE500" s="47"/>
      <c r="AF500" s="18"/>
      <c r="AG500" s="26"/>
      <c r="AH500" s="34"/>
      <c r="AI500" s="34"/>
      <c r="AJ500" s="18"/>
      <c r="AK500" s="48"/>
      <c r="AL500" s="26" t="str">
        <f>IFERROR(__xludf.DUMMYFUNCTION("""COMPUTED_VALUE"""),"* TLCMO *")</f>
        <v>* TLCMO *</v>
      </c>
      <c r="AM500" s="59">
        <f>IFERROR(__xludf.DUMMYFUNCTION("""COMPUTED_VALUE"""),162370.0)</f>
        <v>162370</v>
      </c>
    </row>
    <row r="501">
      <c r="A501" s="51"/>
      <c r="B501" s="51"/>
      <c r="C501" s="52"/>
      <c r="D501" s="51"/>
      <c r="E501" s="53"/>
      <c r="F501" s="54"/>
      <c r="G501" s="51"/>
      <c r="H501" s="51"/>
      <c r="I501" s="55"/>
      <c r="J501" s="56"/>
      <c r="K501" s="46"/>
      <c r="L501" s="46"/>
      <c r="M501" s="47"/>
      <c r="N501" s="46"/>
      <c r="O501" s="57"/>
      <c r="P501" s="46"/>
      <c r="Q501" s="46"/>
      <c r="R501" s="57"/>
      <c r="S501" s="7"/>
      <c r="T501" s="54"/>
      <c r="U501" s="58"/>
      <c r="V501" s="47"/>
      <c r="W501" s="18"/>
      <c r="X501" s="46"/>
      <c r="Y501" s="9"/>
      <c r="Z501" s="46"/>
      <c r="AA501" s="7"/>
      <c r="AB501" s="46"/>
      <c r="AC501" s="47"/>
      <c r="AD501" s="7"/>
      <c r="AE501" s="47"/>
      <c r="AF501" s="18"/>
      <c r="AG501" s="26"/>
      <c r="AH501" s="34"/>
      <c r="AI501" s="34"/>
      <c r="AJ501" s="18"/>
      <c r="AK501" s="48"/>
      <c r="AL501" s="26" t="str">
        <f>IFERROR(__xludf.DUMMYFUNCTION("""COMPUTED_VALUE"""),"* TLCOD *")</f>
        <v>* TLCOD *</v>
      </c>
      <c r="AM501" s="59">
        <f>IFERROR(__xludf.DUMMYFUNCTION("""COMPUTED_VALUE"""),99.8)</f>
        <v>99.8</v>
      </c>
    </row>
    <row r="502">
      <c r="A502" s="51"/>
      <c r="B502" s="51"/>
      <c r="C502" s="52"/>
      <c r="D502" s="51"/>
      <c r="E502" s="53"/>
      <c r="F502" s="54"/>
      <c r="G502" s="51"/>
      <c r="H502" s="51"/>
      <c r="I502" s="55"/>
      <c r="J502" s="56"/>
      <c r="K502" s="46"/>
      <c r="L502" s="46"/>
      <c r="M502" s="47"/>
      <c r="N502" s="46"/>
      <c r="O502" s="57"/>
      <c r="P502" s="46"/>
      <c r="Q502" s="46"/>
      <c r="R502" s="57"/>
      <c r="S502" s="7"/>
      <c r="T502" s="54"/>
      <c r="U502" s="58"/>
      <c r="V502" s="47"/>
      <c r="W502" s="18"/>
      <c r="X502" s="46"/>
      <c r="Y502" s="9"/>
      <c r="Z502" s="46"/>
      <c r="AA502" s="7"/>
      <c r="AB502" s="46"/>
      <c r="AC502" s="47"/>
      <c r="AD502" s="7"/>
      <c r="AE502" s="47"/>
      <c r="AF502" s="18"/>
      <c r="AG502" s="26"/>
      <c r="AH502" s="34"/>
      <c r="AI502" s="34"/>
      <c r="AJ502" s="18"/>
      <c r="AK502" s="48"/>
      <c r="AL502" s="26" t="str">
        <f>IFERROR(__xludf.DUMMYFUNCTION("""COMPUTED_VALUE"""),"* TLCOO *")</f>
        <v>* TLCOO *</v>
      </c>
      <c r="AM502" s="59">
        <f>IFERROR(__xludf.DUMMYFUNCTION("""COMPUTED_VALUE"""),149290.0)</f>
        <v>149290</v>
      </c>
    </row>
    <row r="503">
      <c r="A503" s="51"/>
      <c r="B503" s="51"/>
      <c r="C503" s="52"/>
      <c r="D503" s="51"/>
      <c r="E503" s="53"/>
      <c r="F503" s="54"/>
      <c r="G503" s="51"/>
      <c r="H503" s="51"/>
      <c r="I503" s="55"/>
      <c r="J503" s="56"/>
      <c r="K503" s="46"/>
      <c r="L503" s="46"/>
      <c r="M503" s="47"/>
      <c r="N503" s="46"/>
      <c r="O503" s="57"/>
      <c r="P503" s="46"/>
      <c r="Q503" s="46"/>
      <c r="R503" s="57"/>
      <c r="S503" s="7"/>
      <c r="T503" s="54"/>
      <c r="U503" s="58"/>
      <c r="V503" s="47"/>
      <c r="W503" s="18"/>
      <c r="X503" s="46"/>
      <c r="Y503" s="9"/>
      <c r="Z503" s="46"/>
      <c r="AA503" s="7"/>
      <c r="AB503" s="46"/>
      <c r="AC503" s="47"/>
      <c r="AD503" s="7"/>
      <c r="AE503" s="47"/>
      <c r="AF503" s="18"/>
      <c r="AG503" s="26"/>
      <c r="AH503" s="34"/>
      <c r="AI503" s="34"/>
      <c r="AJ503" s="18"/>
      <c r="AK503" s="48"/>
      <c r="AL503" s="26" t="str">
        <f>IFERROR(__xludf.DUMMYFUNCTION("""COMPUTED_VALUE"""),"* TLCPD *")</f>
        <v>* TLCPD *</v>
      </c>
      <c r="AM503" s="59">
        <f>IFERROR(__xludf.DUMMYFUNCTION("""COMPUTED_VALUE"""),107.2)</f>
        <v>107.2</v>
      </c>
    </row>
    <row r="504">
      <c r="A504" s="51"/>
      <c r="B504" s="51"/>
      <c r="C504" s="52"/>
      <c r="D504" s="51"/>
      <c r="E504" s="53"/>
      <c r="F504" s="54"/>
      <c r="G504" s="51"/>
      <c r="H504" s="51"/>
      <c r="I504" s="55"/>
      <c r="J504" s="56"/>
      <c r="K504" s="46"/>
      <c r="L504" s="46"/>
      <c r="M504" s="47"/>
      <c r="N504" s="46"/>
      <c r="O504" s="57"/>
      <c r="P504" s="46"/>
      <c r="Q504" s="46"/>
      <c r="R504" s="57"/>
      <c r="S504" s="7"/>
      <c r="T504" s="54"/>
      <c r="U504" s="58"/>
      <c r="V504" s="47"/>
      <c r="W504" s="18"/>
      <c r="X504" s="46"/>
      <c r="Y504" s="9"/>
      <c r="Z504" s="46"/>
      <c r="AA504" s="7"/>
      <c r="AB504" s="46"/>
      <c r="AC504" s="47"/>
      <c r="AD504" s="7"/>
      <c r="AE504" s="47"/>
      <c r="AF504" s="18"/>
      <c r="AG504" s="26"/>
      <c r="AH504" s="34"/>
      <c r="AI504" s="34"/>
      <c r="AJ504" s="18"/>
      <c r="AK504" s="48"/>
      <c r="AL504" s="26" t="str">
        <f>IFERROR(__xludf.DUMMYFUNCTION("""COMPUTED_VALUE"""),"* TLCPO *")</f>
        <v>* TLCPO *</v>
      </c>
      <c r="AM504" s="59">
        <f>IFERROR(__xludf.DUMMYFUNCTION("""COMPUTED_VALUE"""),157430.0)</f>
        <v>157430</v>
      </c>
    </row>
    <row r="505">
      <c r="A505" s="51"/>
      <c r="B505" s="51"/>
      <c r="C505" s="52"/>
      <c r="D505" s="51"/>
      <c r="E505" s="53"/>
      <c r="F505" s="54"/>
      <c r="G505" s="51"/>
      <c r="H505" s="51"/>
      <c r="I505" s="55"/>
      <c r="J505" s="56"/>
      <c r="K505" s="46"/>
      <c r="L505" s="46"/>
      <c r="M505" s="47"/>
      <c r="N505" s="46"/>
      <c r="O505" s="57"/>
      <c r="P505" s="46"/>
      <c r="Q505" s="46"/>
      <c r="R505" s="57"/>
      <c r="S505" s="7"/>
      <c r="T505" s="54"/>
      <c r="U505" s="58"/>
      <c r="V505" s="47"/>
      <c r="W505" s="18"/>
      <c r="X505" s="46"/>
      <c r="Y505" s="9"/>
      <c r="Z505" s="46"/>
      <c r="AA505" s="7"/>
      <c r="AB505" s="46"/>
      <c r="AC505" s="47"/>
      <c r="AD505" s="7"/>
      <c r="AE505" s="47"/>
      <c r="AF505" s="18"/>
      <c r="AG505" s="26"/>
      <c r="AH505" s="34"/>
      <c r="AI505" s="34"/>
      <c r="AJ505" s="18"/>
      <c r="AK505" s="48"/>
      <c r="AL505" s="26" t="str">
        <f>IFERROR(__xludf.DUMMYFUNCTION("""COMPUTED_VALUE"""),"* TLCQC *")</f>
        <v>* TLCQC *</v>
      </c>
      <c r="AM505" s="59">
        <f>IFERROR(__xludf.DUMMYFUNCTION("""COMPUTED_VALUE"""),98.9)</f>
        <v>98.9</v>
      </c>
    </row>
    <row r="506">
      <c r="A506" s="51"/>
      <c r="B506" s="51"/>
      <c r="C506" s="52"/>
      <c r="D506" s="51"/>
      <c r="E506" s="53"/>
      <c r="F506" s="54"/>
      <c r="G506" s="51"/>
      <c r="H506" s="51"/>
      <c r="I506" s="55"/>
      <c r="J506" s="56"/>
      <c r="K506" s="46"/>
      <c r="L506" s="46"/>
      <c r="M506" s="47"/>
      <c r="N506" s="46"/>
      <c r="O506" s="57"/>
      <c r="P506" s="46"/>
      <c r="Q506" s="46"/>
      <c r="R506" s="57"/>
      <c r="S506" s="7"/>
      <c r="T506" s="54"/>
      <c r="U506" s="58"/>
      <c r="V506" s="47"/>
      <c r="W506" s="18"/>
      <c r="X506" s="46"/>
      <c r="Y506" s="9"/>
      <c r="Z506" s="46"/>
      <c r="AA506" s="7"/>
      <c r="AB506" s="46"/>
      <c r="AC506" s="47"/>
      <c r="AD506" s="7"/>
      <c r="AE506" s="47"/>
      <c r="AF506" s="18"/>
      <c r="AG506" s="26"/>
      <c r="AH506" s="34"/>
      <c r="AI506" s="34"/>
      <c r="AJ506" s="18"/>
      <c r="AK506" s="48"/>
      <c r="AL506" s="26" t="str">
        <f>IFERROR(__xludf.DUMMYFUNCTION("""COMPUTED_VALUE"""),"* TLCQD *")</f>
        <v>* TLCQD *</v>
      </c>
      <c r="AM506" s="59">
        <f>IFERROR(__xludf.DUMMYFUNCTION("""COMPUTED_VALUE"""),101.8)</f>
        <v>101.8</v>
      </c>
    </row>
    <row r="507">
      <c r="A507" s="51"/>
      <c r="B507" s="51"/>
      <c r="C507" s="52"/>
      <c r="D507" s="51"/>
      <c r="E507" s="53"/>
      <c r="F507" s="54"/>
      <c r="G507" s="51"/>
      <c r="H507" s="51"/>
      <c r="I507" s="55"/>
      <c r="J507" s="56"/>
      <c r="K507" s="46"/>
      <c r="L507" s="46"/>
      <c r="M507" s="47"/>
      <c r="N507" s="46"/>
      <c r="O507" s="57"/>
      <c r="P507" s="46"/>
      <c r="Q507" s="46"/>
      <c r="R507" s="57"/>
      <c r="S507" s="7"/>
      <c r="T507" s="54"/>
      <c r="U507" s="58"/>
      <c r="V507" s="47"/>
      <c r="W507" s="18"/>
      <c r="X507" s="46"/>
      <c r="Y507" s="9"/>
      <c r="Z507" s="46"/>
      <c r="AA507" s="7"/>
      <c r="AB507" s="46"/>
      <c r="AC507" s="47"/>
      <c r="AD507" s="7"/>
      <c r="AE507" s="47"/>
      <c r="AF507" s="18"/>
      <c r="AG507" s="26"/>
      <c r="AH507" s="34"/>
      <c r="AI507" s="34"/>
      <c r="AJ507" s="18"/>
      <c r="AK507" s="48"/>
      <c r="AL507" s="26" t="str">
        <f>IFERROR(__xludf.DUMMYFUNCTION("""COMPUTED_VALUE"""),"* TLCQO *")</f>
        <v>* TLCQO *</v>
      </c>
      <c r="AM507" s="59">
        <f>IFERROR(__xludf.DUMMYFUNCTION("""COMPUTED_VALUE"""),150840.0)</f>
        <v>150840</v>
      </c>
    </row>
    <row r="508">
      <c r="A508" s="51"/>
      <c r="B508" s="51"/>
      <c r="C508" s="52"/>
      <c r="D508" s="51"/>
      <c r="E508" s="53"/>
      <c r="F508" s="54"/>
      <c r="G508" s="51"/>
      <c r="H508" s="51"/>
      <c r="I508" s="55"/>
      <c r="J508" s="56"/>
      <c r="K508" s="46"/>
      <c r="L508" s="46"/>
      <c r="M508" s="47"/>
      <c r="N508" s="46"/>
      <c r="O508" s="57"/>
      <c r="P508" s="46"/>
      <c r="Q508" s="46"/>
      <c r="R508" s="57"/>
      <c r="S508" s="7"/>
      <c r="T508" s="54"/>
      <c r="U508" s="58"/>
      <c r="V508" s="47"/>
      <c r="W508" s="18"/>
      <c r="X508" s="46"/>
      <c r="Y508" s="9"/>
      <c r="Z508" s="46"/>
      <c r="AA508" s="7"/>
      <c r="AB508" s="46"/>
      <c r="AC508" s="47"/>
      <c r="AD508" s="7"/>
      <c r="AE508" s="47"/>
      <c r="AF508" s="18"/>
      <c r="AG508" s="26"/>
      <c r="AH508" s="34"/>
      <c r="AI508" s="34"/>
      <c r="AJ508" s="18"/>
      <c r="AK508" s="48"/>
      <c r="AL508" s="26" t="str">
        <f>IFERROR(__xludf.DUMMYFUNCTION("""COMPUTED_VALUE"""),"* TLCRO *")</f>
        <v>* TLCRO *</v>
      </c>
      <c r="AM508" s="59">
        <f>IFERROR(__xludf.DUMMYFUNCTION("""COMPUTED_VALUE"""),100.0)</f>
        <v>100</v>
      </c>
    </row>
    <row r="509">
      <c r="A509" s="51"/>
      <c r="B509" s="51"/>
      <c r="C509" s="52"/>
      <c r="D509" s="51"/>
      <c r="E509" s="53"/>
      <c r="F509" s="54"/>
      <c r="G509" s="51"/>
      <c r="H509" s="51"/>
      <c r="I509" s="55"/>
      <c r="J509" s="56"/>
      <c r="K509" s="46"/>
      <c r="L509" s="46"/>
      <c r="M509" s="47"/>
      <c r="N509" s="46"/>
      <c r="O509" s="57"/>
      <c r="P509" s="46"/>
      <c r="Q509" s="46"/>
      <c r="R509" s="57"/>
      <c r="S509" s="7"/>
      <c r="T509" s="54"/>
      <c r="U509" s="58"/>
      <c r="V509" s="47"/>
      <c r="W509" s="18"/>
      <c r="X509" s="46"/>
      <c r="Y509" s="9"/>
      <c r="Z509" s="46"/>
      <c r="AA509" s="7"/>
      <c r="AB509" s="46"/>
      <c r="AC509" s="47"/>
      <c r="AD509" s="7"/>
      <c r="AE509" s="47"/>
      <c r="AF509" s="18"/>
      <c r="AG509" s="26"/>
      <c r="AH509" s="34"/>
      <c r="AI509" s="34"/>
      <c r="AJ509" s="18"/>
      <c r="AK509" s="48"/>
      <c r="AL509" s="26" t="str">
        <f>IFERROR(__xludf.DUMMYFUNCTION("""COMPUTED_VALUE"""),"* TN63D *")</f>
        <v>* TN63D *</v>
      </c>
      <c r="AM509" s="59">
        <f>IFERROR(__xludf.DUMMYFUNCTION("""COMPUTED_VALUE"""),51.19)</f>
        <v>51.19</v>
      </c>
    </row>
    <row r="510">
      <c r="A510" s="51"/>
      <c r="B510" s="51"/>
      <c r="C510" s="52"/>
      <c r="D510" s="51"/>
      <c r="E510" s="53"/>
      <c r="F510" s="54"/>
      <c r="G510" s="51"/>
      <c r="H510" s="51"/>
      <c r="I510" s="55"/>
      <c r="J510" s="56"/>
      <c r="K510" s="46"/>
      <c r="L510" s="46"/>
      <c r="M510" s="47"/>
      <c r="N510" s="46"/>
      <c r="O510" s="57"/>
      <c r="P510" s="46"/>
      <c r="Q510" s="46"/>
      <c r="R510" s="57"/>
      <c r="S510" s="7"/>
      <c r="T510" s="54"/>
      <c r="U510" s="58"/>
      <c r="V510" s="47"/>
      <c r="W510" s="18"/>
      <c r="X510" s="46"/>
      <c r="Y510" s="9"/>
      <c r="Z510" s="46"/>
      <c r="AA510" s="7"/>
      <c r="AB510" s="46"/>
      <c r="AC510" s="47"/>
      <c r="AD510" s="7"/>
      <c r="AE510" s="47"/>
      <c r="AF510" s="18"/>
      <c r="AG510" s="26"/>
      <c r="AH510" s="34"/>
      <c r="AI510" s="34"/>
      <c r="AJ510" s="18"/>
      <c r="AK510" s="48"/>
      <c r="AL510" s="26" t="str">
        <f>IFERROR(__xludf.DUMMYFUNCTION("""COMPUTED_VALUE"""),"* TN63O *")</f>
        <v>* TN63O *</v>
      </c>
      <c r="AM510" s="59">
        <f>IFERROR(__xludf.DUMMYFUNCTION("""COMPUTED_VALUE"""),75500.0)</f>
        <v>75500</v>
      </c>
    </row>
    <row r="511">
      <c r="A511" s="51"/>
      <c r="B511" s="51"/>
      <c r="C511" s="52"/>
      <c r="D511" s="51"/>
      <c r="E511" s="53"/>
      <c r="F511" s="54"/>
      <c r="G511" s="51"/>
      <c r="H511" s="51"/>
      <c r="I511" s="55"/>
      <c r="J511" s="56"/>
      <c r="K511" s="46"/>
      <c r="L511" s="46"/>
      <c r="M511" s="47"/>
      <c r="N511" s="46"/>
      <c r="O511" s="57"/>
      <c r="P511" s="46"/>
      <c r="Q511" s="46"/>
      <c r="R511" s="57"/>
      <c r="S511" s="7"/>
      <c r="T511" s="54"/>
      <c r="U511" s="58"/>
      <c r="V511" s="47"/>
      <c r="W511" s="18"/>
      <c r="X511" s="46"/>
      <c r="Y511" s="9"/>
      <c r="Z511" s="46"/>
      <c r="AA511" s="7"/>
      <c r="AB511" s="46"/>
      <c r="AC511" s="47"/>
      <c r="AD511" s="7"/>
      <c r="AE511" s="47"/>
      <c r="AF511" s="18"/>
      <c r="AG511" s="26"/>
      <c r="AH511" s="34"/>
      <c r="AI511" s="34"/>
      <c r="AJ511" s="18"/>
      <c r="AK511" s="48"/>
      <c r="AL511" s="26" t="str">
        <f>IFERROR(__xludf.DUMMYFUNCTION("""COMPUTED_VALUE"""),"* TSC2D *")</f>
        <v>* TSC2D *</v>
      </c>
      <c r="AM511" s="59">
        <f>IFERROR(__xludf.DUMMYFUNCTION("""COMPUTED_VALUE"""),101.5)</f>
        <v>101.5</v>
      </c>
    </row>
    <row r="512">
      <c r="A512" s="51"/>
      <c r="B512" s="51"/>
      <c r="C512" s="52"/>
      <c r="D512" s="51"/>
      <c r="E512" s="53"/>
      <c r="F512" s="54"/>
      <c r="G512" s="51"/>
      <c r="H512" s="51"/>
      <c r="I512" s="55"/>
      <c r="J512" s="56"/>
      <c r="K512" s="46"/>
      <c r="L512" s="46"/>
      <c r="M512" s="47"/>
      <c r="N512" s="46"/>
      <c r="O512" s="57"/>
      <c r="P512" s="46"/>
      <c r="Q512" s="46"/>
      <c r="R512" s="57"/>
      <c r="S512" s="7"/>
      <c r="T512" s="54"/>
      <c r="U512" s="58"/>
      <c r="V512" s="47"/>
      <c r="W512" s="18"/>
      <c r="X512" s="46"/>
      <c r="Y512" s="9"/>
      <c r="Z512" s="46"/>
      <c r="AA512" s="7"/>
      <c r="AB512" s="46"/>
      <c r="AC512" s="47"/>
      <c r="AD512" s="7"/>
      <c r="AE512" s="47"/>
      <c r="AF512" s="18"/>
      <c r="AG512" s="26"/>
      <c r="AH512" s="34"/>
      <c r="AI512" s="34"/>
      <c r="AJ512" s="18"/>
      <c r="AK512" s="48"/>
      <c r="AL512" s="26" t="str">
        <f>IFERROR(__xludf.DUMMYFUNCTION("""COMPUTED_VALUE"""),"* TSC3D *")</f>
        <v>* TSC3D *</v>
      </c>
      <c r="AM512" s="59">
        <f>IFERROR(__xludf.DUMMYFUNCTION("""COMPUTED_VALUE"""),109.9)</f>
        <v>109.9</v>
      </c>
    </row>
    <row r="513">
      <c r="A513" s="51"/>
      <c r="B513" s="51"/>
      <c r="C513" s="52"/>
      <c r="D513" s="51"/>
      <c r="E513" s="53"/>
      <c r="F513" s="54"/>
      <c r="G513" s="51"/>
      <c r="H513" s="51"/>
      <c r="I513" s="55"/>
      <c r="J513" s="56"/>
      <c r="K513" s="46"/>
      <c r="L513" s="46"/>
      <c r="M513" s="47"/>
      <c r="N513" s="46"/>
      <c r="O513" s="57"/>
      <c r="P513" s="46"/>
      <c r="Q513" s="46"/>
      <c r="R513" s="57"/>
      <c r="S513" s="7"/>
      <c r="T513" s="54"/>
      <c r="U513" s="58"/>
      <c r="V513" s="47"/>
      <c r="W513" s="18"/>
      <c r="X513" s="46"/>
      <c r="Y513" s="9"/>
      <c r="Z513" s="46"/>
      <c r="AA513" s="7"/>
      <c r="AB513" s="46"/>
      <c r="AC513" s="47"/>
      <c r="AD513" s="7"/>
      <c r="AE513" s="47"/>
      <c r="AF513" s="18"/>
      <c r="AG513" s="26"/>
      <c r="AH513" s="34"/>
      <c r="AI513" s="34"/>
      <c r="AJ513" s="18"/>
      <c r="AK513" s="48"/>
      <c r="AL513" s="26" t="str">
        <f>IFERROR(__xludf.DUMMYFUNCTION("""COMPUTED_VALUE"""),"* TSC3O *")</f>
        <v>* TSC3O *</v>
      </c>
      <c r="AM513" s="59">
        <f>IFERROR(__xludf.DUMMYFUNCTION("""COMPUTED_VALUE"""),161000.0)</f>
        <v>161000</v>
      </c>
    </row>
    <row r="514">
      <c r="A514" s="51"/>
      <c r="B514" s="51"/>
      <c r="C514" s="52"/>
      <c r="D514" s="51"/>
      <c r="E514" s="53"/>
      <c r="F514" s="54"/>
      <c r="G514" s="51"/>
      <c r="H514" s="51"/>
      <c r="I514" s="55"/>
      <c r="J514" s="56"/>
      <c r="K514" s="46"/>
      <c r="L514" s="46"/>
      <c r="M514" s="47"/>
      <c r="N514" s="46"/>
      <c r="O514" s="57"/>
      <c r="P514" s="46"/>
      <c r="Q514" s="46"/>
      <c r="R514" s="57"/>
      <c r="S514" s="7"/>
      <c r="T514" s="54"/>
      <c r="U514" s="58"/>
      <c r="V514" s="47"/>
      <c r="W514" s="18"/>
      <c r="X514" s="46"/>
      <c r="Y514" s="9"/>
      <c r="Z514" s="46"/>
      <c r="AA514" s="7"/>
      <c r="AB514" s="46"/>
      <c r="AC514" s="47"/>
      <c r="AD514" s="7"/>
      <c r="AE514" s="47"/>
      <c r="AF514" s="18"/>
      <c r="AG514" s="26"/>
      <c r="AH514" s="34"/>
      <c r="AI514" s="34"/>
      <c r="AJ514" s="18"/>
      <c r="AK514" s="48"/>
      <c r="AL514" s="26" t="str">
        <f>IFERROR(__xludf.DUMMYFUNCTION("""COMPUTED_VALUE"""),"* TSC4C *")</f>
        <v>* TSC4C *</v>
      </c>
      <c r="AM514" s="59">
        <f>IFERROR(__xludf.DUMMYFUNCTION("""COMPUTED_VALUE"""),99.0)</f>
        <v>99</v>
      </c>
    </row>
    <row r="515">
      <c r="A515" s="51"/>
      <c r="B515" s="51"/>
      <c r="C515" s="52"/>
      <c r="D515" s="51"/>
      <c r="E515" s="53"/>
      <c r="F515" s="54"/>
      <c r="G515" s="51"/>
      <c r="H515" s="51"/>
      <c r="I515" s="55"/>
      <c r="J515" s="56"/>
      <c r="K515" s="46"/>
      <c r="L515" s="46"/>
      <c r="M515" s="47"/>
      <c r="N515" s="46"/>
      <c r="O515" s="57"/>
      <c r="P515" s="46"/>
      <c r="Q515" s="46"/>
      <c r="R515" s="57"/>
      <c r="S515" s="7"/>
      <c r="T515" s="54"/>
      <c r="U515" s="58"/>
      <c r="V515" s="47"/>
      <c r="W515" s="18"/>
      <c r="X515" s="46"/>
      <c r="Y515" s="9"/>
      <c r="Z515" s="46"/>
      <c r="AA515" s="7"/>
      <c r="AB515" s="46"/>
      <c r="AC515" s="47"/>
      <c r="AD515" s="7"/>
      <c r="AE515" s="47"/>
      <c r="AF515" s="18"/>
      <c r="AG515" s="26"/>
      <c r="AH515" s="34"/>
      <c r="AI515" s="34"/>
      <c r="AJ515" s="18"/>
      <c r="AK515" s="48"/>
      <c r="AL515" s="26" t="str">
        <f>IFERROR(__xludf.DUMMYFUNCTION("""COMPUTED_VALUE"""),"* TSC4D *")</f>
        <v>* TSC4D *</v>
      </c>
      <c r="AM515" s="59">
        <f>IFERROR(__xludf.DUMMYFUNCTION("""COMPUTED_VALUE"""),102.1)</f>
        <v>102.1</v>
      </c>
    </row>
    <row r="516">
      <c r="A516" s="51"/>
      <c r="B516" s="51"/>
      <c r="C516" s="52"/>
      <c r="D516" s="51"/>
      <c r="E516" s="53"/>
      <c r="F516" s="54"/>
      <c r="G516" s="51"/>
      <c r="H516" s="51"/>
      <c r="I516" s="55"/>
      <c r="J516" s="56"/>
      <c r="K516" s="46"/>
      <c r="L516" s="46"/>
      <c r="M516" s="47"/>
      <c r="N516" s="46"/>
      <c r="O516" s="57"/>
      <c r="P516" s="46"/>
      <c r="Q516" s="46"/>
      <c r="R516" s="57"/>
      <c r="S516" s="7"/>
      <c r="T516" s="54"/>
      <c r="U516" s="58"/>
      <c r="V516" s="47"/>
      <c r="W516" s="18"/>
      <c r="X516" s="46"/>
      <c r="Y516" s="9"/>
      <c r="Z516" s="46"/>
      <c r="AA516" s="7"/>
      <c r="AB516" s="46"/>
      <c r="AC516" s="47"/>
      <c r="AD516" s="7"/>
      <c r="AE516" s="47"/>
      <c r="AF516" s="18"/>
      <c r="AG516" s="26"/>
      <c r="AH516" s="34"/>
      <c r="AI516" s="34"/>
      <c r="AJ516" s="18"/>
      <c r="AK516" s="48"/>
      <c r="AL516" s="26" t="str">
        <f>IFERROR(__xludf.DUMMYFUNCTION("""COMPUTED_VALUE"""),"* TSC4O *")</f>
        <v>* TSC4O *</v>
      </c>
      <c r="AM516" s="59">
        <f>IFERROR(__xludf.DUMMYFUNCTION("""COMPUTED_VALUE"""),150060.0)</f>
        <v>150060</v>
      </c>
    </row>
    <row r="517">
      <c r="A517" s="51"/>
      <c r="B517" s="51"/>
      <c r="C517" s="52"/>
      <c r="D517" s="51"/>
      <c r="E517" s="53"/>
      <c r="F517" s="54"/>
      <c r="G517" s="51"/>
      <c r="H517" s="51"/>
      <c r="I517" s="55"/>
      <c r="J517" s="56"/>
      <c r="K517" s="46"/>
      <c r="L517" s="46"/>
      <c r="M517" s="47"/>
      <c r="N517" s="46"/>
      <c r="O517" s="57"/>
      <c r="P517" s="46"/>
      <c r="Q517" s="46"/>
      <c r="R517" s="57"/>
      <c r="S517" s="7"/>
      <c r="T517" s="54"/>
      <c r="U517" s="58"/>
      <c r="V517" s="47"/>
      <c r="W517" s="18"/>
      <c r="X517" s="46"/>
      <c r="Y517" s="9"/>
      <c r="Z517" s="46"/>
      <c r="AA517" s="7"/>
      <c r="AB517" s="46"/>
      <c r="AC517" s="47"/>
      <c r="AD517" s="7"/>
      <c r="AE517" s="47"/>
      <c r="AF517" s="18"/>
      <c r="AG517" s="26"/>
      <c r="AH517" s="34"/>
      <c r="AI517" s="34"/>
      <c r="AJ517" s="18"/>
      <c r="AK517" s="48"/>
      <c r="AL517" s="26" t="str">
        <f>IFERROR(__xludf.DUMMYFUNCTION("""COMPUTED_VALUE"""),"* TTC7D *")</f>
        <v>* TTC7D *</v>
      </c>
      <c r="AM517" s="59">
        <f>IFERROR(__xludf.DUMMYFUNCTION("""COMPUTED_VALUE"""),100.4)</f>
        <v>100.4</v>
      </c>
    </row>
    <row r="518">
      <c r="A518" s="51"/>
      <c r="B518" s="51"/>
      <c r="C518" s="52"/>
      <c r="D518" s="51"/>
      <c r="E518" s="53"/>
      <c r="F518" s="54"/>
      <c r="G518" s="51"/>
      <c r="H518" s="51"/>
      <c r="I518" s="55"/>
      <c r="J518" s="56"/>
      <c r="K518" s="46"/>
      <c r="L518" s="46"/>
      <c r="M518" s="47"/>
      <c r="N518" s="46"/>
      <c r="O518" s="57"/>
      <c r="P518" s="46"/>
      <c r="Q518" s="46"/>
      <c r="R518" s="57"/>
      <c r="S518" s="7"/>
      <c r="T518" s="54"/>
      <c r="U518" s="58"/>
      <c r="V518" s="47"/>
      <c r="W518" s="18"/>
      <c r="X518" s="46"/>
      <c r="Y518" s="9"/>
      <c r="Z518" s="46"/>
      <c r="AA518" s="7"/>
      <c r="AB518" s="46"/>
      <c r="AC518" s="47"/>
      <c r="AD518" s="7"/>
      <c r="AE518" s="47"/>
      <c r="AF518" s="18"/>
      <c r="AG518" s="26"/>
      <c r="AH518" s="34"/>
      <c r="AI518" s="34"/>
      <c r="AJ518" s="18"/>
      <c r="AK518" s="48"/>
      <c r="AL518" s="26" t="str">
        <f>IFERROR(__xludf.DUMMYFUNCTION("""COMPUTED_VALUE"""),"* TTC8D *")</f>
        <v>* TTC8D *</v>
      </c>
      <c r="AM518" s="59">
        <f>IFERROR(__xludf.DUMMYFUNCTION("""COMPUTED_VALUE"""),99.5)</f>
        <v>99.5</v>
      </c>
    </row>
    <row r="519">
      <c r="A519" s="51"/>
      <c r="B519" s="51"/>
      <c r="C519" s="52"/>
      <c r="D519" s="51"/>
      <c r="E519" s="53"/>
      <c r="F519" s="54"/>
      <c r="G519" s="51"/>
      <c r="H519" s="51"/>
      <c r="I519" s="55"/>
      <c r="J519" s="56"/>
      <c r="K519" s="46"/>
      <c r="L519" s="46"/>
      <c r="M519" s="47"/>
      <c r="N519" s="46"/>
      <c r="O519" s="57"/>
      <c r="P519" s="46"/>
      <c r="Q519" s="46"/>
      <c r="R519" s="57"/>
      <c r="S519" s="7"/>
      <c r="T519" s="54"/>
      <c r="U519" s="58"/>
      <c r="V519" s="47"/>
      <c r="W519" s="18"/>
      <c r="X519" s="46"/>
      <c r="Y519" s="9"/>
      <c r="Z519" s="46"/>
      <c r="AA519" s="7"/>
      <c r="AB519" s="46"/>
      <c r="AC519" s="47"/>
      <c r="AD519" s="7"/>
      <c r="AE519" s="47"/>
      <c r="AF519" s="18"/>
      <c r="AG519" s="26"/>
      <c r="AH519" s="34"/>
      <c r="AI519" s="34"/>
      <c r="AJ519" s="18"/>
      <c r="AK519" s="48"/>
      <c r="AL519" s="26" t="str">
        <f>IFERROR(__xludf.DUMMYFUNCTION("""COMPUTED_VALUE"""),"* TTC8O *")</f>
        <v>* TTC8O *</v>
      </c>
      <c r="AM519" s="59">
        <f>IFERROR(__xludf.DUMMYFUNCTION("""COMPUTED_VALUE"""),146000.0)</f>
        <v>146000</v>
      </c>
    </row>
    <row r="520">
      <c r="A520" s="51"/>
      <c r="B520" s="51"/>
      <c r="C520" s="52"/>
      <c r="D520" s="51"/>
      <c r="E520" s="53"/>
      <c r="F520" s="54"/>
      <c r="G520" s="51"/>
      <c r="H520" s="51"/>
      <c r="I520" s="55"/>
      <c r="J520" s="56"/>
      <c r="K520" s="46"/>
      <c r="L520" s="46"/>
      <c r="M520" s="47"/>
      <c r="N520" s="46"/>
      <c r="O520" s="57"/>
      <c r="P520" s="46"/>
      <c r="Q520" s="46"/>
      <c r="R520" s="57"/>
      <c r="S520" s="7"/>
      <c r="T520" s="54"/>
      <c r="U520" s="58"/>
      <c r="V520" s="47"/>
      <c r="W520" s="18"/>
      <c r="X520" s="46"/>
      <c r="Y520" s="9"/>
      <c r="Z520" s="46"/>
      <c r="AA520" s="7"/>
      <c r="AB520" s="46"/>
      <c r="AC520" s="47"/>
      <c r="AD520" s="7"/>
      <c r="AE520" s="47"/>
      <c r="AF520" s="18"/>
      <c r="AG520" s="26"/>
      <c r="AH520" s="34"/>
      <c r="AI520" s="34"/>
      <c r="AJ520" s="18"/>
      <c r="AK520" s="48"/>
      <c r="AL520" s="26" t="str">
        <f>IFERROR(__xludf.DUMMYFUNCTION("""COMPUTED_VALUE"""),"* TTC9D *")</f>
        <v>* TTC9D *</v>
      </c>
      <c r="AM520" s="59">
        <f>IFERROR(__xludf.DUMMYFUNCTION("""COMPUTED_VALUE"""),102.4)</f>
        <v>102.4</v>
      </c>
    </row>
    <row r="521">
      <c r="A521" s="51"/>
      <c r="B521" s="51"/>
      <c r="C521" s="52"/>
      <c r="D521" s="51"/>
      <c r="E521" s="53"/>
      <c r="F521" s="54"/>
      <c r="G521" s="51"/>
      <c r="H521" s="51"/>
      <c r="I521" s="55"/>
      <c r="J521" s="56"/>
      <c r="K521" s="46"/>
      <c r="L521" s="46"/>
      <c r="M521" s="47"/>
      <c r="N521" s="46"/>
      <c r="O521" s="57"/>
      <c r="P521" s="46"/>
      <c r="Q521" s="46"/>
      <c r="R521" s="57"/>
      <c r="S521" s="7"/>
      <c r="T521" s="54"/>
      <c r="U521" s="58"/>
      <c r="V521" s="47"/>
      <c r="W521" s="18"/>
      <c r="X521" s="46"/>
      <c r="Y521" s="9"/>
      <c r="Z521" s="46"/>
      <c r="AA521" s="7"/>
      <c r="AB521" s="46"/>
      <c r="AC521" s="47"/>
      <c r="AD521" s="7"/>
      <c r="AE521" s="47"/>
      <c r="AF521" s="18"/>
      <c r="AG521" s="26"/>
      <c r="AH521" s="34"/>
      <c r="AI521" s="34"/>
      <c r="AJ521" s="18"/>
      <c r="AK521" s="48"/>
      <c r="AL521" s="26" t="str">
        <f>IFERROR(__xludf.DUMMYFUNCTION("""COMPUTED_VALUE"""),"* TTC9O *")</f>
        <v>* TTC9O *</v>
      </c>
      <c r="AM521" s="59">
        <f>IFERROR(__xludf.DUMMYFUNCTION("""COMPUTED_VALUE"""),150000.0)</f>
        <v>150000</v>
      </c>
    </row>
    <row r="522">
      <c r="A522" s="51"/>
      <c r="B522" s="51"/>
      <c r="C522" s="52"/>
      <c r="D522" s="51"/>
      <c r="E522" s="53"/>
      <c r="F522" s="54"/>
      <c r="G522" s="51"/>
      <c r="H522" s="51"/>
      <c r="I522" s="55"/>
      <c r="J522" s="56"/>
      <c r="K522" s="46"/>
      <c r="L522" s="46"/>
      <c r="M522" s="47"/>
      <c r="N522" s="46"/>
      <c r="O522" s="57"/>
      <c r="P522" s="46"/>
      <c r="Q522" s="46"/>
      <c r="R522" s="57"/>
      <c r="S522" s="7"/>
      <c r="T522" s="54"/>
      <c r="U522" s="58"/>
      <c r="V522" s="47"/>
      <c r="W522" s="18"/>
      <c r="X522" s="46"/>
      <c r="Y522" s="9"/>
      <c r="Z522" s="46"/>
      <c r="AA522" s="7"/>
      <c r="AB522" s="46"/>
      <c r="AC522" s="47"/>
      <c r="AD522" s="7"/>
      <c r="AE522" s="47"/>
      <c r="AF522" s="18"/>
      <c r="AG522" s="26"/>
      <c r="AH522" s="34"/>
      <c r="AI522" s="34"/>
      <c r="AJ522" s="18"/>
      <c r="AK522" s="48"/>
      <c r="AL522" s="26" t="str">
        <f>IFERROR(__xludf.DUMMYFUNCTION("""COMPUTED_VALUE"""),"* TTCAD *")</f>
        <v>* TTCAD *</v>
      </c>
      <c r="AM522" s="59">
        <f>IFERROR(__xludf.DUMMYFUNCTION("""COMPUTED_VALUE"""),106.0)</f>
        <v>106</v>
      </c>
    </row>
    <row r="523">
      <c r="A523" s="51"/>
      <c r="B523" s="51"/>
      <c r="C523" s="52"/>
      <c r="D523" s="51"/>
      <c r="E523" s="53"/>
      <c r="F523" s="54"/>
      <c r="G523" s="51"/>
      <c r="H523" s="51"/>
      <c r="I523" s="55"/>
      <c r="J523" s="56"/>
      <c r="K523" s="46"/>
      <c r="L523" s="46"/>
      <c r="M523" s="47"/>
      <c r="N523" s="46"/>
      <c r="O523" s="57"/>
      <c r="P523" s="46"/>
      <c r="Q523" s="46"/>
      <c r="R523" s="57"/>
      <c r="S523" s="7"/>
      <c r="T523" s="54"/>
      <c r="U523" s="58"/>
      <c r="V523" s="47"/>
      <c r="W523" s="18"/>
      <c r="X523" s="46"/>
      <c r="Y523" s="9"/>
      <c r="Z523" s="46"/>
      <c r="AA523" s="7"/>
      <c r="AB523" s="46"/>
      <c r="AC523" s="47"/>
      <c r="AD523" s="7"/>
      <c r="AE523" s="47"/>
      <c r="AF523" s="18"/>
      <c r="AG523" s="26"/>
      <c r="AH523" s="34"/>
      <c r="AI523" s="34"/>
      <c r="AJ523" s="18"/>
      <c r="AK523" s="48"/>
      <c r="AL523" s="26" t="str">
        <f>IFERROR(__xludf.DUMMYFUNCTION("""COMPUTED_VALUE"""),"* TTCAO *")</f>
        <v>* TTCAO *</v>
      </c>
      <c r="AM523" s="59">
        <f>IFERROR(__xludf.DUMMYFUNCTION("""COMPUTED_VALUE"""),155000.0)</f>
        <v>155000</v>
      </c>
    </row>
    <row r="524">
      <c r="A524" s="51"/>
      <c r="B524" s="51"/>
      <c r="C524" s="52"/>
      <c r="D524" s="51"/>
      <c r="E524" s="53"/>
      <c r="F524" s="54"/>
      <c r="G524" s="51"/>
      <c r="H524" s="51"/>
      <c r="I524" s="55"/>
      <c r="J524" s="56"/>
      <c r="K524" s="46"/>
      <c r="L524" s="46"/>
      <c r="M524" s="47"/>
      <c r="N524" s="46"/>
      <c r="O524" s="57"/>
      <c r="P524" s="46"/>
      <c r="Q524" s="46"/>
      <c r="R524" s="57"/>
      <c r="S524" s="7"/>
      <c r="T524" s="54"/>
      <c r="U524" s="58"/>
      <c r="V524" s="47"/>
      <c r="W524" s="18"/>
      <c r="X524" s="46"/>
      <c r="Y524" s="9"/>
      <c r="Z524" s="46"/>
      <c r="AA524" s="7"/>
      <c r="AB524" s="46"/>
      <c r="AC524" s="47"/>
      <c r="AD524" s="7"/>
      <c r="AE524" s="47"/>
      <c r="AF524" s="18"/>
      <c r="AG524" s="26"/>
      <c r="AH524" s="34"/>
      <c r="AI524" s="34"/>
      <c r="AJ524" s="18"/>
      <c r="AK524" s="48"/>
      <c r="AL524" s="26" t="str">
        <f>IFERROR(__xludf.DUMMYFUNCTION("""COMPUTED_VALUE"""),"* TTCBC *")</f>
        <v>* TTCBC *</v>
      </c>
      <c r="AM524" s="59">
        <f>IFERROR(__xludf.DUMMYFUNCTION("""COMPUTED_VALUE"""),98.0)</f>
        <v>98</v>
      </c>
    </row>
    <row r="525">
      <c r="A525" s="51"/>
      <c r="B525" s="51"/>
      <c r="C525" s="52"/>
      <c r="D525" s="51"/>
      <c r="E525" s="53"/>
      <c r="F525" s="54"/>
      <c r="G525" s="51"/>
      <c r="H525" s="51"/>
      <c r="I525" s="55"/>
      <c r="J525" s="56"/>
      <c r="K525" s="46"/>
      <c r="L525" s="46"/>
      <c r="M525" s="47"/>
      <c r="N525" s="46"/>
      <c r="O525" s="57"/>
      <c r="P525" s="46"/>
      <c r="Q525" s="46"/>
      <c r="R525" s="57"/>
      <c r="S525" s="7"/>
      <c r="T525" s="54"/>
      <c r="U525" s="58"/>
      <c r="V525" s="47"/>
      <c r="W525" s="18"/>
      <c r="X525" s="46"/>
      <c r="Y525" s="9"/>
      <c r="Z525" s="46"/>
      <c r="AA525" s="7"/>
      <c r="AB525" s="46"/>
      <c r="AC525" s="47"/>
      <c r="AD525" s="7"/>
      <c r="AE525" s="47"/>
      <c r="AF525" s="18"/>
      <c r="AG525" s="26"/>
      <c r="AH525" s="34"/>
      <c r="AI525" s="34"/>
      <c r="AJ525" s="18"/>
      <c r="AK525" s="48"/>
      <c r="AL525" s="26" t="str">
        <f>IFERROR(__xludf.DUMMYFUNCTION("""COMPUTED_VALUE"""),"* TTCBD *")</f>
        <v>* TTCBD *</v>
      </c>
      <c r="AM525" s="59">
        <f>IFERROR(__xludf.DUMMYFUNCTION("""COMPUTED_VALUE"""),101.2)</f>
        <v>101.2</v>
      </c>
    </row>
    <row r="526">
      <c r="A526" s="51"/>
      <c r="B526" s="51"/>
      <c r="C526" s="52"/>
      <c r="D526" s="51"/>
      <c r="E526" s="53"/>
      <c r="F526" s="54"/>
      <c r="G526" s="51"/>
      <c r="H526" s="51"/>
      <c r="I526" s="55"/>
      <c r="J526" s="56"/>
      <c r="K526" s="46"/>
      <c r="L526" s="46"/>
      <c r="M526" s="47"/>
      <c r="N526" s="46"/>
      <c r="O526" s="57"/>
      <c r="P526" s="46"/>
      <c r="Q526" s="46"/>
      <c r="R526" s="57"/>
      <c r="S526" s="7"/>
      <c r="T526" s="54"/>
      <c r="U526" s="58"/>
      <c r="V526" s="47"/>
      <c r="W526" s="18"/>
      <c r="X526" s="46"/>
      <c r="Y526" s="9"/>
      <c r="Z526" s="46"/>
      <c r="AA526" s="7"/>
      <c r="AB526" s="46"/>
      <c r="AC526" s="47"/>
      <c r="AD526" s="7"/>
      <c r="AE526" s="47"/>
      <c r="AF526" s="18"/>
      <c r="AG526" s="26"/>
      <c r="AH526" s="34"/>
      <c r="AI526" s="34"/>
      <c r="AJ526" s="18"/>
      <c r="AK526" s="48"/>
      <c r="AL526" s="26" t="str">
        <f>IFERROR(__xludf.DUMMYFUNCTION("""COMPUTED_VALUE"""),"* TTCBO *")</f>
        <v>* TTCBO *</v>
      </c>
      <c r="AM526" s="59">
        <f>IFERROR(__xludf.DUMMYFUNCTION("""COMPUTED_VALUE"""),147700.0)</f>
        <v>147700</v>
      </c>
    </row>
    <row r="527">
      <c r="A527" s="51"/>
      <c r="B527" s="51"/>
      <c r="C527" s="52"/>
      <c r="D527" s="51"/>
      <c r="E527" s="53"/>
      <c r="F527" s="54"/>
      <c r="G527" s="51"/>
      <c r="H527" s="51"/>
      <c r="I527" s="55"/>
      <c r="J527" s="56"/>
      <c r="K527" s="46"/>
      <c r="L527" s="46"/>
      <c r="M527" s="47"/>
      <c r="N527" s="46"/>
      <c r="O527" s="57"/>
      <c r="P527" s="46"/>
      <c r="Q527" s="46"/>
      <c r="R527" s="57"/>
      <c r="S527" s="7"/>
      <c r="T527" s="54"/>
      <c r="U527" s="58"/>
      <c r="V527" s="47"/>
      <c r="W527" s="18"/>
      <c r="X527" s="46"/>
      <c r="Y527" s="9"/>
      <c r="Z527" s="46"/>
      <c r="AA527" s="7"/>
      <c r="AB527" s="46"/>
      <c r="AC527" s="47"/>
      <c r="AD527" s="7"/>
      <c r="AE527" s="47"/>
      <c r="AF527" s="18"/>
      <c r="AG527" s="26"/>
      <c r="AH527" s="34"/>
      <c r="AI527" s="34"/>
      <c r="AJ527" s="18"/>
      <c r="AK527" s="48"/>
      <c r="AL527" s="26" t="str">
        <f>IFERROR(__xludf.DUMMYFUNCTION("""COMPUTED_VALUE"""),"* TTCDD *")</f>
        <v>* TTCDD *</v>
      </c>
      <c r="AM527" s="59">
        <f>IFERROR(__xludf.DUMMYFUNCTION("""COMPUTED_VALUE"""),102.8)</f>
        <v>102.8</v>
      </c>
    </row>
    <row r="528">
      <c r="A528" s="51"/>
      <c r="B528" s="51"/>
      <c r="C528" s="52"/>
      <c r="D528" s="51"/>
      <c r="E528" s="53"/>
      <c r="F528" s="54"/>
      <c r="G528" s="51"/>
      <c r="H528" s="51"/>
      <c r="I528" s="55"/>
      <c r="J528" s="56"/>
      <c r="K528" s="46"/>
      <c r="L528" s="46"/>
      <c r="M528" s="47"/>
      <c r="N528" s="46"/>
      <c r="O528" s="57"/>
      <c r="P528" s="46"/>
      <c r="Q528" s="46"/>
      <c r="R528" s="57"/>
      <c r="S528" s="7"/>
      <c r="T528" s="54"/>
      <c r="U528" s="58"/>
      <c r="V528" s="47"/>
      <c r="W528" s="18"/>
      <c r="X528" s="46"/>
      <c r="Y528" s="9"/>
      <c r="Z528" s="46"/>
      <c r="AA528" s="7"/>
      <c r="AB528" s="46"/>
      <c r="AC528" s="47"/>
      <c r="AD528" s="7"/>
      <c r="AE528" s="47"/>
      <c r="AF528" s="18"/>
      <c r="AG528" s="26"/>
      <c r="AH528" s="34"/>
      <c r="AI528" s="34"/>
      <c r="AJ528" s="18"/>
      <c r="AK528" s="48"/>
      <c r="AL528" s="26" t="str">
        <f>IFERROR(__xludf.DUMMYFUNCTION("""COMPUTED_VALUE"""),"* TTCDO *")</f>
        <v>* TTCDO *</v>
      </c>
      <c r="AM528" s="59">
        <f>IFERROR(__xludf.DUMMYFUNCTION("""COMPUTED_VALUE"""),151620.0)</f>
        <v>151620</v>
      </c>
    </row>
    <row r="529">
      <c r="A529" s="51"/>
      <c r="B529" s="51"/>
      <c r="C529" s="52"/>
      <c r="D529" s="51"/>
      <c r="E529" s="53"/>
      <c r="F529" s="54"/>
      <c r="G529" s="51"/>
      <c r="H529" s="51"/>
      <c r="I529" s="55"/>
      <c r="J529" s="56"/>
      <c r="K529" s="46"/>
      <c r="L529" s="46"/>
      <c r="M529" s="47"/>
      <c r="N529" s="46"/>
      <c r="O529" s="57"/>
      <c r="P529" s="46"/>
      <c r="Q529" s="46"/>
      <c r="R529" s="57"/>
      <c r="S529" s="7"/>
      <c r="T529" s="54"/>
      <c r="U529" s="58"/>
      <c r="V529" s="47"/>
      <c r="W529" s="18"/>
      <c r="X529" s="46"/>
      <c r="Y529" s="9"/>
      <c r="Z529" s="46"/>
      <c r="AA529" s="7"/>
      <c r="AB529" s="46"/>
      <c r="AC529" s="47"/>
      <c r="AD529" s="7"/>
      <c r="AE529" s="47"/>
      <c r="AF529" s="18"/>
      <c r="AG529" s="26"/>
      <c r="AH529" s="34"/>
      <c r="AI529" s="34"/>
      <c r="AJ529" s="18"/>
      <c r="AK529" s="48"/>
      <c r="AL529" s="26" t="str">
        <f>IFERROR(__xludf.DUMMYFUNCTION("""COMPUTED_VALUE"""),"* TZXA7 *")</f>
        <v>* TZXA7 *</v>
      </c>
      <c r="AM529" s="59">
        <f>IFERROR(__xludf.DUMMYFUNCTION("""COMPUTED_VALUE"""),100.0)</f>
        <v>100</v>
      </c>
    </row>
    <row r="530">
      <c r="A530" s="51"/>
      <c r="B530" s="51"/>
      <c r="C530" s="52"/>
      <c r="D530" s="51"/>
      <c r="E530" s="53"/>
      <c r="F530" s="54"/>
      <c r="G530" s="51"/>
      <c r="H530" s="51"/>
      <c r="I530" s="55"/>
      <c r="J530" s="56"/>
      <c r="K530" s="46"/>
      <c r="L530" s="46"/>
      <c r="M530" s="47"/>
      <c r="N530" s="46"/>
      <c r="O530" s="57"/>
      <c r="P530" s="46"/>
      <c r="Q530" s="46"/>
      <c r="R530" s="57"/>
      <c r="S530" s="7"/>
      <c r="T530" s="54"/>
      <c r="U530" s="58"/>
      <c r="V530" s="47"/>
      <c r="W530" s="18"/>
      <c r="X530" s="46"/>
      <c r="Y530" s="9"/>
      <c r="Z530" s="46"/>
      <c r="AA530" s="7"/>
      <c r="AB530" s="46"/>
      <c r="AC530" s="47"/>
      <c r="AD530" s="7"/>
      <c r="AE530" s="47"/>
      <c r="AF530" s="18"/>
      <c r="AG530" s="26"/>
      <c r="AH530" s="34"/>
      <c r="AI530" s="34"/>
      <c r="AJ530" s="18"/>
      <c r="AK530" s="48"/>
      <c r="AL530" s="26" t="str">
        <f>IFERROR(__xludf.DUMMYFUNCTION("""COMPUTED_VALUE"""),"* VBC1D *")</f>
        <v>* VBC1D *</v>
      </c>
      <c r="AM530" s="59">
        <f>IFERROR(__xludf.DUMMYFUNCTION("""COMPUTED_VALUE"""),101.95)</f>
        <v>101.95</v>
      </c>
    </row>
    <row r="531">
      <c r="A531" s="51"/>
      <c r="B531" s="51"/>
      <c r="C531" s="52"/>
      <c r="D531" s="51"/>
      <c r="E531" s="53"/>
      <c r="F531" s="54"/>
      <c r="G531" s="51"/>
      <c r="H531" s="51"/>
      <c r="I531" s="55"/>
      <c r="J531" s="56"/>
      <c r="K531" s="46"/>
      <c r="L531" s="46"/>
      <c r="M531" s="47"/>
      <c r="N531" s="46"/>
      <c r="O531" s="57"/>
      <c r="P531" s="46"/>
      <c r="Q531" s="46"/>
      <c r="R531" s="57"/>
      <c r="S531" s="7"/>
      <c r="T531" s="54"/>
      <c r="U531" s="58"/>
      <c r="V531" s="47"/>
      <c r="W531" s="18"/>
      <c r="X531" s="46"/>
      <c r="Y531" s="9"/>
      <c r="Z531" s="46"/>
      <c r="AA531" s="7"/>
      <c r="AB531" s="46"/>
      <c r="AC531" s="47"/>
      <c r="AD531" s="7"/>
      <c r="AE531" s="47"/>
      <c r="AF531" s="18"/>
      <c r="AG531" s="26"/>
      <c r="AH531" s="34"/>
      <c r="AI531" s="34"/>
      <c r="AJ531" s="18"/>
      <c r="AK531" s="48"/>
      <c r="AL531" s="26" t="str">
        <f>IFERROR(__xludf.DUMMYFUNCTION("""COMPUTED_VALUE"""),"* VBC1O *")</f>
        <v>* VBC1O *</v>
      </c>
      <c r="AM531" s="59">
        <f>IFERROR(__xludf.DUMMYFUNCTION("""COMPUTED_VALUE"""),148300.0)</f>
        <v>148300</v>
      </c>
    </row>
    <row r="532">
      <c r="A532" s="51"/>
      <c r="B532" s="51"/>
      <c r="C532" s="52"/>
      <c r="D532" s="51"/>
      <c r="E532" s="53"/>
      <c r="F532" s="54"/>
      <c r="G532" s="51"/>
      <c r="H532" s="51"/>
      <c r="I532" s="55"/>
      <c r="J532" s="56"/>
      <c r="K532" s="46"/>
      <c r="L532" s="46"/>
      <c r="M532" s="47"/>
      <c r="N532" s="46"/>
      <c r="O532" s="57"/>
      <c r="P532" s="46"/>
      <c r="Q532" s="46"/>
      <c r="R532" s="57"/>
      <c r="S532" s="7"/>
      <c r="T532" s="54"/>
      <c r="U532" s="58"/>
      <c r="V532" s="47"/>
      <c r="W532" s="18"/>
      <c r="X532" s="46"/>
      <c r="Y532" s="9"/>
      <c r="Z532" s="46"/>
      <c r="AA532" s="7"/>
      <c r="AB532" s="46"/>
      <c r="AC532" s="47"/>
      <c r="AD532" s="7"/>
      <c r="AE532" s="47"/>
      <c r="AF532" s="18"/>
      <c r="AG532" s="26"/>
      <c r="AH532" s="34"/>
      <c r="AI532" s="34"/>
      <c r="AJ532" s="18"/>
      <c r="AK532" s="48"/>
      <c r="AL532" s="26" t="str">
        <f>IFERROR(__xludf.DUMMYFUNCTION("""COMPUTED_VALUE"""),"* VBC2C *")</f>
        <v>* VBC2C *</v>
      </c>
      <c r="AM532" s="59">
        <f>IFERROR(__xludf.DUMMYFUNCTION("""COMPUTED_VALUE"""),100.0)</f>
        <v>100</v>
      </c>
    </row>
    <row r="533">
      <c r="A533" s="51"/>
      <c r="B533" s="51"/>
      <c r="C533" s="52"/>
      <c r="D533" s="51"/>
      <c r="E533" s="53"/>
      <c r="F533" s="54"/>
      <c r="G533" s="51"/>
      <c r="H533" s="51"/>
      <c r="I533" s="55"/>
      <c r="J533" s="56"/>
      <c r="K533" s="46"/>
      <c r="L533" s="46"/>
      <c r="M533" s="47"/>
      <c r="N533" s="46"/>
      <c r="O533" s="57"/>
      <c r="P533" s="46"/>
      <c r="Q533" s="46"/>
      <c r="R533" s="57"/>
      <c r="S533" s="7"/>
      <c r="T533" s="54"/>
      <c r="U533" s="58"/>
      <c r="V533" s="47"/>
      <c r="W533" s="18"/>
      <c r="X533" s="46"/>
      <c r="Y533" s="9"/>
      <c r="Z533" s="46"/>
      <c r="AA533" s="7"/>
      <c r="AB533" s="46"/>
      <c r="AC533" s="47"/>
      <c r="AD533" s="7"/>
      <c r="AE533" s="47"/>
      <c r="AF533" s="18"/>
      <c r="AG533" s="26"/>
      <c r="AH533" s="34"/>
      <c r="AI533" s="34"/>
      <c r="AJ533" s="18"/>
      <c r="AK533" s="48"/>
      <c r="AL533" s="26" t="str">
        <f>IFERROR(__xludf.DUMMYFUNCTION("""COMPUTED_VALUE"""),"* VBC2D *")</f>
        <v>* VBC2D *</v>
      </c>
      <c r="AM533" s="59">
        <f>IFERROR(__xludf.DUMMYFUNCTION("""COMPUTED_VALUE"""),101.55)</f>
        <v>101.55</v>
      </c>
    </row>
    <row r="534">
      <c r="A534" s="51"/>
      <c r="B534" s="51"/>
      <c r="C534" s="52"/>
      <c r="D534" s="51"/>
      <c r="E534" s="53"/>
      <c r="F534" s="54"/>
      <c r="G534" s="51"/>
      <c r="H534" s="51"/>
      <c r="I534" s="55"/>
      <c r="J534" s="56"/>
      <c r="K534" s="46"/>
      <c r="L534" s="46"/>
      <c r="M534" s="47"/>
      <c r="N534" s="46"/>
      <c r="O534" s="57"/>
      <c r="P534" s="46"/>
      <c r="Q534" s="46"/>
      <c r="R534" s="57"/>
      <c r="S534" s="7"/>
      <c r="T534" s="54"/>
      <c r="U534" s="58"/>
      <c r="V534" s="47"/>
      <c r="W534" s="18"/>
      <c r="X534" s="46"/>
      <c r="Y534" s="9"/>
      <c r="Z534" s="46"/>
      <c r="AA534" s="7"/>
      <c r="AB534" s="46"/>
      <c r="AC534" s="47"/>
      <c r="AD534" s="7"/>
      <c r="AE534" s="47"/>
      <c r="AF534" s="18"/>
      <c r="AG534" s="26"/>
      <c r="AH534" s="34"/>
      <c r="AI534" s="34"/>
      <c r="AJ534" s="18"/>
      <c r="AK534" s="48"/>
      <c r="AL534" s="26" t="str">
        <f>IFERROR(__xludf.DUMMYFUNCTION("""COMPUTED_VALUE"""),"* VBC2O *")</f>
        <v>* VBC2O *</v>
      </c>
      <c r="AM534" s="59">
        <f>IFERROR(__xludf.DUMMYFUNCTION("""COMPUTED_VALUE"""),151470.0)</f>
        <v>151470</v>
      </c>
    </row>
    <row r="535">
      <c r="A535" s="51"/>
      <c r="B535" s="51"/>
      <c r="C535" s="52"/>
      <c r="D535" s="51"/>
      <c r="E535" s="53"/>
      <c r="F535" s="54"/>
      <c r="G535" s="51"/>
      <c r="H535" s="51"/>
      <c r="I535" s="55"/>
      <c r="J535" s="56"/>
      <c r="K535" s="46"/>
      <c r="L535" s="46"/>
      <c r="M535" s="47"/>
      <c r="N535" s="46"/>
      <c r="O535" s="57"/>
      <c r="P535" s="46"/>
      <c r="Q535" s="46"/>
      <c r="R535" s="57"/>
      <c r="S535" s="7"/>
      <c r="T535" s="54"/>
      <c r="U535" s="58"/>
      <c r="V535" s="47"/>
      <c r="W535" s="18"/>
      <c r="X535" s="46"/>
      <c r="Y535" s="9"/>
      <c r="Z535" s="46"/>
      <c r="AA535" s="7"/>
      <c r="AB535" s="46"/>
      <c r="AC535" s="47"/>
      <c r="AD535" s="7"/>
      <c r="AE535" s="47"/>
      <c r="AF535" s="18"/>
      <c r="AG535" s="26"/>
      <c r="AH535" s="34"/>
      <c r="AI535" s="34"/>
      <c r="AJ535" s="18"/>
      <c r="AK535" s="48"/>
      <c r="AL535" s="26" t="str">
        <f>IFERROR(__xludf.DUMMYFUNCTION("""COMPUTED_VALUE"""),"* VSCFC *")</f>
        <v>* VSCFC *</v>
      </c>
      <c r="AM535" s="59">
        <f>IFERROR(__xludf.DUMMYFUNCTION("""COMPUTED_VALUE"""),109.8)</f>
        <v>109.8</v>
      </c>
    </row>
    <row r="536">
      <c r="A536" s="51"/>
      <c r="B536" s="51"/>
      <c r="C536" s="52"/>
      <c r="D536" s="51"/>
      <c r="E536" s="53"/>
      <c r="F536" s="54"/>
      <c r="G536" s="51"/>
      <c r="H536" s="51"/>
      <c r="I536" s="55"/>
      <c r="J536" s="56"/>
      <c r="K536" s="46"/>
      <c r="L536" s="46"/>
      <c r="M536" s="47"/>
      <c r="N536" s="46"/>
      <c r="O536" s="57"/>
      <c r="P536" s="46"/>
      <c r="Q536" s="46"/>
      <c r="R536" s="57"/>
      <c r="S536" s="7"/>
      <c r="T536" s="54"/>
      <c r="U536" s="58"/>
      <c r="V536" s="47"/>
      <c r="W536" s="18"/>
      <c r="X536" s="46"/>
      <c r="Y536" s="9"/>
      <c r="Z536" s="46"/>
      <c r="AA536" s="7"/>
      <c r="AB536" s="46"/>
      <c r="AC536" s="47"/>
      <c r="AD536" s="7"/>
      <c r="AE536" s="47"/>
      <c r="AF536" s="18"/>
      <c r="AG536" s="26"/>
      <c r="AH536" s="34"/>
      <c r="AI536" s="34"/>
      <c r="AJ536" s="18"/>
      <c r="AK536" s="48"/>
      <c r="AL536" s="26" t="str">
        <f>IFERROR(__xludf.DUMMYFUNCTION("""COMPUTED_VALUE"""),"* VSCFD *")</f>
        <v>* VSCFD *</v>
      </c>
      <c r="AM536" s="59">
        <f>IFERROR(__xludf.DUMMYFUNCTION("""COMPUTED_VALUE"""),108.9)</f>
        <v>108.9</v>
      </c>
    </row>
    <row r="537">
      <c r="A537" s="51"/>
      <c r="B537" s="51"/>
      <c r="C537" s="52"/>
      <c r="D537" s="51"/>
      <c r="E537" s="53"/>
      <c r="F537" s="54"/>
      <c r="G537" s="51"/>
      <c r="H537" s="51"/>
      <c r="I537" s="55"/>
      <c r="J537" s="56"/>
      <c r="K537" s="46"/>
      <c r="L537" s="46"/>
      <c r="M537" s="47"/>
      <c r="N537" s="46"/>
      <c r="O537" s="57"/>
      <c r="P537" s="46"/>
      <c r="Q537" s="46"/>
      <c r="R537" s="57"/>
      <c r="S537" s="7"/>
      <c r="T537" s="54"/>
      <c r="U537" s="58"/>
      <c r="V537" s="47"/>
      <c r="W537" s="18"/>
      <c r="X537" s="46"/>
      <c r="Y537" s="9"/>
      <c r="Z537" s="46"/>
      <c r="AA537" s="7"/>
      <c r="AB537" s="46"/>
      <c r="AC537" s="47"/>
      <c r="AD537" s="7"/>
      <c r="AE537" s="47"/>
      <c r="AF537" s="18"/>
      <c r="AG537" s="26"/>
      <c r="AH537" s="34"/>
      <c r="AI537" s="34"/>
      <c r="AJ537" s="18"/>
      <c r="AK537" s="48"/>
      <c r="AL537" s="26" t="str">
        <f>IFERROR(__xludf.DUMMYFUNCTION("""COMPUTED_VALUE"""),"* VSCFO *")</f>
        <v>* VSCFO *</v>
      </c>
      <c r="AM537" s="59">
        <f>IFERROR(__xludf.DUMMYFUNCTION("""COMPUTED_VALUE"""),128500.0)</f>
        <v>128500</v>
      </c>
    </row>
    <row r="538">
      <c r="A538" s="51"/>
      <c r="B538" s="51"/>
      <c r="C538" s="52"/>
      <c r="D538" s="51"/>
      <c r="E538" s="53"/>
      <c r="F538" s="54"/>
      <c r="G538" s="51"/>
      <c r="H538" s="51"/>
      <c r="I538" s="55"/>
      <c r="J538" s="56"/>
      <c r="K538" s="46"/>
      <c r="L538" s="46"/>
      <c r="M538" s="47"/>
      <c r="N538" s="46"/>
      <c r="O538" s="57"/>
      <c r="P538" s="46"/>
      <c r="Q538" s="46"/>
      <c r="R538" s="57"/>
      <c r="S538" s="7"/>
      <c r="T538" s="54"/>
      <c r="U538" s="58"/>
      <c r="V538" s="47"/>
      <c r="W538" s="18"/>
      <c r="X538" s="46"/>
      <c r="Y538" s="9"/>
      <c r="Z538" s="46"/>
      <c r="AA538" s="7"/>
      <c r="AB538" s="46"/>
      <c r="AC538" s="47"/>
      <c r="AD538" s="7"/>
      <c r="AE538" s="47"/>
      <c r="AF538" s="18"/>
      <c r="AG538" s="26"/>
      <c r="AH538" s="34"/>
      <c r="AI538" s="34"/>
      <c r="AJ538" s="18"/>
      <c r="AK538" s="48"/>
      <c r="AL538" s="26" t="str">
        <f>IFERROR(__xludf.DUMMYFUNCTION("""COMPUTED_VALUE"""),"* VSCIC *")</f>
        <v>* VSCIC *</v>
      </c>
      <c r="AM538" s="59">
        <f>IFERROR(__xludf.DUMMYFUNCTION("""COMPUTED_VALUE"""),100.0)</f>
        <v>100</v>
      </c>
    </row>
    <row r="539">
      <c r="A539" s="51"/>
      <c r="B539" s="51"/>
      <c r="C539" s="52"/>
      <c r="D539" s="51"/>
      <c r="E539" s="53"/>
      <c r="F539" s="54"/>
      <c r="G539" s="51"/>
      <c r="H539" s="51"/>
      <c r="I539" s="55"/>
      <c r="J539" s="56"/>
      <c r="K539" s="46"/>
      <c r="L539" s="46"/>
      <c r="M539" s="47"/>
      <c r="N539" s="46"/>
      <c r="O539" s="57"/>
      <c r="P539" s="46"/>
      <c r="Q539" s="46"/>
      <c r="R539" s="57"/>
      <c r="S539" s="7"/>
      <c r="T539" s="54"/>
      <c r="U539" s="58"/>
      <c r="V539" s="47"/>
      <c r="W539" s="18"/>
      <c r="X539" s="46"/>
      <c r="Y539" s="9"/>
      <c r="Z539" s="46"/>
      <c r="AA539" s="7"/>
      <c r="AB539" s="46"/>
      <c r="AC539" s="47"/>
      <c r="AD539" s="7"/>
      <c r="AE539" s="47"/>
      <c r="AF539" s="18"/>
      <c r="AG539" s="26"/>
      <c r="AH539" s="34"/>
      <c r="AI539" s="34"/>
      <c r="AJ539" s="18"/>
      <c r="AK539" s="48"/>
      <c r="AL539" s="26" t="str">
        <f>IFERROR(__xludf.DUMMYFUNCTION("""COMPUTED_VALUE"""),"* VSCID *")</f>
        <v>* VSCID *</v>
      </c>
      <c r="AM539" s="59">
        <f>IFERROR(__xludf.DUMMYFUNCTION("""COMPUTED_VALUE"""),100.0)</f>
        <v>100</v>
      </c>
    </row>
    <row r="540">
      <c r="A540" s="51"/>
      <c r="B540" s="51"/>
      <c r="C540" s="52"/>
      <c r="D540" s="51"/>
      <c r="E540" s="53"/>
      <c r="F540" s="54"/>
      <c r="G540" s="51"/>
      <c r="H540" s="51"/>
      <c r="I540" s="55"/>
      <c r="J540" s="56"/>
      <c r="K540" s="46"/>
      <c r="L540" s="46"/>
      <c r="M540" s="47"/>
      <c r="N540" s="46"/>
      <c r="O540" s="57"/>
      <c r="P540" s="46"/>
      <c r="Q540" s="46"/>
      <c r="R540" s="57"/>
      <c r="S540" s="7"/>
      <c r="T540" s="54"/>
      <c r="U540" s="58"/>
      <c r="V540" s="47"/>
      <c r="W540" s="18"/>
      <c r="X540" s="46"/>
      <c r="Y540" s="9"/>
      <c r="Z540" s="46"/>
      <c r="AA540" s="7"/>
      <c r="AB540" s="46"/>
      <c r="AC540" s="47"/>
      <c r="AD540" s="7"/>
      <c r="AE540" s="47"/>
      <c r="AF540" s="18"/>
      <c r="AG540" s="26"/>
      <c r="AH540" s="34"/>
      <c r="AI540" s="34"/>
      <c r="AJ540" s="18"/>
      <c r="AK540" s="48"/>
      <c r="AL540" s="26" t="str">
        <f>IFERROR(__xludf.DUMMYFUNCTION("""COMPUTED_VALUE"""),"* VSCIO *")</f>
        <v>* VSCIO *</v>
      </c>
      <c r="AM540" s="59">
        <f>IFERROR(__xludf.DUMMYFUNCTION("""COMPUTED_VALUE"""),139950.0)</f>
        <v>139950</v>
      </c>
    </row>
    <row r="541">
      <c r="A541" s="51"/>
      <c r="B541" s="51"/>
      <c r="C541" s="52"/>
      <c r="D541" s="51"/>
      <c r="E541" s="53"/>
      <c r="F541" s="54"/>
      <c r="G541" s="51"/>
      <c r="H541" s="51"/>
      <c r="I541" s="55"/>
      <c r="J541" s="56"/>
      <c r="K541" s="46"/>
      <c r="L541" s="46"/>
      <c r="M541" s="47"/>
      <c r="N541" s="46"/>
      <c r="O541" s="57"/>
      <c r="P541" s="46"/>
      <c r="Q541" s="46"/>
      <c r="R541" s="57"/>
      <c r="S541" s="7"/>
      <c r="T541" s="54"/>
      <c r="U541" s="58"/>
      <c r="V541" s="47"/>
      <c r="W541" s="18"/>
      <c r="X541" s="46"/>
      <c r="Y541" s="9"/>
      <c r="Z541" s="46"/>
      <c r="AA541" s="7"/>
      <c r="AB541" s="46"/>
      <c r="AC541" s="47"/>
      <c r="AD541" s="7"/>
      <c r="AE541" s="47"/>
      <c r="AF541" s="18"/>
      <c r="AG541" s="26"/>
      <c r="AH541" s="34"/>
      <c r="AI541" s="34"/>
      <c r="AJ541" s="18"/>
      <c r="AK541" s="48"/>
      <c r="AL541" s="26" t="str">
        <f>IFERROR(__xludf.DUMMYFUNCTION("""COMPUTED_VALUE"""),"* VSCND *")</f>
        <v>* VSCND *</v>
      </c>
      <c r="AM541" s="59">
        <f>IFERROR(__xludf.DUMMYFUNCTION("""COMPUTED_VALUE"""),99.0)</f>
        <v>99</v>
      </c>
    </row>
    <row r="542">
      <c r="A542" s="51"/>
      <c r="B542" s="51"/>
      <c r="C542" s="52"/>
      <c r="D542" s="51"/>
      <c r="E542" s="53"/>
      <c r="F542" s="54"/>
      <c r="G542" s="51"/>
      <c r="H542" s="51"/>
      <c r="I542" s="55"/>
      <c r="J542" s="56"/>
      <c r="K542" s="46"/>
      <c r="L542" s="46"/>
      <c r="M542" s="47"/>
      <c r="N542" s="46"/>
      <c r="O542" s="57"/>
      <c r="P542" s="46"/>
      <c r="Q542" s="46"/>
      <c r="R542" s="57"/>
      <c r="S542" s="7"/>
      <c r="T542" s="54"/>
      <c r="U542" s="58"/>
      <c r="V542" s="47"/>
      <c r="W542" s="18"/>
      <c r="X542" s="46"/>
      <c r="Y542" s="9"/>
      <c r="Z542" s="46"/>
      <c r="AA542" s="7"/>
      <c r="AB542" s="46"/>
      <c r="AC542" s="47"/>
      <c r="AD542" s="7"/>
      <c r="AE542" s="47"/>
      <c r="AF542" s="18"/>
      <c r="AG542" s="26"/>
      <c r="AH542" s="34"/>
      <c r="AI542" s="34"/>
      <c r="AJ542" s="18"/>
      <c r="AK542" s="48"/>
      <c r="AL542" s="26" t="str">
        <f>IFERROR(__xludf.DUMMYFUNCTION("""COMPUTED_VALUE"""),"* VSCNO *")</f>
        <v>* VSCNO *</v>
      </c>
      <c r="AM542" s="59">
        <f>IFERROR(__xludf.DUMMYFUNCTION("""COMPUTED_VALUE"""),137000.0)</f>
        <v>137000</v>
      </c>
    </row>
    <row r="543">
      <c r="A543" s="51"/>
      <c r="B543" s="51"/>
      <c r="C543" s="52"/>
      <c r="D543" s="51"/>
      <c r="E543" s="53"/>
      <c r="F543" s="54"/>
      <c r="G543" s="51"/>
      <c r="H543" s="51"/>
      <c r="I543" s="55"/>
      <c r="J543" s="56"/>
      <c r="K543" s="46"/>
      <c r="L543" s="46"/>
      <c r="M543" s="47"/>
      <c r="N543" s="46"/>
      <c r="O543" s="57"/>
      <c r="P543" s="46"/>
      <c r="Q543" s="46"/>
      <c r="R543" s="57"/>
      <c r="S543" s="7"/>
      <c r="T543" s="54"/>
      <c r="U543" s="58"/>
      <c r="V543" s="47"/>
      <c r="W543" s="18"/>
      <c r="X543" s="46"/>
      <c r="Y543" s="9"/>
      <c r="Z543" s="46"/>
      <c r="AA543" s="7"/>
      <c r="AB543" s="46"/>
      <c r="AC543" s="47"/>
      <c r="AD543" s="7"/>
      <c r="AE543" s="47"/>
      <c r="AF543" s="18"/>
      <c r="AG543" s="26"/>
      <c r="AH543" s="34"/>
      <c r="AI543" s="34"/>
      <c r="AJ543" s="18"/>
      <c r="AK543" s="48"/>
      <c r="AL543" s="26" t="str">
        <f>IFERROR(__xludf.DUMMYFUNCTION("""COMPUTED_VALUE"""),"* VSCOD *")</f>
        <v>* VSCOD *</v>
      </c>
      <c r="AM543" s="59">
        <f>IFERROR(__xludf.DUMMYFUNCTION("""COMPUTED_VALUE"""),105.0)</f>
        <v>105</v>
      </c>
    </row>
    <row r="544">
      <c r="A544" s="51"/>
      <c r="B544" s="51"/>
      <c r="C544" s="52"/>
      <c r="D544" s="51"/>
      <c r="E544" s="53"/>
      <c r="F544" s="54"/>
      <c r="G544" s="51"/>
      <c r="H544" s="51"/>
      <c r="I544" s="55"/>
      <c r="J544" s="56"/>
      <c r="K544" s="46"/>
      <c r="L544" s="46"/>
      <c r="M544" s="47"/>
      <c r="N544" s="46"/>
      <c r="O544" s="57"/>
      <c r="P544" s="46"/>
      <c r="Q544" s="46"/>
      <c r="R544" s="57"/>
      <c r="S544" s="7"/>
      <c r="T544" s="54"/>
      <c r="U544" s="58"/>
      <c r="V544" s="47"/>
      <c r="W544" s="18"/>
      <c r="X544" s="46"/>
      <c r="Y544" s="9"/>
      <c r="Z544" s="46"/>
      <c r="AA544" s="7"/>
      <c r="AB544" s="46"/>
      <c r="AC544" s="47"/>
      <c r="AD544" s="7"/>
      <c r="AE544" s="47"/>
      <c r="AF544" s="18"/>
      <c r="AG544" s="26"/>
      <c r="AH544" s="34"/>
      <c r="AI544" s="34"/>
      <c r="AJ544" s="18"/>
      <c r="AK544" s="48"/>
      <c r="AL544" s="26" t="str">
        <f>IFERROR(__xludf.DUMMYFUNCTION("""COMPUTED_VALUE"""),"* VSCOO *")</f>
        <v>* VSCOO *</v>
      </c>
      <c r="AM544" s="59">
        <f>IFERROR(__xludf.DUMMYFUNCTION("""COMPUTED_VALUE"""),158000.0)</f>
        <v>158000</v>
      </c>
    </row>
    <row r="545">
      <c r="A545" s="51"/>
      <c r="B545" s="51"/>
      <c r="C545" s="52"/>
      <c r="D545" s="51"/>
      <c r="E545" s="53"/>
      <c r="F545" s="54"/>
      <c r="G545" s="51"/>
      <c r="H545" s="51"/>
      <c r="I545" s="55"/>
      <c r="J545" s="56"/>
      <c r="K545" s="46"/>
      <c r="L545" s="46"/>
      <c r="M545" s="47"/>
      <c r="N545" s="46"/>
      <c r="O545" s="57"/>
      <c r="P545" s="46"/>
      <c r="Q545" s="46"/>
      <c r="R545" s="57"/>
      <c r="S545" s="7"/>
      <c r="T545" s="54"/>
      <c r="U545" s="58"/>
      <c r="V545" s="47"/>
      <c r="W545" s="18"/>
      <c r="X545" s="46"/>
      <c r="Y545" s="9"/>
      <c r="Z545" s="46"/>
      <c r="AA545" s="7"/>
      <c r="AB545" s="46"/>
      <c r="AC545" s="47"/>
      <c r="AD545" s="7"/>
      <c r="AE545" s="47"/>
      <c r="AF545" s="18"/>
      <c r="AG545" s="26"/>
      <c r="AH545" s="34"/>
      <c r="AI545" s="34"/>
      <c r="AJ545" s="18"/>
      <c r="AK545" s="48"/>
      <c r="AL545" s="26" t="str">
        <f>IFERROR(__xludf.DUMMYFUNCTION("""COMPUTED_VALUE"""),"* VSCPD *")</f>
        <v>* VSCPD *</v>
      </c>
      <c r="AM545" s="59">
        <f>IFERROR(__xludf.DUMMYFUNCTION("""COMPUTED_VALUE"""),105.05)</f>
        <v>105.05</v>
      </c>
    </row>
    <row r="546">
      <c r="A546" s="51"/>
      <c r="B546" s="51"/>
      <c r="C546" s="52"/>
      <c r="D546" s="51"/>
      <c r="E546" s="53"/>
      <c r="F546" s="54"/>
      <c r="G546" s="51"/>
      <c r="H546" s="51"/>
      <c r="I546" s="55"/>
      <c r="J546" s="56"/>
      <c r="K546" s="46"/>
      <c r="L546" s="46"/>
      <c r="M546" s="47"/>
      <c r="N546" s="46"/>
      <c r="O546" s="57"/>
      <c r="P546" s="46"/>
      <c r="Q546" s="46"/>
      <c r="R546" s="57"/>
      <c r="S546" s="7"/>
      <c r="T546" s="54"/>
      <c r="U546" s="58"/>
      <c r="V546" s="47"/>
      <c r="W546" s="18"/>
      <c r="X546" s="46"/>
      <c r="Y546" s="9"/>
      <c r="Z546" s="46"/>
      <c r="AA546" s="7"/>
      <c r="AB546" s="46"/>
      <c r="AC546" s="47"/>
      <c r="AD546" s="7"/>
      <c r="AE546" s="47"/>
      <c r="AF546" s="18"/>
      <c r="AG546" s="26"/>
      <c r="AH546" s="34"/>
      <c r="AI546" s="34"/>
      <c r="AJ546" s="18"/>
      <c r="AK546" s="48"/>
      <c r="AL546" s="26" t="str">
        <f>IFERROR(__xludf.DUMMYFUNCTION("""COMPUTED_VALUE"""),"* VSCPO *")</f>
        <v>* VSCPO *</v>
      </c>
      <c r="AM546" s="59">
        <f>IFERROR(__xludf.DUMMYFUNCTION("""COMPUTED_VALUE"""),153850.0)</f>
        <v>153850</v>
      </c>
    </row>
    <row r="547">
      <c r="A547" s="51"/>
      <c r="B547" s="51"/>
      <c r="C547" s="52"/>
      <c r="D547" s="51"/>
      <c r="E547" s="53"/>
      <c r="F547" s="54"/>
      <c r="G547" s="51"/>
      <c r="H547" s="51"/>
      <c r="I547" s="55"/>
      <c r="J547" s="56"/>
      <c r="K547" s="46"/>
      <c r="L547" s="46"/>
      <c r="M547" s="47"/>
      <c r="N547" s="46"/>
      <c r="O547" s="57"/>
      <c r="P547" s="46"/>
      <c r="Q547" s="46"/>
      <c r="R547" s="57"/>
      <c r="S547" s="7"/>
      <c r="T547" s="54"/>
      <c r="U547" s="58"/>
      <c r="V547" s="47"/>
      <c r="W547" s="18"/>
      <c r="X547" s="46"/>
      <c r="Y547" s="9"/>
      <c r="Z547" s="46"/>
      <c r="AA547" s="7"/>
      <c r="AB547" s="46"/>
      <c r="AC547" s="47"/>
      <c r="AD547" s="7"/>
      <c r="AE547" s="47"/>
      <c r="AF547" s="18"/>
      <c r="AG547" s="26"/>
      <c r="AH547" s="34"/>
      <c r="AI547" s="34"/>
      <c r="AJ547" s="18"/>
      <c r="AK547" s="48"/>
      <c r="AL547" s="26" t="str">
        <f>IFERROR(__xludf.DUMMYFUNCTION("""COMPUTED_VALUE"""),"* VSCQD *")</f>
        <v>* VSCQD *</v>
      </c>
      <c r="AM547" s="59">
        <f>IFERROR(__xludf.DUMMYFUNCTION("""COMPUTED_VALUE"""),74.0)</f>
        <v>74</v>
      </c>
    </row>
    <row r="548">
      <c r="A548" s="51"/>
      <c r="B548" s="51"/>
      <c r="C548" s="52"/>
      <c r="D548" s="51"/>
      <c r="E548" s="53"/>
      <c r="F548" s="54"/>
      <c r="G548" s="51"/>
      <c r="H548" s="51"/>
      <c r="I548" s="55"/>
      <c r="J548" s="56"/>
      <c r="K548" s="46"/>
      <c r="L548" s="46"/>
      <c r="M548" s="47"/>
      <c r="N548" s="46"/>
      <c r="O548" s="57"/>
      <c r="P548" s="46"/>
      <c r="Q548" s="46"/>
      <c r="R548" s="57"/>
      <c r="S548" s="7"/>
      <c r="T548" s="54"/>
      <c r="U548" s="58"/>
      <c r="V548" s="47"/>
      <c r="W548" s="18"/>
      <c r="X548" s="46"/>
      <c r="Y548" s="9"/>
      <c r="Z548" s="46"/>
      <c r="AA548" s="7"/>
      <c r="AB548" s="46"/>
      <c r="AC548" s="47"/>
      <c r="AD548" s="7"/>
      <c r="AE548" s="47"/>
      <c r="AF548" s="18"/>
      <c r="AG548" s="26"/>
      <c r="AH548" s="34"/>
      <c r="AI548" s="34"/>
      <c r="AJ548" s="18"/>
      <c r="AK548" s="48"/>
      <c r="AL548" s="26" t="str">
        <f>IFERROR(__xludf.DUMMYFUNCTION("""COMPUTED_VALUE"""),"* VSCQO *")</f>
        <v>* VSCQO *</v>
      </c>
      <c r="AM548" s="59">
        <f>IFERROR(__xludf.DUMMYFUNCTION("""COMPUTED_VALUE"""),118100.0)</f>
        <v>118100</v>
      </c>
    </row>
    <row r="549">
      <c r="A549" s="51"/>
      <c r="B549" s="51"/>
      <c r="C549" s="52"/>
      <c r="D549" s="51"/>
      <c r="E549" s="53"/>
      <c r="F549" s="54"/>
      <c r="G549" s="51"/>
      <c r="H549" s="51"/>
      <c r="I549" s="55"/>
      <c r="J549" s="56"/>
      <c r="K549" s="46"/>
      <c r="L549" s="46"/>
      <c r="M549" s="47"/>
      <c r="N549" s="46"/>
      <c r="O549" s="57"/>
      <c r="P549" s="46"/>
      <c r="Q549" s="46"/>
      <c r="R549" s="57"/>
      <c r="S549" s="7"/>
      <c r="T549" s="54"/>
      <c r="U549" s="58"/>
      <c r="V549" s="47"/>
      <c r="W549" s="18"/>
      <c r="X549" s="46"/>
      <c r="Y549" s="9"/>
      <c r="Z549" s="46"/>
      <c r="AA549" s="7"/>
      <c r="AB549" s="46"/>
      <c r="AC549" s="47"/>
      <c r="AD549" s="7"/>
      <c r="AE549" s="47"/>
      <c r="AF549" s="18"/>
      <c r="AG549" s="26"/>
      <c r="AH549" s="34"/>
      <c r="AI549" s="34"/>
      <c r="AJ549" s="18"/>
      <c r="AK549" s="48"/>
      <c r="AL549" s="26" t="str">
        <f>IFERROR(__xludf.DUMMYFUNCTION("""COMPUTED_VALUE"""),"* VSCRD *")</f>
        <v>* VSCRD *</v>
      </c>
      <c r="AM549" s="59">
        <f>IFERROR(__xludf.DUMMYFUNCTION("""COMPUTED_VALUE"""),103.65)</f>
        <v>103.65</v>
      </c>
    </row>
    <row r="550">
      <c r="A550" s="51"/>
      <c r="B550" s="51"/>
      <c r="C550" s="52"/>
      <c r="D550" s="51"/>
      <c r="E550" s="53"/>
      <c r="F550" s="54"/>
      <c r="G550" s="51"/>
      <c r="H550" s="51"/>
      <c r="I550" s="55"/>
      <c r="J550" s="56"/>
      <c r="K550" s="46"/>
      <c r="L550" s="46"/>
      <c r="M550" s="47"/>
      <c r="N550" s="46"/>
      <c r="O550" s="57"/>
      <c r="P550" s="46"/>
      <c r="Q550" s="46"/>
      <c r="R550" s="57"/>
      <c r="S550" s="7"/>
      <c r="T550" s="54"/>
      <c r="U550" s="58"/>
      <c r="V550" s="47"/>
      <c r="W550" s="18"/>
      <c r="X550" s="46"/>
      <c r="Y550" s="9"/>
      <c r="Z550" s="46"/>
      <c r="AA550" s="7"/>
      <c r="AB550" s="46"/>
      <c r="AC550" s="47"/>
      <c r="AD550" s="7"/>
      <c r="AE550" s="47"/>
      <c r="AF550" s="18"/>
      <c r="AG550" s="26"/>
      <c r="AH550" s="34"/>
      <c r="AI550" s="34"/>
      <c r="AJ550" s="18"/>
      <c r="AK550" s="48"/>
      <c r="AL550" s="26" t="str">
        <f>IFERROR(__xludf.DUMMYFUNCTION("""COMPUTED_VALUE"""),"* VSCRO *")</f>
        <v>* VSCRO *</v>
      </c>
      <c r="AM550" s="59">
        <f>IFERROR(__xludf.DUMMYFUNCTION("""COMPUTED_VALUE"""),151790.0)</f>
        <v>151790</v>
      </c>
    </row>
    <row r="551">
      <c r="A551" s="51"/>
      <c r="B551" s="51"/>
      <c r="C551" s="52"/>
      <c r="D551" s="51"/>
      <c r="E551" s="53"/>
      <c r="F551" s="54"/>
      <c r="G551" s="51"/>
      <c r="H551" s="51"/>
      <c r="I551" s="55"/>
      <c r="J551" s="56"/>
      <c r="K551" s="46"/>
      <c r="L551" s="46"/>
      <c r="M551" s="47"/>
      <c r="N551" s="46"/>
      <c r="O551" s="57"/>
      <c r="P551" s="46"/>
      <c r="Q551" s="46"/>
      <c r="R551" s="57"/>
      <c r="S551" s="7"/>
      <c r="T551" s="54"/>
      <c r="U551" s="58"/>
      <c r="V551" s="47"/>
      <c r="W551" s="18"/>
      <c r="X551" s="46"/>
      <c r="Y551" s="9"/>
      <c r="Z551" s="46"/>
      <c r="AA551" s="7"/>
      <c r="AB551" s="46"/>
      <c r="AC551" s="47"/>
      <c r="AD551" s="7"/>
      <c r="AE551" s="47"/>
      <c r="AF551" s="18"/>
      <c r="AG551" s="26"/>
      <c r="AH551" s="34"/>
      <c r="AI551" s="34"/>
      <c r="AJ551" s="18"/>
      <c r="AK551" s="48"/>
      <c r="AL551" s="26" t="str">
        <f>IFERROR(__xludf.DUMMYFUNCTION("""COMPUTED_VALUE"""),"* VSCTD *")</f>
        <v>* VSCTD *</v>
      </c>
      <c r="AM551" s="59">
        <f>IFERROR(__xludf.DUMMYFUNCTION("""COMPUTED_VALUE"""),106.0)</f>
        <v>106</v>
      </c>
    </row>
    <row r="552">
      <c r="A552" s="51"/>
      <c r="B552" s="51"/>
      <c r="C552" s="52"/>
      <c r="D552" s="51"/>
      <c r="E552" s="53"/>
      <c r="F552" s="54"/>
      <c r="G552" s="51"/>
      <c r="H552" s="51"/>
      <c r="I552" s="55"/>
      <c r="J552" s="56"/>
      <c r="K552" s="46"/>
      <c r="L552" s="46"/>
      <c r="M552" s="47"/>
      <c r="N552" s="46"/>
      <c r="O552" s="57"/>
      <c r="P552" s="46"/>
      <c r="Q552" s="46"/>
      <c r="R552" s="57"/>
      <c r="S552" s="7"/>
      <c r="T552" s="54"/>
      <c r="U552" s="58"/>
      <c r="V552" s="47"/>
      <c r="W552" s="18"/>
      <c r="X552" s="46"/>
      <c r="Y552" s="9"/>
      <c r="Z552" s="46"/>
      <c r="AA552" s="7"/>
      <c r="AB552" s="46"/>
      <c r="AC552" s="47"/>
      <c r="AD552" s="7"/>
      <c r="AE552" s="47"/>
      <c r="AF552" s="18"/>
      <c r="AG552" s="26"/>
      <c r="AH552" s="34"/>
      <c r="AI552" s="34"/>
      <c r="AJ552" s="18"/>
      <c r="AK552" s="48"/>
      <c r="AL552" s="26" t="str">
        <f>IFERROR(__xludf.DUMMYFUNCTION("""COMPUTED_VALUE"""),"* VSCTO *")</f>
        <v>* VSCTO *</v>
      </c>
      <c r="AM552" s="59">
        <f>IFERROR(__xludf.DUMMYFUNCTION("""COMPUTED_VALUE"""),157150.0)</f>
        <v>157150</v>
      </c>
    </row>
    <row r="553">
      <c r="A553" s="51"/>
      <c r="B553" s="51"/>
      <c r="C553" s="52"/>
      <c r="D553" s="51"/>
      <c r="E553" s="53"/>
      <c r="F553" s="54"/>
      <c r="G553" s="51"/>
      <c r="H553" s="51"/>
      <c r="I553" s="55"/>
      <c r="J553" s="56"/>
      <c r="K553" s="46"/>
      <c r="L553" s="46"/>
      <c r="M553" s="47"/>
      <c r="N553" s="46"/>
      <c r="O553" s="57"/>
      <c r="P553" s="46"/>
      <c r="Q553" s="46"/>
      <c r="R553" s="57"/>
      <c r="S553" s="7"/>
      <c r="T553" s="54"/>
      <c r="U553" s="58"/>
      <c r="V553" s="47"/>
      <c r="W553" s="18"/>
      <c r="X553" s="46"/>
      <c r="Y553" s="9"/>
      <c r="Z553" s="46"/>
      <c r="AA553" s="7"/>
      <c r="AB553" s="46"/>
      <c r="AC553" s="47"/>
      <c r="AD553" s="7"/>
      <c r="AE553" s="47"/>
      <c r="AF553" s="18"/>
      <c r="AG553" s="26"/>
      <c r="AH553" s="34"/>
      <c r="AI553" s="34"/>
      <c r="AJ553" s="18"/>
      <c r="AK553" s="48"/>
      <c r="AL553" s="26" t="str">
        <f>IFERROR(__xludf.DUMMYFUNCTION("""COMPUTED_VALUE"""),"* VSCUC *")</f>
        <v>* VSCUC *</v>
      </c>
      <c r="AM553" s="59">
        <f>IFERROR(__xludf.DUMMYFUNCTION("""COMPUTED_VALUE"""),101.8)</f>
        <v>101.8</v>
      </c>
    </row>
    <row r="554">
      <c r="A554" s="51"/>
      <c r="B554" s="51"/>
      <c r="C554" s="52"/>
      <c r="D554" s="51"/>
      <c r="E554" s="53"/>
      <c r="F554" s="54"/>
      <c r="G554" s="51"/>
      <c r="H554" s="51"/>
      <c r="I554" s="55"/>
      <c r="J554" s="56"/>
      <c r="K554" s="46"/>
      <c r="L554" s="46"/>
      <c r="M554" s="47"/>
      <c r="N554" s="46"/>
      <c r="O554" s="57"/>
      <c r="P554" s="46"/>
      <c r="Q554" s="46"/>
      <c r="R554" s="57"/>
      <c r="S554" s="7"/>
      <c r="T554" s="54"/>
      <c r="U554" s="58"/>
      <c r="V554" s="47"/>
      <c r="W554" s="18"/>
      <c r="X554" s="46"/>
      <c r="Y554" s="9"/>
      <c r="Z554" s="46"/>
      <c r="AA554" s="7"/>
      <c r="AB554" s="46"/>
      <c r="AC554" s="47"/>
      <c r="AD554" s="7"/>
      <c r="AE554" s="47"/>
      <c r="AF554" s="18"/>
      <c r="AG554" s="26"/>
      <c r="AH554" s="34"/>
      <c r="AI554" s="34"/>
      <c r="AJ554" s="18"/>
      <c r="AK554" s="48"/>
      <c r="AL554" s="26" t="str">
        <f>IFERROR(__xludf.DUMMYFUNCTION("""COMPUTED_VALUE"""),"* VSCUD *")</f>
        <v>* VSCUD *</v>
      </c>
      <c r="AM554" s="59">
        <f>IFERROR(__xludf.DUMMYFUNCTION("""COMPUTED_VALUE"""),105.0)</f>
        <v>105</v>
      </c>
    </row>
    <row r="555">
      <c r="A555" s="51"/>
      <c r="B555" s="51"/>
      <c r="C555" s="52"/>
      <c r="D555" s="51"/>
      <c r="E555" s="53"/>
      <c r="F555" s="54"/>
      <c r="G555" s="51"/>
      <c r="H555" s="51"/>
      <c r="I555" s="55"/>
      <c r="J555" s="56"/>
      <c r="K555" s="46"/>
      <c r="L555" s="46"/>
      <c r="M555" s="47"/>
      <c r="N555" s="46"/>
      <c r="O555" s="57"/>
      <c r="P555" s="46"/>
      <c r="Q555" s="46"/>
      <c r="R555" s="57"/>
      <c r="S555" s="7"/>
      <c r="T555" s="54"/>
      <c r="U555" s="58"/>
      <c r="V555" s="47"/>
      <c r="W555" s="18"/>
      <c r="X555" s="46"/>
      <c r="Y555" s="9"/>
      <c r="Z555" s="46"/>
      <c r="AA555" s="7"/>
      <c r="AB555" s="46"/>
      <c r="AC555" s="47"/>
      <c r="AD555" s="7"/>
      <c r="AE555" s="47"/>
      <c r="AF555" s="18"/>
      <c r="AG555" s="26"/>
      <c r="AH555" s="34"/>
      <c r="AI555" s="34"/>
      <c r="AJ555" s="18"/>
      <c r="AK555" s="48"/>
      <c r="AL555" s="26" t="str">
        <f>IFERROR(__xludf.DUMMYFUNCTION("""COMPUTED_VALUE"""),"* VSCUO *")</f>
        <v>* VSCUO *</v>
      </c>
      <c r="AM555" s="59">
        <f>IFERROR(__xludf.DUMMYFUNCTION("""COMPUTED_VALUE"""),159000.0)</f>
        <v>159000</v>
      </c>
    </row>
    <row r="556">
      <c r="A556" s="51"/>
      <c r="B556" s="51"/>
      <c r="C556" s="52"/>
      <c r="D556" s="51"/>
      <c r="E556" s="53"/>
      <c r="F556" s="54"/>
      <c r="G556" s="51"/>
      <c r="H556" s="51"/>
      <c r="I556" s="55"/>
      <c r="J556" s="56"/>
      <c r="K556" s="46"/>
      <c r="L556" s="46"/>
      <c r="M556" s="47"/>
      <c r="N556" s="46"/>
      <c r="O556" s="57"/>
      <c r="P556" s="46"/>
      <c r="Q556" s="46"/>
      <c r="R556" s="57"/>
      <c r="S556" s="7"/>
      <c r="T556" s="54"/>
      <c r="U556" s="58"/>
      <c r="V556" s="47"/>
      <c r="W556" s="18"/>
      <c r="X556" s="46"/>
      <c r="Y556" s="9"/>
      <c r="Z556" s="46"/>
      <c r="AA556" s="7"/>
      <c r="AB556" s="46"/>
      <c r="AC556" s="47"/>
      <c r="AD556" s="7"/>
      <c r="AE556" s="47"/>
      <c r="AF556" s="18"/>
      <c r="AG556" s="26"/>
      <c r="AH556" s="34"/>
      <c r="AI556" s="34"/>
      <c r="AJ556" s="18"/>
      <c r="AK556" s="48"/>
      <c r="AL556" s="26" t="str">
        <f>IFERROR(__xludf.DUMMYFUNCTION("""COMPUTED_VALUE"""),"* VSCVC *")</f>
        <v>* VSCVC *</v>
      </c>
      <c r="AM556" s="59">
        <f>IFERROR(__xludf.DUMMYFUNCTION("""COMPUTED_VALUE"""),105.5)</f>
        <v>105.5</v>
      </c>
    </row>
    <row r="557">
      <c r="A557" s="51"/>
      <c r="B557" s="51"/>
      <c r="C557" s="52"/>
      <c r="D557" s="51"/>
      <c r="E557" s="53"/>
      <c r="F557" s="54"/>
      <c r="G557" s="51"/>
      <c r="H557" s="51"/>
      <c r="I557" s="55"/>
      <c r="J557" s="56"/>
      <c r="K557" s="46"/>
      <c r="L557" s="46"/>
      <c r="M557" s="47"/>
      <c r="N557" s="46"/>
      <c r="O557" s="57"/>
      <c r="P557" s="46"/>
      <c r="Q557" s="46"/>
      <c r="R557" s="57"/>
      <c r="S557" s="7"/>
      <c r="T557" s="54"/>
      <c r="U557" s="58"/>
      <c r="V557" s="47"/>
      <c r="W557" s="18"/>
      <c r="X557" s="46"/>
      <c r="Y557" s="9"/>
      <c r="Z557" s="46"/>
      <c r="AA557" s="7"/>
      <c r="AB557" s="46"/>
      <c r="AC557" s="47"/>
      <c r="AD557" s="7"/>
      <c r="AE557" s="47"/>
      <c r="AF557" s="18"/>
      <c r="AG557" s="26"/>
      <c r="AH557" s="34"/>
      <c r="AI557" s="34"/>
      <c r="AJ557" s="18"/>
      <c r="AK557" s="48"/>
      <c r="AL557" s="26" t="str">
        <f>IFERROR(__xludf.DUMMYFUNCTION("""COMPUTED_VALUE"""),"* VSCVD *")</f>
        <v>* VSCVD *</v>
      </c>
      <c r="AM557" s="59">
        <f>IFERROR(__xludf.DUMMYFUNCTION("""COMPUTED_VALUE"""),109.95)</f>
        <v>109.95</v>
      </c>
    </row>
    <row r="558">
      <c r="A558" s="51"/>
      <c r="B558" s="51"/>
      <c r="C558" s="52"/>
      <c r="D558" s="51"/>
      <c r="E558" s="53"/>
      <c r="F558" s="54"/>
      <c r="G558" s="51"/>
      <c r="H558" s="51"/>
      <c r="I558" s="55"/>
      <c r="J558" s="56"/>
      <c r="K558" s="46"/>
      <c r="L558" s="46"/>
      <c r="M558" s="47"/>
      <c r="N558" s="46"/>
      <c r="O558" s="57"/>
      <c r="P558" s="46"/>
      <c r="Q558" s="46"/>
      <c r="R558" s="57"/>
      <c r="S558" s="7"/>
      <c r="T558" s="54"/>
      <c r="U558" s="58"/>
      <c r="V558" s="47"/>
      <c r="W558" s="18"/>
      <c r="X558" s="46"/>
      <c r="Y558" s="9"/>
      <c r="Z558" s="46"/>
      <c r="AA558" s="7"/>
      <c r="AB558" s="46"/>
      <c r="AC558" s="47"/>
      <c r="AD558" s="7"/>
      <c r="AE558" s="47"/>
      <c r="AF558" s="18"/>
      <c r="AG558" s="26"/>
      <c r="AH558" s="34"/>
      <c r="AI558" s="34"/>
      <c r="AJ558" s="18"/>
      <c r="AK558" s="48"/>
      <c r="AL558" s="26" t="str">
        <f>IFERROR(__xludf.DUMMYFUNCTION("""COMPUTED_VALUE"""),"* VSCVO *")</f>
        <v>* VSCVO *</v>
      </c>
      <c r="AM558" s="59">
        <f>IFERROR(__xludf.DUMMYFUNCTION("""COMPUTED_VALUE"""),162950.0)</f>
        <v>162950</v>
      </c>
    </row>
    <row r="559">
      <c r="A559" s="51"/>
      <c r="B559" s="51"/>
      <c r="C559" s="52"/>
      <c r="D559" s="51"/>
      <c r="E559" s="53"/>
      <c r="F559" s="54"/>
      <c r="G559" s="51"/>
      <c r="H559" s="51"/>
      <c r="I559" s="55"/>
      <c r="J559" s="56"/>
      <c r="K559" s="46"/>
      <c r="L559" s="46"/>
      <c r="M559" s="47"/>
      <c r="N559" s="46"/>
      <c r="O559" s="57"/>
      <c r="P559" s="46"/>
      <c r="Q559" s="46"/>
      <c r="R559" s="57"/>
      <c r="S559" s="7"/>
      <c r="T559" s="54"/>
      <c r="U559" s="58"/>
      <c r="V559" s="47"/>
      <c r="W559" s="18"/>
      <c r="X559" s="46"/>
      <c r="Y559" s="9"/>
      <c r="Z559" s="46"/>
      <c r="AA559" s="7"/>
      <c r="AB559" s="46"/>
      <c r="AC559" s="47"/>
      <c r="AD559" s="7"/>
      <c r="AE559" s="47"/>
      <c r="AF559" s="18"/>
      <c r="AG559" s="26"/>
      <c r="AH559" s="34"/>
      <c r="AI559" s="34"/>
      <c r="AJ559" s="18"/>
      <c r="AK559" s="48"/>
      <c r="AL559" s="26" t="str">
        <f>IFERROR(__xludf.DUMMYFUNCTION("""COMPUTED_VALUE"""),"* VSCWD *")</f>
        <v>* VSCWD *</v>
      </c>
      <c r="AM559" s="59">
        <f>IFERROR(__xludf.DUMMYFUNCTION("""COMPUTED_VALUE"""),100.85)</f>
        <v>100.85</v>
      </c>
    </row>
    <row r="560">
      <c r="A560" s="51"/>
      <c r="B560" s="51"/>
      <c r="C560" s="52"/>
      <c r="D560" s="51"/>
      <c r="E560" s="53"/>
      <c r="F560" s="54"/>
      <c r="G560" s="51"/>
      <c r="H560" s="51"/>
      <c r="I560" s="55"/>
      <c r="J560" s="56"/>
      <c r="K560" s="46"/>
      <c r="L560" s="46"/>
      <c r="M560" s="47"/>
      <c r="N560" s="46"/>
      <c r="O560" s="57"/>
      <c r="P560" s="46"/>
      <c r="Q560" s="46"/>
      <c r="R560" s="57"/>
      <c r="S560" s="7"/>
      <c r="T560" s="54"/>
      <c r="U560" s="58"/>
      <c r="V560" s="47"/>
      <c r="W560" s="18"/>
      <c r="X560" s="46"/>
      <c r="Y560" s="9"/>
      <c r="Z560" s="46"/>
      <c r="AA560" s="7"/>
      <c r="AB560" s="46"/>
      <c r="AC560" s="47"/>
      <c r="AD560" s="7"/>
      <c r="AE560" s="47"/>
      <c r="AF560" s="18"/>
      <c r="AG560" s="26"/>
      <c r="AH560" s="34"/>
      <c r="AI560" s="34"/>
      <c r="AJ560" s="18"/>
      <c r="AK560" s="48"/>
      <c r="AL560" s="26" t="str">
        <f>IFERROR(__xludf.DUMMYFUNCTION("""COMPUTED_VALUE"""),"* VSCWO *")</f>
        <v>* VSCWO *</v>
      </c>
      <c r="AM560" s="59">
        <f>IFERROR(__xludf.DUMMYFUNCTION("""COMPUTED_VALUE"""),149620.0)</f>
        <v>149620</v>
      </c>
    </row>
    <row r="561">
      <c r="A561" s="51"/>
      <c r="B561" s="51"/>
      <c r="C561" s="52"/>
      <c r="D561" s="51"/>
      <c r="E561" s="53"/>
      <c r="F561" s="54"/>
      <c r="G561" s="51"/>
      <c r="H561" s="51"/>
      <c r="I561" s="55"/>
      <c r="J561" s="56"/>
      <c r="K561" s="46"/>
      <c r="L561" s="46"/>
      <c r="M561" s="47"/>
      <c r="N561" s="46"/>
      <c r="O561" s="57"/>
      <c r="P561" s="46"/>
      <c r="Q561" s="46"/>
      <c r="R561" s="57"/>
      <c r="S561" s="7"/>
      <c r="T561" s="54"/>
      <c r="U561" s="58"/>
      <c r="V561" s="47"/>
      <c r="W561" s="18"/>
      <c r="X561" s="46"/>
      <c r="Y561" s="9"/>
      <c r="Z561" s="46"/>
      <c r="AA561" s="7"/>
      <c r="AB561" s="46"/>
      <c r="AC561" s="47"/>
      <c r="AD561" s="7"/>
      <c r="AE561" s="47"/>
      <c r="AF561" s="18"/>
      <c r="AG561" s="26"/>
      <c r="AH561" s="34"/>
      <c r="AI561" s="34"/>
      <c r="AJ561" s="18"/>
      <c r="AK561" s="48"/>
      <c r="AL561" s="26" t="str">
        <f>IFERROR(__xludf.DUMMYFUNCTION("""COMPUTED_VALUE"""),"* WBS1C *")</f>
        <v>* WBS1C *</v>
      </c>
      <c r="AM561" s="59">
        <f>IFERROR(__xludf.DUMMYFUNCTION("""COMPUTED_VALUE"""),100.0)</f>
        <v>100</v>
      </c>
    </row>
    <row r="562">
      <c r="A562" s="51"/>
      <c r="B562" s="51"/>
      <c r="C562" s="52"/>
      <c r="D562" s="51"/>
      <c r="E562" s="53"/>
      <c r="F562" s="54"/>
      <c r="G562" s="51"/>
      <c r="H562" s="51"/>
      <c r="I562" s="55"/>
      <c r="J562" s="56"/>
      <c r="K562" s="46"/>
      <c r="L562" s="46"/>
      <c r="M562" s="47"/>
      <c r="N562" s="46"/>
      <c r="O562" s="57"/>
      <c r="P562" s="46"/>
      <c r="Q562" s="46"/>
      <c r="R562" s="57"/>
      <c r="S562" s="7"/>
      <c r="T562" s="54"/>
      <c r="U562" s="58"/>
      <c r="V562" s="47"/>
      <c r="W562" s="18"/>
      <c r="X562" s="46"/>
      <c r="Y562" s="9"/>
      <c r="Z562" s="46"/>
      <c r="AA562" s="7"/>
      <c r="AB562" s="46"/>
      <c r="AC562" s="47"/>
      <c r="AD562" s="7"/>
      <c r="AE562" s="47"/>
      <c r="AF562" s="18"/>
      <c r="AG562" s="26"/>
      <c r="AH562" s="34"/>
      <c r="AI562" s="34"/>
      <c r="AJ562" s="18"/>
      <c r="AK562" s="48"/>
      <c r="AL562" s="26" t="str">
        <f>IFERROR(__xludf.DUMMYFUNCTION("""COMPUTED_VALUE"""),"* WBS1D *")</f>
        <v>* WBS1D *</v>
      </c>
      <c r="AM562" s="59">
        <f>IFERROR(__xludf.DUMMYFUNCTION("""COMPUTED_VALUE"""),101.5)</f>
        <v>101.5</v>
      </c>
    </row>
    <row r="563">
      <c r="A563" s="51"/>
      <c r="B563" s="51"/>
      <c r="C563" s="52"/>
      <c r="D563" s="51"/>
      <c r="E563" s="53"/>
      <c r="F563" s="54"/>
      <c r="G563" s="51"/>
      <c r="H563" s="51"/>
      <c r="I563" s="55"/>
      <c r="J563" s="56"/>
      <c r="K563" s="46"/>
      <c r="L563" s="46"/>
      <c r="M563" s="47"/>
      <c r="N563" s="46"/>
      <c r="O563" s="57"/>
      <c r="P563" s="46"/>
      <c r="Q563" s="46"/>
      <c r="R563" s="57"/>
      <c r="S563" s="7"/>
      <c r="T563" s="54"/>
      <c r="U563" s="58"/>
      <c r="V563" s="47"/>
      <c r="W563" s="18"/>
      <c r="X563" s="46"/>
      <c r="Y563" s="9"/>
      <c r="Z563" s="46"/>
      <c r="AA563" s="7"/>
      <c r="AB563" s="46"/>
      <c r="AC563" s="47"/>
      <c r="AD563" s="7"/>
      <c r="AE563" s="47"/>
      <c r="AF563" s="18"/>
      <c r="AG563" s="26"/>
      <c r="AH563" s="34"/>
      <c r="AI563" s="34"/>
      <c r="AJ563" s="18"/>
      <c r="AK563" s="48"/>
      <c r="AL563" s="26" t="str">
        <f>IFERROR(__xludf.DUMMYFUNCTION("""COMPUTED_VALUE"""),"* WBS1O *")</f>
        <v>* WBS1O *</v>
      </c>
      <c r="AM563" s="59">
        <f>IFERROR(__xludf.DUMMYFUNCTION("""COMPUTED_VALUE"""),148900.0)</f>
        <v>148900</v>
      </c>
    </row>
    <row r="564">
      <c r="A564" s="51"/>
      <c r="B564" s="51"/>
      <c r="C564" s="52"/>
      <c r="D564" s="51"/>
      <c r="E564" s="53"/>
      <c r="F564" s="54"/>
      <c r="G564" s="51"/>
      <c r="H564" s="51"/>
      <c r="I564" s="55"/>
      <c r="J564" s="56"/>
      <c r="K564" s="46"/>
      <c r="L564" s="46"/>
      <c r="M564" s="47"/>
      <c r="N564" s="46"/>
      <c r="O564" s="57"/>
      <c r="P564" s="46"/>
      <c r="Q564" s="46"/>
      <c r="R564" s="57"/>
      <c r="S564" s="7"/>
      <c r="T564" s="54"/>
      <c r="U564" s="58"/>
      <c r="V564" s="47"/>
      <c r="W564" s="18"/>
      <c r="X564" s="46"/>
      <c r="Y564" s="9"/>
      <c r="Z564" s="46"/>
      <c r="AA564" s="7"/>
      <c r="AB564" s="46"/>
      <c r="AC564" s="47"/>
      <c r="AD564" s="7"/>
      <c r="AE564" s="47"/>
      <c r="AF564" s="18"/>
      <c r="AG564" s="26"/>
      <c r="AH564" s="34"/>
      <c r="AI564" s="34"/>
      <c r="AJ564" s="18"/>
      <c r="AK564" s="48"/>
      <c r="AL564" s="26" t="str">
        <f>IFERROR(__xludf.DUMMYFUNCTION("""COMPUTED_VALUE"""),"* XMC1D *")</f>
        <v>* XMC1D *</v>
      </c>
      <c r="AM564" s="59">
        <f>IFERROR(__xludf.DUMMYFUNCTION("""COMPUTED_VALUE"""),99.7)</f>
        <v>99.7</v>
      </c>
    </row>
    <row r="565">
      <c r="A565" s="51"/>
      <c r="B565" s="51"/>
      <c r="C565" s="52"/>
      <c r="D565" s="51"/>
      <c r="E565" s="53"/>
      <c r="F565" s="54"/>
      <c r="G565" s="51"/>
      <c r="H565" s="51"/>
      <c r="I565" s="55"/>
      <c r="J565" s="56"/>
      <c r="K565" s="46"/>
      <c r="L565" s="46"/>
      <c r="M565" s="47"/>
      <c r="N565" s="46"/>
      <c r="O565" s="57"/>
      <c r="P565" s="46"/>
      <c r="Q565" s="46"/>
      <c r="R565" s="57"/>
      <c r="S565" s="7"/>
      <c r="T565" s="54"/>
      <c r="U565" s="58"/>
      <c r="V565" s="47"/>
      <c r="W565" s="18"/>
      <c r="X565" s="46"/>
      <c r="Y565" s="9"/>
      <c r="Z565" s="46"/>
      <c r="AA565" s="7"/>
      <c r="AB565" s="46"/>
      <c r="AC565" s="47"/>
      <c r="AD565" s="7"/>
      <c r="AE565" s="47"/>
      <c r="AF565" s="18"/>
      <c r="AG565" s="26"/>
      <c r="AH565" s="34"/>
      <c r="AI565" s="34"/>
      <c r="AJ565" s="18"/>
      <c r="AK565" s="48"/>
      <c r="AL565" s="26" t="str">
        <f>IFERROR(__xludf.DUMMYFUNCTION("""COMPUTED_VALUE"""),"* XMC1O *")</f>
        <v>* XMC1O *</v>
      </c>
      <c r="AM565" s="59">
        <f>IFERROR(__xludf.DUMMYFUNCTION("""COMPUTED_VALUE"""),143500.0)</f>
        <v>143500</v>
      </c>
    </row>
    <row r="566">
      <c r="A566" s="51"/>
      <c r="B566" s="51"/>
      <c r="C566" s="52"/>
      <c r="D566" s="51"/>
      <c r="E566" s="53"/>
      <c r="F566" s="54"/>
      <c r="G566" s="51"/>
      <c r="H566" s="51"/>
      <c r="I566" s="55"/>
      <c r="J566" s="56"/>
      <c r="K566" s="46"/>
      <c r="L566" s="46"/>
      <c r="M566" s="47"/>
      <c r="N566" s="46"/>
      <c r="O566" s="57"/>
      <c r="P566" s="46"/>
      <c r="Q566" s="46"/>
      <c r="R566" s="57"/>
      <c r="S566" s="7"/>
      <c r="T566" s="54"/>
      <c r="U566" s="58"/>
      <c r="V566" s="47"/>
      <c r="W566" s="18"/>
      <c r="X566" s="46"/>
      <c r="Y566" s="9"/>
      <c r="Z566" s="46"/>
      <c r="AA566" s="7"/>
      <c r="AB566" s="46"/>
      <c r="AC566" s="47"/>
      <c r="AD566" s="7"/>
      <c r="AE566" s="47"/>
      <c r="AF566" s="18"/>
      <c r="AG566" s="26"/>
      <c r="AH566" s="34"/>
      <c r="AI566" s="34"/>
      <c r="AJ566" s="18"/>
      <c r="AK566" s="48"/>
      <c r="AL566" s="26" t="str">
        <f>IFERROR(__xludf.DUMMYFUNCTION("""COMPUTED_VALUE"""),"* YCAMD *")</f>
        <v>* YCAMD *</v>
      </c>
      <c r="AM566" s="59">
        <f>IFERROR(__xludf.DUMMYFUNCTION("""COMPUTED_VALUE"""),106.45)</f>
        <v>106.45</v>
      </c>
    </row>
    <row r="567">
      <c r="A567" s="51"/>
      <c r="B567" s="51"/>
      <c r="C567" s="52"/>
      <c r="D567" s="51"/>
      <c r="E567" s="53"/>
      <c r="F567" s="54"/>
      <c r="G567" s="51"/>
      <c r="H567" s="51"/>
      <c r="I567" s="55"/>
      <c r="J567" s="56"/>
      <c r="K567" s="46"/>
      <c r="L567" s="46"/>
      <c r="M567" s="47"/>
      <c r="N567" s="46"/>
      <c r="O567" s="57"/>
      <c r="P567" s="46"/>
      <c r="Q567" s="46"/>
      <c r="R567" s="57"/>
      <c r="S567" s="7"/>
      <c r="T567" s="54"/>
      <c r="U567" s="58"/>
      <c r="V567" s="47"/>
      <c r="W567" s="18"/>
      <c r="X567" s="46"/>
      <c r="Y567" s="9"/>
      <c r="Z567" s="46"/>
      <c r="AA567" s="7"/>
      <c r="AB567" s="46"/>
      <c r="AC567" s="47"/>
      <c r="AD567" s="7"/>
      <c r="AE567" s="47"/>
      <c r="AF567" s="18"/>
      <c r="AG567" s="26"/>
      <c r="AH567" s="34"/>
      <c r="AI567" s="34"/>
      <c r="AJ567" s="18"/>
      <c r="AK567" s="48"/>
      <c r="AL567" s="26" t="str">
        <f>IFERROR(__xludf.DUMMYFUNCTION("""COMPUTED_VALUE"""),"* YCAMO *")</f>
        <v>* YCAMO *</v>
      </c>
      <c r="AM567" s="59">
        <f>IFERROR(__xludf.DUMMYFUNCTION("""COMPUTED_VALUE"""),152000.0)</f>
        <v>152000</v>
      </c>
    </row>
    <row r="568">
      <c r="A568" s="51"/>
      <c r="B568" s="51"/>
      <c r="C568" s="52"/>
      <c r="D568" s="51"/>
      <c r="E568" s="53"/>
      <c r="F568" s="54"/>
      <c r="G568" s="51"/>
      <c r="H568" s="51"/>
      <c r="I568" s="55"/>
      <c r="J568" s="56"/>
      <c r="K568" s="46"/>
      <c r="L568" s="46"/>
      <c r="M568" s="47"/>
      <c r="N568" s="46"/>
      <c r="O568" s="57"/>
      <c r="P568" s="46"/>
      <c r="Q568" s="46"/>
      <c r="R568" s="57"/>
      <c r="S568" s="7"/>
      <c r="T568" s="54"/>
      <c r="U568" s="58"/>
      <c r="V568" s="47"/>
      <c r="W568" s="18"/>
      <c r="X568" s="46"/>
      <c r="Y568" s="9"/>
      <c r="Z568" s="46"/>
      <c r="AA568" s="7"/>
      <c r="AB568" s="46"/>
      <c r="AC568" s="47"/>
      <c r="AD568" s="7"/>
      <c r="AE568" s="47"/>
      <c r="AF568" s="18"/>
      <c r="AG568" s="26"/>
      <c r="AH568" s="34"/>
      <c r="AI568" s="34"/>
      <c r="AJ568" s="18"/>
      <c r="AK568" s="48"/>
      <c r="AL568" s="26" t="str">
        <f>IFERROR(__xludf.DUMMYFUNCTION("""COMPUTED_VALUE"""),"* YFCDD *")</f>
        <v>* YFCDD *</v>
      </c>
      <c r="AM568" s="59">
        <f>IFERROR(__xludf.DUMMYFUNCTION("""COMPUTED_VALUE"""),100.0)</f>
        <v>100</v>
      </c>
    </row>
    <row r="569">
      <c r="A569" s="51"/>
      <c r="B569" s="51"/>
      <c r="C569" s="52"/>
      <c r="D569" s="51"/>
      <c r="E569" s="53"/>
      <c r="F569" s="54"/>
      <c r="G569" s="51"/>
      <c r="H569" s="51"/>
      <c r="I569" s="55"/>
      <c r="J569" s="56"/>
      <c r="K569" s="46"/>
      <c r="L569" s="46"/>
      <c r="M569" s="47"/>
      <c r="N569" s="46"/>
      <c r="O569" s="57"/>
      <c r="P569" s="46"/>
      <c r="Q569" s="46"/>
      <c r="R569" s="57"/>
      <c r="S569" s="7"/>
      <c r="T569" s="54"/>
      <c r="U569" s="58"/>
      <c r="V569" s="47"/>
      <c r="W569" s="18"/>
      <c r="X569" s="46"/>
      <c r="Y569" s="9"/>
      <c r="Z569" s="46"/>
      <c r="AA569" s="7"/>
      <c r="AB569" s="46"/>
      <c r="AC569" s="47"/>
      <c r="AD569" s="7"/>
      <c r="AE569" s="47"/>
      <c r="AF569" s="18"/>
      <c r="AG569" s="26"/>
      <c r="AH569" s="34"/>
      <c r="AI569" s="34"/>
      <c r="AJ569" s="18"/>
      <c r="AK569" s="48"/>
      <c r="AL569" s="26" t="str">
        <f>IFERROR(__xludf.DUMMYFUNCTION("""COMPUTED_VALUE"""),"* YFCDO *")</f>
        <v>* YFCDO *</v>
      </c>
      <c r="AM569" s="59">
        <f>IFERROR(__xludf.DUMMYFUNCTION("""COMPUTED_VALUE"""),89000.0)</f>
        <v>89000</v>
      </c>
    </row>
    <row r="570">
      <c r="A570" s="51"/>
      <c r="B570" s="51"/>
      <c r="C570" s="52"/>
      <c r="D570" s="51"/>
      <c r="E570" s="53"/>
      <c r="F570" s="54"/>
      <c r="G570" s="51"/>
      <c r="H570" s="51"/>
      <c r="I570" s="55"/>
      <c r="J570" s="56"/>
      <c r="K570" s="46"/>
      <c r="L570" s="46"/>
      <c r="M570" s="47"/>
      <c r="N570" s="46"/>
      <c r="O570" s="57"/>
      <c r="P570" s="46"/>
      <c r="Q570" s="46"/>
      <c r="R570" s="57"/>
      <c r="S570" s="7"/>
      <c r="T570" s="54"/>
      <c r="U570" s="58"/>
      <c r="V570" s="47"/>
      <c r="W570" s="18"/>
      <c r="X570" s="46"/>
      <c r="Y570" s="9"/>
      <c r="Z570" s="46"/>
      <c r="AA570" s="7"/>
      <c r="AB570" s="46"/>
      <c r="AC570" s="47"/>
      <c r="AD570" s="7"/>
      <c r="AE570" s="47"/>
      <c r="AF570" s="18"/>
      <c r="AG570" s="26"/>
      <c r="AH570" s="34"/>
      <c r="AI570" s="34"/>
      <c r="AJ570" s="18"/>
      <c r="AK570" s="48"/>
      <c r="AL570" s="26" t="str">
        <f>IFERROR(__xludf.DUMMYFUNCTION("""COMPUTED_VALUE"""),"* YFCGD *")</f>
        <v>* YFCGD *</v>
      </c>
      <c r="AM570" s="59">
        <f>IFERROR(__xludf.DUMMYFUNCTION("""COMPUTED_VALUE"""),100.0)</f>
        <v>100</v>
      </c>
    </row>
    <row r="571">
      <c r="A571" s="51"/>
      <c r="B571" s="51"/>
      <c r="C571" s="52"/>
      <c r="D571" s="51"/>
      <c r="E571" s="53"/>
      <c r="F571" s="54"/>
      <c r="G571" s="51"/>
      <c r="H571" s="51"/>
      <c r="I571" s="55"/>
      <c r="J571" s="56"/>
      <c r="K571" s="46"/>
      <c r="L571" s="46"/>
      <c r="M571" s="47"/>
      <c r="N571" s="46"/>
      <c r="O571" s="57"/>
      <c r="P571" s="46"/>
      <c r="Q571" s="46"/>
      <c r="R571" s="57"/>
      <c r="S571" s="7"/>
      <c r="T571" s="54"/>
      <c r="U571" s="58"/>
      <c r="V571" s="47"/>
      <c r="W571" s="18"/>
      <c r="X571" s="46"/>
      <c r="Y571" s="9"/>
      <c r="Z571" s="46"/>
      <c r="AA571" s="7"/>
      <c r="AB571" s="46"/>
      <c r="AC571" s="47"/>
      <c r="AD571" s="7"/>
      <c r="AE571" s="47"/>
      <c r="AF571" s="18"/>
      <c r="AG571" s="26"/>
      <c r="AH571" s="34"/>
      <c r="AI571" s="34"/>
      <c r="AJ571" s="18"/>
      <c r="AK571" s="48"/>
      <c r="AL571" s="26" t="str">
        <f>IFERROR(__xludf.DUMMYFUNCTION("""COMPUTED_VALUE"""),"* YFCGO *")</f>
        <v>* YFCGO *</v>
      </c>
      <c r="AM571" s="59">
        <f>IFERROR(__xludf.DUMMYFUNCTION("""COMPUTED_VALUE"""),152000.0)</f>
        <v>152000</v>
      </c>
    </row>
    <row r="572">
      <c r="A572" s="51"/>
      <c r="B572" s="51"/>
      <c r="C572" s="52"/>
      <c r="D572" s="51"/>
      <c r="E572" s="53"/>
      <c r="F572" s="54"/>
      <c r="G572" s="51"/>
      <c r="H572" s="51"/>
      <c r="I572" s="55"/>
      <c r="J572" s="56"/>
      <c r="K572" s="46"/>
      <c r="L572" s="46"/>
      <c r="M572" s="47"/>
      <c r="N572" s="46"/>
      <c r="O572" s="57"/>
      <c r="P572" s="46"/>
      <c r="Q572" s="46"/>
      <c r="R572" s="57"/>
      <c r="S572" s="7"/>
      <c r="T572" s="54"/>
      <c r="U572" s="58"/>
      <c r="V572" s="47"/>
      <c r="W572" s="18"/>
      <c r="X572" s="46"/>
      <c r="Y572" s="9"/>
      <c r="Z572" s="46"/>
      <c r="AA572" s="7"/>
      <c r="AB572" s="46"/>
      <c r="AC572" s="47"/>
      <c r="AD572" s="7"/>
      <c r="AE572" s="47"/>
      <c r="AF572" s="18"/>
      <c r="AG572" s="26"/>
      <c r="AH572" s="34"/>
      <c r="AI572" s="34"/>
      <c r="AJ572" s="18"/>
      <c r="AK572" s="48"/>
      <c r="AL572" s="26" t="str">
        <f>IFERROR(__xludf.DUMMYFUNCTION("""COMPUTED_VALUE"""),"* YFCHD *")</f>
        <v>* YFCHD *</v>
      </c>
      <c r="AM572" s="59">
        <f>IFERROR(__xludf.DUMMYFUNCTION("""COMPUTED_VALUE"""),93.01)</f>
        <v>93.01</v>
      </c>
    </row>
    <row r="573">
      <c r="A573" s="51"/>
      <c r="B573" s="51"/>
      <c r="C573" s="52"/>
      <c r="D573" s="51"/>
      <c r="E573" s="53"/>
      <c r="F573" s="54"/>
      <c r="G573" s="51"/>
      <c r="H573" s="51"/>
      <c r="I573" s="55"/>
      <c r="J573" s="56"/>
      <c r="K573" s="46"/>
      <c r="L573" s="46"/>
      <c r="M573" s="47"/>
      <c r="N573" s="46"/>
      <c r="O573" s="57"/>
      <c r="P573" s="46"/>
      <c r="Q573" s="46"/>
      <c r="R573" s="57"/>
      <c r="S573" s="7"/>
      <c r="T573" s="54"/>
      <c r="U573" s="58"/>
      <c r="V573" s="47"/>
      <c r="W573" s="18"/>
      <c r="X573" s="46"/>
      <c r="Y573" s="9"/>
      <c r="Z573" s="46"/>
      <c r="AA573" s="7"/>
      <c r="AB573" s="46"/>
      <c r="AC573" s="47"/>
      <c r="AD573" s="7"/>
      <c r="AE573" s="47"/>
      <c r="AF573" s="18"/>
      <c r="AG573" s="26"/>
      <c r="AH573" s="34"/>
      <c r="AI573" s="34"/>
      <c r="AJ573" s="18"/>
      <c r="AK573" s="48"/>
      <c r="AL573" s="26" t="str">
        <f>IFERROR(__xludf.DUMMYFUNCTION("""COMPUTED_VALUE"""),"* YFCHO *")</f>
        <v>* YFCHO *</v>
      </c>
      <c r="AM573" s="59">
        <f>IFERROR(__xludf.DUMMYFUNCTION("""COMPUTED_VALUE"""),139000.0)</f>
        <v>139000</v>
      </c>
    </row>
    <row r="574">
      <c r="A574" s="51"/>
      <c r="B574" s="51"/>
      <c r="C574" s="52"/>
      <c r="D574" s="51"/>
      <c r="E574" s="53"/>
      <c r="F574" s="54"/>
      <c r="G574" s="51"/>
      <c r="H574" s="51"/>
      <c r="I574" s="55"/>
      <c r="J574" s="56"/>
      <c r="K574" s="46"/>
      <c r="L574" s="46"/>
      <c r="M574" s="47"/>
      <c r="N574" s="46"/>
      <c r="O574" s="57"/>
      <c r="P574" s="46"/>
      <c r="Q574" s="46"/>
      <c r="R574" s="57"/>
      <c r="S574" s="7"/>
      <c r="T574" s="54"/>
      <c r="U574" s="58"/>
      <c r="V574" s="47"/>
      <c r="W574" s="18"/>
      <c r="X574" s="46"/>
      <c r="Y574" s="9"/>
      <c r="Z574" s="46"/>
      <c r="AA574" s="7"/>
      <c r="AB574" s="46"/>
      <c r="AC574" s="47"/>
      <c r="AD574" s="7"/>
      <c r="AE574" s="47"/>
      <c r="AF574" s="18"/>
      <c r="AG574" s="26"/>
      <c r="AH574" s="34"/>
      <c r="AI574" s="34"/>
      <c r="AJ574" s="18"/>
      <c r="AK574" s="48"/>
      <c r="AL574" s="26" t="str">
        <f>IFERROR(__xludf.DUMMYFUNCTION("""COMPUTED_VALUE"""),"* YFCID *")</f>
        <v>* YFCID *</v>
      </c>
      <c r="AM574" s="59">
        <f>IFERROR(__xludf.DUMMYFUNCTION("""COMPUTED_VALUE"""),99.65)</f>
        <v>99.65</v>
      </c>
    </row>
    <row r="575">
      <c r="A575" s="51"/>
      <c r="B575" s="51"/>
      <c r="C575" s="52"/>
      <c r="D575" s="51"/>
      <c r="E575" s="53"/>
      <c r="F575" s="54"/>
      <c r="G575" s="51"/>
      <c r="H575" s="51"/>
      <c r="I575" s="55"/>
      <c r="J575" s="56"/>
      <c r="K575" s="46"/>
      <c r="L575" s="46"/>
      <c r="M575" s="47"/>
      <c r="N575" s="46"/>
      <c r="O575" s="57"/>
      <c r="P575" s="46"/>
      <c r="Q575" s="46"/>
      <c r="R575" s="57"/>
      <c r="S575" s="7"/>
      <c r="T575" s="54"/>
      <c r="U575" s="58"/>
      <c r="V575" s="47"/>
      <c r="W575" s="18"/>
      <c r="X575" s="46"/>
      <c r="Y575" s="9"/>
      <c r="Z575" s="46"/>
      <c r="AA575" s="7"/>
      <c r="AB575" s="46"/>
      <c r="AC575" s="47"/>
      <c r="AD575" s="7"/>
      <c r="AE575" s="47"/>
      <c r="AF575" s="18"/>
      <c r="AG575" s="26"/>
      <c r="AH575" s="34"/>
      <c r="AI575" s="34"/>
      <c r="AJ575" s="18"/>
      <c r="AK575" s="48"/>
      <c r="AL575" s="26" t="str">
        <f>IFERROR(__xludf.DUMMYFUNCTION("""COMPUTED_VALUE"""),"* YFCIO *")</f>
        <v>* YFCIO *</v>
      </c>
      <c r="AM575" s="59">
        <f>IFERROR(__xludf.DUMMYFUNCTION("""COMPUTED_VALUE"""),146110.0)</f>
        <v>146110</v>
      </c>
    </row>
    <row r="576">
      <c r="A576" s="51"/>
      <c r="B576" s="51"/>
      <c r="C576" s="52"/>
      <c r="D576" s="51"/>
      <c r="E576" s="53"/>
      <c r="F576" s="54"/>
      <c r="G576" s="51"/>
      <c r="H576" s="51"/>
      <c r="I576" s="55"/>
      <c r="J576" s="56"/>
      <c r="K576" s="46"/>
      <c r="L576" s="46"/>
      <c r="M576" s="47"/>
      <c r="N576" s="46"/>
      <c r="O576" s="57"/>
      <c r="P576" s="46"/>
      <c r="Q576" s="46"/>
      <c r="R576" s="57"/>
      <c r="S576" s="7"/>
      <c r="T576" s="54"/>
      <c r="U576" s="58"/>
      <c r="V576" s="47"/>
      <c r="W576" s="18"/>
      <c r="X576" s="46"/>
      <c r="Y576" s="9"/>
      <c r="Z576" s="46"/>
      <c r="AA576" s="7"/>
      <c r="AB576" s="46"/>
      <c r="AC576" s="47"/>
      <c r="AD576" s="7"/>
      <c r="AE576" s="47"/>
      <c r="AF576" s="18"/>
      <c r="AG576" s="26"/>
      <c r="AH576" s="34"/>
      <c r="AI576" s="34"/>
      <c r="AJ576" s="18"/>
      <c r="AK576" s="48"/>
      <c r="AL576" s="26" t="str">
        <f>IFERROR(__xludf.DUMMYFUNCTION("""COMPUTED_VALUE"""),"* YFCJD *")</f>
        <v>* YFCJD *</v>
      </c>
      <c r="AM576" s="59">
        <f>IFERROR(__xludf.DUMMYFUNCTION("""COMPUTED_VALUE"""),103.7)</f>
        <v>103.7</v>
      </c>
    </row>
    <row r="577">
      <c r="A577" s="51"/>
      <c r="B577" s="51"/>
      <c r="C577" s="52"/>
      <c r="D577" s="51"/>
      <c r="E577" s="53"/>
      <c r="F577" s="54"/>
      <c r="G577" s="51"/>
      <c r="H577" s="51"/>
      <c r="I577" s="55"/>
      <c r="J577" s="56"/>
      <c r="K577" s="46"/>
      <c r="L577" s="46"/>
      <c r="M577" s="47"/>
      <c r="N577" s="46"/>
      <c r="O577" s="57"/>
      <c r="P577" s="46"/>
      <c r="Q577" s="46"/>
      <c r="R577" s="57"/>
      <c r="S577" s="7"/>
      <c r="T577" s="54"/>
      <c r="U577" s="58"/>
      <c r="V577" s="47"/>
      <c r="W577" s="18"/>
      <c r="X577" s="46"/>
      <c r="Y577" s="9"/>
      <c r="Z577" s="46"/>
      <c r="AA577" s="7"/>
      <c r="AB577" s="46"/>
      <c r="AC577" s="47"/>
      <c r="AD577" s="7"/>
      <c r="AE577" s="47"/>
      <c r="AF577" s="18"/>
      <c r="AG577" s="26"/>
      <c r="AH577" s="34"/>
      <c r="AI577" s="34"/>
      <c r="AJ577" s="18"/>
      <c r="AK577" s="48"/>
      <c r="AL577" s="26" t="str">
        <f>IFERROR(__xludf.DUMMYFUNCTION("""COMPUTED_VALUE"""),"* YFCJO *")</f>
        <v>* YFCJO *</v>
      </c>
      <c r="AM577" s="59">
        <f>IFERROR(__xludf.DUMMYFUNCTION("""COMPUTED_VALUE"""),151190.0)</f>
        <v>151190</v>
      </c>
    </row>
    <row r="578">
      <c r="A578" s="51"/>
      <c r="B578" s="51"/>
      <c r="C578" s="52"/>
      <c r="D578" s="51"/>
      <c r="E578" s="53"/>
      <c r="F578" s="54"/>
      <c r="G578" s="51"/>
      <c r="H578" s="51"/>
      <c r="I578" s="55"/>
      <c r="J578" s="56"/>
      <c r="K578" s="46"/>
      <c r="L578" s="46"/>
      <c r="M578" s="47"/>
      <c r="N578" s="46"/>
      <c r="O578" s="57"/>
      <c r="P578" s="46"/>
      <c r="Q578" s="46"/>
      <c r="R578" s="57"/>
      <c r="S578" s="7"/>
      <c r="T578" s="54"/>
      <c r="U578" s="58"/>
      <c r="V578" s="47"/>
      <c r="W578" s="18"/>
      <c r="X578" s="46"/>
      <c r="Y578" s="9"/>
      <c r="Z578" s="46"/>
      <c r="AA578" s="7"/>
      <c r="AB578" s="46"/>
      <c r="AC578" s="47"/>
      <c r="AD578" s="7"/>
      <c r="AE578" s="47"/>
      <c r="AF578" s="18"/>
      <c r="AG578" s="26"/>
      <c r="AH578" s="34"/>
      <c r="AI578" s="34"/>
      <c r="AJ578" s="18"/>
      <c r="AK578" s="48"/>
      <c r="AL578" s="26" t="str">
        <f>IFERROR(__xludf.DUMMYFUNCTION("""COMPUTED_VALUE"""),"* YFCKD *")</f>
        <v>* YFCKD *</v>
      </c>
      <c r="AM578" s="59">
        <f>IFERROR(__xludf.DUMMYFUNCTION("""COMPUTED_VALUE"""),98.65)</f>
        <v>98.65</v>
      </c>
    </row>
    <row r="579">
      <c r="A579" s="51"/>
      <c r="B579" s="51"/>
      <c r="C579" s="52"/>
      <c r="D579" s="51"/>
      <c r="E579" s="53"/>
      <c r="F579" s="54"/>
      <c r="G579" s="51"/>
      <c r="H579" s="51"/>
      <c r="I579" s="55"/>
      <c r="J579" s="56"/>
      <c r="K579" s="46"/>
      <c r="L579" s="46"/>
      <c r="M579" s="47"/>
      <c r="N579" s="46"/>
      <c r="O579" s="57"/>
      <c r="P579" s="46"/>
      <c r="Q579" s="46"/>
      <c r="R579" s="57"/>
      <c r="S579" s="7"/>
      <c r="T579" s="54"/>
      <c r="U579" s="58"/>
      <c r="V579" s="47"/>
      <c r="W579" s="18"/>
      <c r="X579" s="46"/>
      <c r="Y579" s="9"/>
      <c r="Z579" s="46"/>
      <c r="AA579" s="7"/>
      <c r="AB579" s="46"/>
      <c r="AC579" s="47"/>
      <c r="AD579" s="7"/>
      <c r="AE579" s="47"/>
      <c r="AF579" s="18"/>
      <c r="AG579" s="26"/>
      <c r="AH579" s="34"/>
      <c r="AI579" s="34"/>
      <c r="AJ579" s="18"/>
      <c r="AK579" s="48"/>
      <c r="AL579" s="26" t="str">
        <f>IFERROR(__xludf.DUMMYFUNCTION("""COMPUTED_VALUE"""),"* YFCKO *")</f>
        <v>* YFCKO *</v>
      </c>
      <c r="AM579" s="59">
        <f>IFERROR(__xludf.DUMMYFUNCTION("""COMPUTED_VALUE"""),146000.0)</f>
        <v>146000</v>
      </c>
    </row>
    <row r="580">
      <c r="A580" s="51"/>
      <c r="B580" s="51"/>
      <c r="C580" s="52"/>
      <c r="D580" s="51"/>
      <c r="E580" s="53"/>
      <c r="F580" s="54"/>
      <c r="G580" s="51"/>
      <c r="H580" s="51"/>
      <c r="I580" s="55"/>
      <c r="J580" s="56"/>
      <c r="K580" s="46"/>
      <c r="L580" s="46"/>
      <c r="M580" s="47"/>
      <c r="N580" s="46"/>
      <c r="O580" s="57"/>
      <c r="P580" s="46"/>
      <c r="Q580" s="46"/>
      <c r="R580" s="57"/>
      <c r="S580" s="7"/>
      <c r="T580" s="54"/>
      <c r="U580" s="58"/>
      <c r="V580" s="47"/>
      <c r="W580" s="18"/>
      <c r="X580" s="46"/>
      <c r="Y580" s="9"/>
      <c r="Z580" s="46"/>
      <c r="AA580" s="7"/>
      <c r="AB580" s="46"/>
      <c r="AC580" s="47"/>
      <c r="AD580" s="7"/>
      <c r="AE580" s="47"/>
      <c r="AF580" s="18"/>
      <c r="AG580" s="26"/>
      <c r="AH580" s="34"/>
      <c r="AI580" s="34"/>
      <c r="AJ580" s="18"/>
      <c r="AK580" s="48"/>
      <c r="AL580" s="26" t="str">
        <f>IFERROR(__xludf.DUMMYFUNCTION("""COMPUTED_VALUE"""),"* YFCLD *")</f>
        <v>* YFCLD *</v>
      </c>
      <c r="AM580" s="59">
        <f>IFERROR(__xludf.DUMMYFUNCTION("""COMPUTED_VALUE"""),100.1)</f>
        <v>100.1</v>
      </c>
    </row>
    <row r="581">
      <c r="A581" s="51"/>
      <c r="B581" s="51"/>
      <c r="C581" s="52"/>
      <c r="D581" s="51"/>
      <c r="E581" s="53"/>
      <c r="F581" s="54"/>
      <c r="G581" s="51"/>
      <c r="H581" s="51"/>
      <c r="I581" s="55"/>
      <c r="J581" s="56"/>
      <c r="K581" s="46"/>
      <c r="L581" s="46"/>
      <c r="M581" s="47"/>
      <c r="N581" s="46"/>
      <c r="O581" s="57"/>
      <c r="P581" s="46"/>
      <c r="Q581" s="46"/>
      <c r="R581" s="57"/>
      <c r="S581" s="7"/>
      <c r="T581" s="54"/>
      <c r="U581" s="58"/>
      <c r="V581" s="47"/>
      <c r="W581" s="18"/>
      <c r="X581" s="46"/>
      <c r="Y581" s="9"/>
      <c r="Z581" s="46"/>
      <c r="AA581" s="7"/>
      <c r="AB581" s="46"/>
      <c r="AC581" s="47"/>
      <c r="AD581" s="7"/>
      <c r="AE581" s="47"/>
      <c r="AF581" s="18"/>
      <c r="AG581" s="26"/>
      <c r="AH581" s="34"/>
      <c r="AI581" s="34"/>
      <c r="AJ581" s="18"/>
      <c r="AK581" s="48"/>
      <c r="AL581" s="26" t="str">
        <f>IFERROR(__xludf.DUMMYFUNCTION("""COMPUTED_VALUE"""),"* YFCLO *")</f>
        <v>* YFCLO *</v>
      </c>
      <c r="AM581" s="59">
        <f>IFERROR(__xludf.DUMMYFUNCTION("""COMPUTED_VALUE"""),147010.0)</f>
        <v>147010</v>
      </c>
    </row>
    <row r="582">
      <c r="A582" s="51"/>
      <c r="B582" s="51"/>
      <c r="C582" s="52"/>
      <c r="D582" s="51"/>
      <c r="E582" s="53"/>
      <c r="F582" s="54"/>
      <c r="G582" s="51"/>
      <c r="H582" s="51"/>
      <c r="I582" s="55"/>
      <c r="J582" s="56"/>
      <c r="K582" s="46"/>
      <c r="L582" s="46"/>
      <c r="M582" s="47"/>
      <c r="N582" s="46"/>
      <c r="O582" s="57"/>
      <c r="P582" s="46"/>
      <c r="Q582" s="46"/>
      <c r="R582" s="57"/>
      <c r="S582" s="7"/>
      <c r="T582" s="54"/>
      <c r="U582" s="58"/>
      <c r="V582" s="47"/>
      <c r="W582" s="18"/>
      <c r="X582" s="46"/>
      <c r="Y582" s="9"/>
      <c r="Z582" s="46"/>
      <c r="AA582" s="7"/>
      <c r="AB582" s="46"/>
      <c r="AC582" s="47"/>
      <c r="AD582" s="7"/>
      <c r="AE582" s="47"/>
      <c r="AF582" s="18"/>
      <c r="AG582" s="26"/>
      <c r="AH582" s="34"/>
      <c r="AI582" s="34"/>
      <c r="AJ582" s="18"/>
      <c r="AK582" s="48"/>
      <c r="AL582" s="26" t="str">
        <f>IFERROR(__xludf.DUMMYFUNCTION("""COMPUTED_VALUE"""),"* YFCMD *")</f>
        <v>* YFCMD *</v>
      </c>
      <c r="AM582" s="59">
        <f>IFERROR(__xludf.DUMMYFUNCTION("""COMPUTED_VALUE"""),104.0)</f>
        <v>104</v>
      </c>
    </row>
    <row r="583">
      <c r="A583" s="51"/>
      <c r="B583" s="51"/>
      <c r="C583" s="52"/>
      <c r="D583" s="51"/>
      <c r="E583" s="53"/>
      <c r="F583" s="54"/>
      <c r="G583" s="51"/>
      <c r="H583" s="51"/>
      <c r="I583" s="55"/>
      <c r="J583" s="56"/>
      <c r="K583" s="46"/>
      <c r="L583" s="46"/>
      <c r="M583" s="47"/>
      <c r="N583" s="46"/>
      <c r="O583" s="57"/>
      <c r="P583" s="46"/>
      <c r="Q583" s="46"/>
      <c r="R583" s="57"/>
      <c r="S583" s="7"/>
      <c r="T583" s="54"/>
      <c r="U583" s="58"/>
      <c r="V583" s="47"/>
      <c r="W583" s="18"/>
      <c r="X583" s="46"/>
      <c r="Y583" s="9"/>
      <c r="Z583" s="46"/>
      <c r="AA583" s="7"/>
      <c r="AB583" s="46"/>
      <c r="AC583" s="47"/>
      <c r="AD583" s="7"/>
      <c r="AE583" s="47"/>
      <c r="AF583" s="18"/>
      <c r="AG583" s="26"/>
      <c r="AH583" s="34"/>
      <c r="AI583" s="34"/>
      <c r="AJ583" s="18"/>
      <c r="AK583" s="48"/>
      <c r="AL583" s="26" t="str">
        <f>IFERROR(__xludf.DUMMYFUNCTION("""COMPUTED_VALUE"""),"* YFCMO *")</f>
        <v>* YFCMO *</v>
      </c>
      <c r="AM583" s="59">
        <f>IFERROR(__xludf.DUMMYFUNCTION("""COMPUTED_VALUE"""),150000.0)</f>
        <v>150000</v>
      </c>
    </row>
    <row r="584">
      <c r="A584" s="51"/>
      <c r="B584" s="51"/>
      <c r="C584" s="52"/>
      <c r="D584" s="51"/>
      <c r="E584" s="53"/>
      <c r="F584" s="54"/>
      <c r="G584" s="51"/>
      <c r="H584" s="51"/>
      <c r="I584" s="55"/>
      <c r="J584" s="56"/>
      <c r="K584" s="46"/>
      <c r="L584" s="46"/>
      <c r="M584" s="47"/>
      <c r="N584" s="46"/>
      <c r="O584" s="57"/>
      <c r="P584" s="46"/>
      <c r="Q584" s="46"/>
      <c r="R584" s="57"/>
      <c r="S584" s="7"/>
      <c r="T584" s="54"/>
      <c r="U584" s="58"/>
      <c r="V584" s="47"/>
      <c r="W584" s="18"/>
      <c r="X584" s="46"/>
      <c r="Y584" s="9"/>
      <c r="Z584" s="46"/>
      <c r="AA584" s="7"/>
      <c r="AB584" s="46"/>
      <c r="AC584" s="47"/>
      <c r="AD584" s="7"/>
      <c r="AE584" s="47"/>
      <c r="AF584" s="18"/>
      <c r="AG584" s="26"/>
      <c r="AH584" s="34"/>
      <c r="AI584" s="34"/>
      <c r="AJ584" s="18"/>
      <c r="AK584" s="48"/>
      <c r="AL584" s="26" t="str">
        <f>IFERROR(__xludf.DUMMYFUNCTION("""COMPUTED_VALUE"""),"* YFCNC *")</f>
        <v>* YFCNC *</v>
      </c>
      <c r="AM584" s="59">
        <f>IFERROR(__xludf.DUMMYFUNCTION("""COMPUTED_VALUE"""),100.0)</f>
        <v>100</v>
      </c>
    </row>
    <row r="585">
      <c r="A585" s="51"/>
      <c r="B585" s="51"/>
      <c r="C585" s="52"/>
      <c r="D585" s="51"/>
      <c r="E585" s="53"/>
      <c r="F585" s="54"/>
      <c r="G585" s="51"/>
      <c r="H585" s="51"/>
      <c r="I585" s="55"/>
      <c r="J585" s="56"/>
      <c r="K585" s="46"/>
      <c r="L585" s="46"/>
      <c r="M585" s="47"/>
      <c r="N585" s="46"/>
      <c r="O585" s="57"/>
      <c r="P585" s="46"/>
      <c r="Q585" s="46"/>
      <c r="R585" s="57"/>
      <c r="S585" s="7"/>
      <c r="T585" s="54"/>
      <c r="U585" s="58"/>
      <c r="V585" s="47"/>
      <c r="W585" s="18"/>
      <c r="X585" s="46"/>
      <c r="Y585" s="9"/>
      <c r="Z585" s="46"/>
      <c r="AA585" s="7"/>
      <c r="AB585" s="46"/>
      <c r="AC585" s="47"/>
      <c r="AD585" s="7"/>
      <c r="AE585" s="47"/>
      <c r="AF585" s="18"/>
      <c r="AG585" s="26"/>
      <c r="AH585" s="34"/>
      <c r="AI585" s="34"/>
      <c r="AJ585" s="18"/>
      <c r="AK585" s="48"/>
      <c r="AL585" s="26" t="str">
        <f>IFERROR(__xludf.DUMMYFUNCTION("""COMPUTED_VALUE"""),"* YFCND *")</f>
        <v>* YFCND *</v>
      </c>
      <c r="AM585" s="59">
        <f>IFERROR(__xludf.DUMMYFUNCTION("""COMPUTED_VALUE"""),100.55)</f>
        <v>100.55</v>
      </c>
    </row>
    <row r="586">
      <c r="A586" s="51"/>
      <c r="B586" s="51"/>
      <c r="C586" s="52"/>
      <c r="D586" s="51"/>
      <c r="E586" s="53"/>
      <c r="F586" s="54"/>
      <c r="G586" s="51"/>
      <c r="H586" s="51"/>
      <c r="I586" s="55"/>
      <c r="J586" s="56"/>
      <c r="K586" s="46"/>
      <c r="L586" s="46"/>
      <c r="M586" s="47"/>
      <c r="N586" s="46"/>
      <c r="O586" s="57"/>
      <c r="P586" s="46"/>
      <c r="Q586" s="46"/>
      <c r="R586" s="57"/>
      <c r="S586" s="7"/>
      <c r="T586" s="54"/>
      <c r="U586" s="58"/>
      <c r="V586" s="47"/>
      <c r="W586" s="18"/>
      <c r="X586" s="46"/>
      <c r="Y586" s="9"/>
      <c r="Z586" s="46"/>
      <c r="AA586" s="7"/>
      <c r="AB586" s="46"/>
      <c r="AC586" s="47"/>
      <c r="AD586" s="7"/>
      <c r="AE586" s="47"/>
      <c r="AF586" s="18"/>
      <c r="AG586" s="26"/>
      <c r="AH586" s="34"/>
      <c r="AI586" s="34"/>
      <c r="AJ586" s="18"/>
      <c r="AK586" s="48"/>
      <c r="AL586" s="26" t="str">
        <f>IFERROR(__xludf.DUMMYFUNCTION("""COMPUTED_VALUE"""),"* YFCNO *")</f>
        <v>* YFCNO *</v>
      </c>
      <c r="AM586" s="59">
        <f>IFERROR(__xludf.DUMMYFUNCTION("""COMPUTED_VALUE"""),143510.0)</f>
        <v>143510</v>
      </c>
    </row>
    <row r="587">
      <c r="A587" s="51"/>
      <c r="B587" s="51"/>
      <c r="C587" s="52"/>
      <c r="D587" s="51"/>
      <c r="E587" s="53"/>
      <c r="F587" s="54"/>
      <c r="G587" s="51"/>
      <c r="H587" s="51"/>
      <c r="I587" s="55"/>
      <c r="J587" s="56"/>
      <c r="K587" s="46"/>
      <c r="L587" s="46"/>
      <c r="M587" s="47"/>
      <c r="N587" s="46"/>
      <c r="O587" s="57"/>
      <c r="P587" s="46"/>
      <c r="Q587" s="46"/>
      <c r="R587" s="57"/>
      <c r="S587" s="7"/>
      <c r="T587" s="54"/>
      <c r="U587" s="58"/>
      <c r="V587" s="47"/>
      <c r="W587" s="18"/>
      <c r="X587" s="46"/>
      <c r="Y587" s="9"/>
      <c r="Z587" s="46"/>
      <c r="AA587" s="7"/>
      <c r="AB587" s="46"/>
      <c r="AC587" s="47"/>
      <c r="AD587" s="7"/>
      <c r="AE587" s="47"/>
      <c r="AF587" s="18"/>
      <c r="AG587" s="26"/>
      <c r="AH587" s="34"/>
      <c r="AI587" s="34"/>
      <c r="AJ587" s="18"/>
      <c r="AK587" s="48"/>
      <c r="AL587" s="26" t="str">
        <f>IFERROR(__xludf.DUMMYFUNCTION("""COMPUTED_VALUE"""),"* YM1XC *")</f>
        <v>* YM1XC *</v>
      </c>
      <c r="AM587" s="59">
        <f>IFERROR(__xludf.DUMMYFUNCTION("""COMPUTED_VALUE"""),104.05)</f>
        <v>104.05</v>
      </c>
    </row>
    <row r="588">
      <c r="A588" s="51"/>
      <c r="B588" s="51"/>
      <c r="C588" s="52"/>
      <c r="D588" s="51"/>
      <c r="E588" s="53"/>
      <c r="F588" s="54"/>
      <c r="G588" s="51"/>
      <c r="H588" s="51"/>
      <c r="I588" s="55"/>
      <c r="J588" s="56"/>
      <c r="K588" s="46"/>
      <c r="L588" s="46"/>
      <c r="M588" s="47"/>
      <c r="N588" s="46"/>
      <c r="O588" s="57"/>
      <c r="P588" s="46"/>
      <c r="Q588" s="46"/>
      <c r="R588" s="57"/>
      <c r="S588" s="7"/>
      <c r="T588" s="54"/>
      <c r="U588" s="58"/>
      <c r="V588" s="47"/>
      <c r="W588" s="18"/>
      <c r="X588" s="46"/>
      <c r="Y588" s="9"/>
      <c r="Z588" s="46"/>
      <c r="AA588" s="7"/>
      <c r="AB588" s="46"/>
      <c r="AC588" s="47"/>
      <c r="AD588" s="7"/>
      <c r="AE588" s="47"/>
      <c r="AF588" s="18"/>
      <c r="AG588" s="26"/>
      <c r="AH588" s="34"/>
      <c r="AI588" s="34"/>
      <c r="AJ588" s="18"/>
      <c r="AK588" s="48"/>
      <c r="AL588" s="26" t="str">
        <f>IFERROR(__xludf.DUMMYFUNCTION("""COMPUTED_VALUE"""),"* YM1XD *")</f>
        <v>* YM1XD *</v>
      </c>
      <c r="AM588" s="59">
        <f>IFERROR(__xludf.DUMMYFUNCTION("""COMPUTED_VALUE"""),106.5)</f>
        <v>106.5</v>
      </c>
    </row>
    <row r="589">
      <c r="A589" s="51"/>
      <c r="B589" s="51"/>
      <c r="C589" s="52"/>
      <c r="D589" s="51"/>
      <c r="E589" s="53"/>
      <c r="F589" s="54"/>
      <c r="G589" s="51"/>
      <c r="H589" s="51"/>
      <c r="I589" s="55"/>
      <c r="J589" s="56"/>
      <c r="K589" s="46"/>
      <c r="L589" s="46"/>
      <c r="M589" s="47"/>
      <c r="N589" s="46"/>
      <c r="O589" s="57"/>
      <c r="P589" s="46"/>
      <c r="Q589" s="46"/>
      <c r="R589" s="57"/>
      <c r="S589" s="7"/>
      <c r="T589" s="54"/>
      <c r="U589" s="58"/>
      <c r="V589" s="47"/>
      <c r="W589" s="18"/>
      <c r="X589" s="46"/>
      <c r="Y589" s="9"/>
      <c r="Z589" s="46"/>
      <c r="AA589" s="7"/>
      <c r="AB589" s="46"/>
      <c r="AC589" s="47"/>
      <c r="AD589" s="7"/>
      <c r="AE589" s="47"/>
      <c r="AF589" s="18"/>
      <c r="AG589" s="26"/>
      <c r="AH589" s="34"/>
      <c r="AI589" s="34"/>
      <c r="AJ589" s="18"/>
      <c r="AK589" s="48"/>
      <c r="AL589" s="26" t="str">
        <f>IFERROR(__xludf.DUMMYFUNCTION("""COMPUTED_VALUE"""),"* YM1XO *")</f>
        <v>* YM1XO *</v>
      </c>
      <c r="AM589" s="59">
        <f>IFERROR(__xludf.DUMMYFUNCTION("""COMPUTED_VALUE"""),157640.0)</f>
        <v>157640</v>
      </c>
    </row>
    <row r="590">
      <c r="A590" s="51"/>
      <c r="B590" s="51"/>
      <c r="C590" s="52"/>
      <c r="D590" s="51"/>
      <c r="E590" s="53"/>
      <c r="F590" s="54"/>
      <c r="G590" s="51"/>
      <c r="H590" s="51"/>
      <c r="I590" s="55"/>
      <c r="J590" s="56"/>
      <c r="K590" s="46"/>
      <c r="L590" s="46"/>
      <c r="M590" s="47"/>
      <c r="N590" s="46"/>
      <c r="O590" s="57"/>
      <c r="P590" s="46"/>
      <c r="Q590" s="46"/>
      <c r="R590" s="57"/>
      <c r="S590" s="7"/>
      <c r="T590" s="54"/>
      <c r="U590" s="58"/>
      <c r="V590" s="47"/>
      <c r="W590" s="18"/>
      <c r="X590" s="46"/>
      <c r="Y590" s="9"/>
      <c r="Z590" s="46"/>
      <c r="AA590" s="7"/>
      <c r="AB590" s="46"/>
      <c r="AC590" s="47"/>
      <c r="AD590" s="7"/>
      <c r="AE590" s="47"/>
      <c r="AF590" s="18"/>
      <c r="AG590" s="26"/>
      <c r="AH590" s="34"/>
      <c r="AI590" s="34"/>
      <c r="AJ590" s="18"/>
      <c r="AK590" s="48"/>
      <c r="AL590" s="26" t="str">
        <f>IFERROR(__xludf.DUMMYFUNCTION("""COMPUTED_VALUE"""),"* YM34C *")</f>
        <v>* YM34C *</v>
      </c>
      <c r="AM590" s="59">
        <f>IFERROR(__xludf.DUMMYFUNCTION("""COMPUTED_VALUE"""),108.0)</f>
        <v>108</v>
      </c>
    </row>
    <row r="591">
      <c r="A591" s="51"/>
      <c r="B591" s="51"/>
      <c r="C591" s="52"/>
      <c r="D591" s="51"/>
      <c r="E591" s="53"/>
      <c r="F591" s="54"/>
      <c r="G591" s="51"/>
      <c r="H591" s="51"/>
      <c r="I591" s="55"/>
      <c r="J591" s="56"/>
      <c r="K591" s="46"/>
      <c r="L591" s="46"/>
      <c r="M591" s="47"/>
      <c r="N591" s="46"/>
      <c r="O591" s="57"/>
      <c r="P591" s="46"/>
      <c r="Q591" s="46"/>
      <c r="R591" s="57"/>
      <c r="S591" s="7"/>
      <c r="T591" s="54"/>
      <c r="U591" s="58"/>
      <c r="V591" s="47"/>
      <c r="W591" s="18"/>
      <c r="X591" s="46"/>
      <c r="Y591" s="9"/>
      <c r="Z591" s="46"/>
      <c r="AA591" s="7"/>
      <c r="AB591" s="46"/>
      <c r="AC591" s="47"/>
      <c r="AD591" s="7"/>
      <c r="AE591" s="47"/>
      <c r="AF591" s="18"/>
      <c r="AG591" s="26"/>
      <c r="AH591" s="34"/>
      <c r="AI591" s="34"/>
      <c r="AJ591" s="18"/>
      <c r="AK591" s="48"/>
      <c r="AL591" s="26" t="str">
        <f>IFERROR(__xludf.DUMMYFUNCTION("""COMPUTED_VALUE"""),"* YM34D *")</f>
        <v>* YM34D *</v>
      </c>
      <c r="AM591" s="59">
        <f>IFERROR(__xludf.DUMMYFUNCTION("""COMPUTED_VALUE"""),107.7)</f>
        <v>107.7</v>
      </c>
    </row>
    <row r="592">
      <c r="A592" s="51"/>
      <c r="B592" s="51"/>
      <c r="C592" s="52"/>
      <c r="D592" s="51"/>
      <c r="E592" s="53"/>
      <c r="F592" s="54"/>
      <c r="G592" s="51"/>
      <c r="H592" s="51"/>
      <c r="I592" s="55"/>
      <c r="J592" s="56"/>
      <c r="K592" s="46"/>
      <c r="L592" s="46"/>
      <c r="M592" s="47"/>
      <c r="N592" s="46"/>
      <c r="O592" s="57"/>
      <c r="P592" s="46"/>
      <c r="Q592" s="46"/>
      <c r="R592" s="57"/>
      <c r="S592" s="7"/>
      <c r="T592" s="54"/>
      <c r="U592" s="58"/>
      <c r="V592" s="47"/>
      <c r="W592" s="18"/>
      <c r="X592" s="46"/>
      <c r="Y592" s="9"/>
      <c r="Z592" s="46"/>
      <c r="AA592" s="7"/>
      <c r="AB592" s="46"/>
      <c r="AC592" s="47"/>
      <c r="AD592" s="7"/>
      <c r="AE592" s="47"/>
      <c r="AF592" s="18"/>
      <c r="AG592" s="26"/>
      <c r="AH592" s="34"/>
      <c r="AI592" s="34"/>
      <c r="AJ592" s="18"/>
      <c r="AK592" s="48"/>
      <c r="AL592" s="26" t="str">
        <f>IFERROR(__xludf.DUMMYFUNCTION("""COMPUTED_VALUE"""),"* YM34O *")</f>
        <v>* YM34O *</v>
      </c>
      <c r="AM592" s="59">
        <f>IFERROR(__xludf.DUMMYFUNCTION("""COMPUTED_VALUE"""),157780.0)</f>
        <v>157780</v>
      </c>
    </row>
    <row r="593">
      <c r="A593" s="51"/>
      <c r="B593" s="51"/>
      <c r="C593" s="52"/>
      <c r="D593" s="51"/>
      <c r="E593" s="53"/>
      <c r="F593" s="54"/>
      <c r="G593" s="51"/>
      <c r="H593" s="51"/>
      <c r="I593" s="55"/>
      <c r="J593" s="56"/>
      <c r="K593" s="46"/>
      <c r="L593" s="46"/>
      <c r="M593" s="47"/>
      <c r="N593" s="46"/>
      <c r="O593" s="57"/>
      <c r="P593" s="46"/>
      <c r="Q593" s="46"/>
      <c r="R593" s="57"/>
      <c r="S593" s="7"/>
      <c r="T593" s="54"/>
      <c r="U593" s="58"/>
      <c r="V593" s="47"/>
      <c r="W593" s="18"/>
      <c r="X593" s="46"/>
      <c r="Y593" s="9"/>
      <c r="Z593" s="46"/>
      <c r="AA593" s="7"/>
      <c r="AB593" s="46"/>
      <c r="AC593" s="47"/>
      <c r="AD593" s="7"/>
      <c r="AE593" s="47"/>
      <c r="AF593" s="18"/>
      <c r="AG593" s="26"/>
      <c r="AH593" s="34"/>
      <c r="AI593" s="34"/>
      <c r="AJ593" s="18"/>
      <c r="AK593" s="48"/>
      <c r="AL593" s="26" t="str">
        <f>IFERROR(__xludf.DUMMYFUNCTION("""COMPUTED_VALUE"""),"* YM35D *")</f>
        <v>* YM35D *</v>
      </c>
      <c r="AM593" s="59">
        <f>IFERROR(__xludf.DUMMYFUNCTION("""COMPUTED_VALUE"""),100.35)</f>
        <v>100.35</v>
      </c>
    </row>
    <row r="594">
      <c r="A594" s="51"/>
      <c r="B594" s="51"/>
      <c r="C594" s="52"/>
      <c r="D594" s="51"/>
      <c r="E594" s="53"/>
      <c r="F594" s="54"/>
      <c r="G594" s="51"/>
      <c r="H594" s="51"/>
      <c r="I594" s="55"/>
      <c r="J594" s="56"/>
      <c r="K594" s="46"/>
      <c r="L594" s="46"/>
      <c r="M594" s="47"/>
      <c r="N594" s="46"/>
      <c r="O594" s="57"/>
      <c r="P594" s="46"/>
      <c r="Q594" s="46"/>
      <c r="R594" s="57"/>
      <c r="S594" s="7"/>
      <c r="T594" s="54"/>
      <c r="U594" s="58"/>
      <c r="V594" s="47"/>
      <c r="W594" s="18"/>
      <c r="X594" s="46"/>
      <c r="Y594" s="9"/>
      <c r="Z594" s="46"/>
      <c r="AA594" s="7"/>
      <c r="AB594" s="46"/>
      <c r="AC594" s="47"/>
      <c r="AD594" s="7"/>
      <c r="AE594" s="47"/>
      <c r="AF594" s="18"/>
      <c r="AG594" s="26"/>
      <c r="AH594" s="34"/>
      <c r="AI594" s="34"/>
      <c r="AJ594" s="18"/>
      <c r="AK594" s="48"/>
      <c r="AL594" s="26" t="str">
        <f>IFERROR(__xludf.DUMMYFUNCTION("""COMPUTED_VALUE"""),"* YM35O *")</f>
        <v>* YM35O *</v>
      </c>
      <c r="AM594" s="59">
        <f>IFERROR(__xludf.DUMMYFUNCTION("""COMPUTED_VALUE"""),147000.0)</f>
        <v>147000</v>
      </c>
    </row>
    <row r="595">
      <c r="A595" s="51"/>
      <c r="B595" s="51"/>
      <c r="C595" s="52"/>
      <c r="D595" s="51"/>
      <c r="E595" s="53"/>
      <c r="F595" s="54"/>
      <c r="G595" s="51"/>
      <c r="H595" s="51"/>
      <c r="I595" s="55"/>
      <c r="J595" s="56"/>
      <c r="K595" s="46"/>
      <c r="L595" s="46"/>
      <c r="M595" s="47"/>
      <c r="N595" s="46"/>
      <c r="O595" s="57"/>
      <c r="P595" s="46"/>
      <c r="Q595" s="46"/>
      <c r="R595" s="57"/>
      <c r="S595" s="7"/>
      <c r="T595" s="54"/>
      <c r="U595" s="58"/>
      <c r="V595" s="47"/>
      <c r="W595" s="18"/>
      <c r="X595" s="46"/>
      <c r="Y595" s="9"/>
      <c r="Z595" s="46"/>
      <c r="AA595" s="7"/>
      <c r="AB595" s="46"/>
      <c r="AC595" s="47"/>
      <c r="AD595" s="7"/>
      <c r="AE595" s="47"/>
      <c r="AF595" s="18"/>
      <c r="AG595" s="26"/>
      <c r="AH595" s="34"/>
      <c r="AI595" s="34"/>
      <c r="AJ595" s="18"/>
      <c r="AK595" s="48"/>
      <c r="AL595" s="26" t="str">
        <f>IFERROR(__xludf.DUMMYFUNCTION("""COMPUTED_VALUE"""),"* YM37D *")</f>
        <v>* YM37D *</v>
      </c>
      <c r="AM595" s="59">
        <f>IFERROR(__xludf.DUMMYFUNCTION("""COMPUTED_VALUE"""),101.65)</f>
        <v>101.65</v>
      </c>
    </row>
    <row r="596">
      <c r="A596" s="51"/>
      <c r="B596" s="51"/>
      <c r="C596" s="52"/>
      <c r="D596" s="51"/>
      <c r="E596" s="53"/>
      <c r="F596" s="54"/>
      <c r="G596" s="51"/>
      <c r="H596" s="51"/>
      <c r="I596" s="55"/>
      <c r="J596" s="56"/>
      <c r="K596" s="46"/>
      <c r="L596" s="46"/>
      <c r="M596" s="47"/>
      <c r="N596" s="46"/>
      <c r="O596" s="57"/>
      <c r="P596" s="46"/>
      <c r="Q596" s="46"/>
      <c r="R596" s="57"/>
      <c r="S596" s="7"/>
      <c r="T596" s="54"/>
      <c r="U596" s="58"/>
      <c r="V596" s="47"/>
      <c r="W596" s="18"/>
      <c r="X596" s="46"/>
      <c r="Y596" s="9"/>
      <c r="Z596" s="46"/>
      <c r="AA596" s="7"/>
      <c r="AB596" s="46"/>
      <c r="AC596" s="47"/>
      <c r="AD596" s="7"/>
      <c r="AE596" s="47"/>
      <c r="AF596" s="18"/>
      <c r="AG596" s="26"/>
      <c r="AH596" s="34"/>
      <c r="AI596" s="34"/>
      <c r="AJ596" s="18"/>
      <c r="AK596" s="48"/>
      <c r="AL596" s="26" t="str">
        <f>IFERROR(__xludf.DUMMYFUNCTION("""COMPUTED_VALUE"""),"* YM37O *")</f>
        <v>* YM37O *</v>
      </c>
      <c r="AM596" s="59">
        <f>IFERROR(__xludf.DUMMYFUNCTION("""COMPUTED_VALUE"""),147500.0)</f>
        <v>147500</v>
      </c>
    </row>
    <row r="597">
      <c r="A597" s="51"/>
      <c r="B597" s="51"/>
      <c r="C597" s="52"/>
      <c r="D597" s="51"/>
      <c r="E597" s="53"/>
      <c r="F597" s="54"/>
      <c r="G597" s="51"/>
      <c r="H597" s="51"/>
      <c r="I597" s="55"/>
      <c r="J597" s="56"/>
      <c r="K597" s="46"/>
      <c r="L597" s="46"/>
      <c r="M597" s="47"/>
      <c r="N597" s="46"/>
      <c r="O597" s="57"/>
      <c r="P597" s="46"/>
      <c r="Q597" s="46"/>
      <c r="R597" s="57"/>
      <c r="S597" s="7"/>
      <c r="T597" s="54"/>
      <c r="U597" s="58"/>
      <c r="V597" s="47"/>
      <c r="W597" s="18"/>
      <c r="X597" s="46"/>
      <c r="Y597" s="9"/>
      <c r="Z597" s="46"/>
      <c r="AA597" s="7"/>
      <c r="AB597" s="46"/>
      <c r="AC597" s="47"/>
      <c r="AD597" s="7"/>
      <c r="AE597" s="47"/>
      <c r="AF597" s="18"/>
      <c r="AG597" s="26"/>
      <c r="AH597" s="34"/>
      <c r="AI597" s="34"/>
      <c r="AJ597" s="18"/>
      <c r="AK597" s="48"/>
      <c r="AL597" s="26" t="str">
        <f>IFERROR(__xludf.DUMMYFUNCTION("""COMPUTED_VALUE"""),"* YM38C *")</f>
        <v>* YM38C *</v>
      </c>
      <c r="AM597" s="59">
        <f>IFERROR(__xludf.DUMMYFUNCTION("""COMPUTED_VALUE"""),100.5)</f>
        <v>100.5</v>
      </c>
    </row>
    <row r="598">
      <c r="A598" s="51"/>
      <c r="B598" s="51"/>
      <c r="C598" s="52"/>
      <c r="D598" s="51"/>
      <c r="E598" s="53"/>
      <c r="F598" s="54"/>
      <c r="G598" s="51"/>
      <c r="H598" s="51"/>
      <c r="I598" s="55"/>
      <c r="J598" s="56"/>
      <c r="K598" s="46"/>
      <c r="L598" s="46"/>
      <c r="M598" s="47"/>
      <c r="N598" s="46"/>
      <c r="O598" s="57"/>
      <c r="P598" s="46"/>
      <c r="Q598" s="46"/>
      <c r="R598" s="57"/>
      <c r="S598" s="7"/>
      <c r="T598" s="54"/>
      <c r="U598" s="58"/>
      <c r="V598" s="47"/>
      <c r="W598" s="18"/>
      <c r="X598" s="46"/>
      <c r="Y598" s="9"/>
      <c r="Z598" s="46"/>
      <c r="AA598" s="7"/>
      <c r="AB598" s="46"/>
      <c r="AC598" s="47"/>
      <c r="AD598" s="7"/>
      <c r="AE598" s="47"/>
      <c r="AF598" s="18"/>
      <c r="AG598" s="26"/>
      <c r="AH598" s="34"/>
      <c r="AI598" s="34"/>
      <c r="AJ598" s="18"/>
      <c r="AK598" s="48"/>
      <c r="AL598" s="26" t="str">
        <f>IFERROR(__xludf.DUMMYFUNCTION("""COMPUTED_VALUE"""),"* YM38D *")</f>
        <v>* YM38D *</v>
      </c>
      <c r="AM598" s="59">
        <f>IFERROR(__xludf.DUMMYFUNCTION("""COMPUTED_VALUE"""),102.5)</f>
        <v>102.5</v>
      </c>
    </row>
    <row r="599">
      <c r="A599" s="51"/>
      <c r="B599" s="51"/>
      <c r="C599" s="52"/>
      <c r="D599" s="51"/>
      <c r="E599" s="53"/>
      <c r="F599" s="54"/>
      <c r="G599" s="51"/>
      <c r="H599" s="51"/>
      <c r="I599" s="55"/>
      <c r="J599" s="56"/>
      <c r="K599" s="46"/>
      <c r="L599" s="46"/>
      <c r="M599" s="47"/>
      <c r="N599" s="46"/>
      <c r="O599" s="57"/>
      <c r="P599" s="46"/>
      <c r="Q599" s="46"/>
      <c r="R599" s="57"/>
      <c r="S599" s="7"/>
      <c r="T599" s="54"/>
      <c r="U599" s="58"/>
      <c r="V599" s="47"/>
      <c r="W599" s="18"/>
      <c r="X599" s="46"/>
      <c r="Y599" s="9"/>
      <c r="Z599" s="46"/>
      <c r="AA599" s="7"/>
      <c r="AB599" s="46"/>
      <c r="AC599" s="47"/>
      <c r="AD599" s="7"/>
      <c r="AE599" s="47"/>
      <c r="AF599" s="18"/>
      <c r="AG599" s="26"/>
      <c r="AH599" s="34"/>
      <c r="AI599" s="34"/>
      <c r="AJ599" s="18"/>
      <c r="AK599" s="48"/>
      <c r="AL599" s="26" t="str">
        <f>IFERROR(__xludf.DUMMYFUNCTION("""COMPUTED_VALUE"""),"* YM38O *")</f>
        <v>* YM38O *</v>
      </c>
      <c r="AM599" s="59">
        <f>IFERROR(__xludf.DUMMYFUNCTION("""COMPUTED_VALUE"""),149870.0)</f>
        <v>149870</v>
      </c>
    </row>
    <row r="600">
      <c r="A600" s="51"/>
      <c r="B600" s="51"/>
      <c r="C600" s="52"/>
      <c r="D600" s="51"/>
      <c r="E600" s="53"/>
      <c r="F600" s="54"/>
      <c r="G600" s="51"/>
      <c r="H600" s="51"/>
      <c r="I600" s="55"/>
      <c r="J600" s="56"/>
      <c r="K600" s="46"/>
      <c r="L600" s="46"/>
      <c r="M600" s="47"/>
      <c r="N600" s="46"/>
      <c r="O600" s="57"/>
      <c r="P600" s="46"/>
      <c r="Q600" s="46"/>
      <c r="R600" s="57"/>
      <c r="S600" s="7"/>
      <c r="T600" s="54"/>
      <c r="U600" s="58"/>
      <c r="V600" s="47"/>
      <c r="W600" s="18"/>
      <c r="X600" s="46"/>
      <c r="Y600" s="9"/>
      <c r="Z600" s="46"/>
      <c r="AA600" s="7"/>
      <c r="AB600" s="46"/>
      <c r="AC600" s="47"/>
      <c r="AD600" s="7"/>
      <c r="AE600" s="47"/>
      <c r="AF600" s="18"/>
      <c r="AG600" s="26"/>
      <c r="AH600" s="34"/>
      <c r="AI600" s="34"/>
      <c r="AJ600" s="18"/>
      <c r="AK600" s="48"/>
      <c r="AL600" s="26" t="str">
        <f>IFERROR(__xludf.DUMMYFUNCTION("""COMPUTED_VALUE"""),"* YM39C *")</f>
        <v>* YM39C *</v>
      </c>
      <c r="AM600" s="59">
        <f>IFERROR(__xludf.DUMMYFUNCTION("""COMPUTED_VALUE"""),106.0)</f>
        <v>106</v>
      </c>
    </row>
    <row r="601">
      <c r="A601" s="51"/>
      <c r="B601" s="51"/>
      <c r="C601" s="52"/>
      <c r="D601" s="51"/>
      <c r="E601" s="53"/>
      <c r="F601" s="54"/>
      <c r="G601" s="51"/>
      <c r="H601" s="51"/>
      <c r="I601" s="55"/>
      <c r="J601" s="56"/>
      <c r="K601" s="46"/>
      <c r="L601" s="46"/>
      <c r="M601" s="47"/>
      <c r="N601" s="46"/>
      <c r="O601" s="57"/>
      <c r="P601" s="46"/>
      <c r="Q601" s="46"/>
      <c r="R601" s="57"/>
      <c r="S601" s="7"/>
      <c r="T601" s="54"/>
      <c r="U601" s="58"/>
      <c r="V601" s="47"/>
      <c r="W601" s="18"/>
      <c r="X601" s="46"/>
      <c r="Y601" s="9"/>
      <c r="Z601" s="46"/>
      <c r="AA601" s="7"/>
      <c r="AB601" s="46"/>
      <c r="AC601" s="47"/>
      <c r="AD601" s="7"/>
      <c r="AE601" s="47"/>
      <c r="AF601" s="18"/>
      <c r="AG601" s="26"/>
      <c r="AH601" s="34"/>
      <c r="AI601" s="34"/>
      <c r="AJ601" s="18"/>
      <c r="AK601" s="48"/>
      <c r="AL601" s="26" t="str">
        <f>IFERROR(__xludf.DUMMYFUNCTION("""COMPUTED_VALUE"""),"* YM39D *")</f>
        <v>* YM39D *</v>
      </c>
      <c r="AM601" s="59">
        <f>IFERROR(__xludf.DUMMYFUNCTION("""COMPUTED_VALUE"""),108.65)</f>
        <v>108.65</v>
      </c>
    </row>
    <row r="602">
      <c r="A602" s="51"/>
      <c r="B602" s="51"/>
      <c r="C602" s="52"/>
      <c r="D602" s="51"/>
      <c r="E602" s="53"/>
      <c r="F602" s="54"/>
      <c r="G602" s="51"/>
      <c r="H602" s="51"/>
      <c r="I602" s="55"/>
      <c r="J602" s="56"/>
      <c r="K602" s="46"/>
      <c r="L602" s="46"/>
      <c r="M602" s="47"/>
      <c r="N602" s="46"/>
      <c r="O602" s="57"/>
      <c r="P602" s="46"/>
      <c r="Q602" s="46"/>
      <c r="R602" s="57"/>
      <c r="S602" s="7"/>
      <c r="T602" s="54"/>
      <c r="U602" s="58"/>
      <c r="V602" s="47"/>
      <c r="W602" s="18"/>
      <c r="X602" s="46"/>
      <c r="Y602" s="9"/>
      <c r="Z602" s="46"/>
      <c r="AA602" s="7"/>
      <c r="AB602" s="46"/>
      <c r="AC602" s="47"/>
      <c r="AD602" s="7"/>
      <c r="AE602" s="47"/>
      <c r="AF602" s="18"/>
      <c r="AG602" s="26"/>
      <c r="AH602" s="34"/>
      <c r="AI602" s="34"/>
      <c r="AJ602" s="18"/>
      <c r="AK602" s="48"/>
      <c r="AL602" s="26" t="str">
        <f>IFERROR(__xludf.DUMMYFUNCTION("""COMPUTED_VALUE"""),"* YM39O *")</f>
        <v>* YM39O *</v>
      </c>
      <c r="AM602" s="59">
        <f>IFERROR(__xludf.DUMMYFUNCTION("""COMPUTED_VALUE"""),158750.0)</f>
        <v>158750</v>
      </c>
    </row>
    <row r="603">
      <c r="A603" s="51"/>
      <c r="B603" s="51"/>
      <c r="C603" s="52"/>
      <c r="D603" s="51"/>
      <c r="E603" s="53"/>
      <c r="F603" s="54"/>
      <c r="G603" s="51"/>
      <c r="H603" s="51"/>
      <c r="I603" s="55"/>
      <c r="J603" s="56"/>
      <c r="K603" s="46"/>
      <c r="L603" s="46"/>
      <c r="M603" s="47"/>
      <c r="N603" s="46"/>
      <c r="O603" s="57"/>
      <c r="P603" s="46"/>
      <c r="Q603" s="46"/>
      <c r="R603" s="57"/>
      <c r="S603" s="7"/>
      <c r="T603" s="54"/>
      <c r="U603" s="58"/>
      <c r="V603" s="47"/>
      <c r="W603" s="18"/>
      <c r="X603" s="46"/>
      <c r="Y603" s="9"/>
      <c r="Z603" s="46"/>
      <c r="AA603" s="7"/>
      <c r="AB603" s="46"/>
      <c r="AC603" s="47"/>
      <c r="AD603" s="7"/>
      <c r="AE603" s="47"/>
      <c r="AF603" s="18"/>
      <c r="AG603" s="26"/>
      <c r="AH603" s="34"/>
      <c r="AI603" s="34"/>
      <c r="AJ603" s="18"/>
      <c r="AK603" s="48"/>
      <c r="AL603" s="26" t="str">
        <f>IFERROR(__xludf.DUMMYFUNCTION("""COMPUTED_VALUE"""),"* YM40C *")</f>
        <v>* YM40C *</v>
      </c>
      <c r="AM603" s="59">
        <f>IFERROR(__xludf.DUMMYFUNCTION("""COMPUTED_VALUE"""),99.0)</f>
        <v>99</v>
      </c>
    </row>
    <row r="604">
      <c r="A604" s="51"/>
      <c r="B604" s="51"/>
      <c r="C604" s="52"/>
      <c r="D604" s="51"/>
      <c r="E604" s="53"/>
      <c r="F604" s="54"/>
      <c r="G604" s="51"/>
      <c r="H604" s="51"/>
      <c r="I604" s="55"/>
      <c r="J604" s="56"/>
      <c r="K604" s="46"/>
      <c r="L604" s="46"/>
      <c r="M604" s="47"/>
      <c r="N604" s="46"/>
      <c r="O604" s="57"/>
      <c r="P604" s="46"/>
      <c r="Q604" s="46"/>
      <c r="R604" s="57"/>
      <c r="S604" s="7"/>
      <c r="T604" s="54"/>
      <c r="U604" s="58"/>
      <c r="V604" s="47"/>
      <c r="W604" s="18"/>
      <c r="X604" s="46"/>
      <c r="Y604" s="9"/>
      <c r="Z604" s="46"/>
      <c r="AA604" s="7"/>
      <c r="AB604" s="46"/>
      <c r="AC604" s="47"/>
      <c r="AD604" s="7"/>
      <c r="AE604" s="47"/>
      <c r="AF604" s="18"/>
      <c r="AG604" s="26"/>
      <c r="AH604" s="34"/>
      <c r="AI604" s="34"/>
      <c r="AJ604" s="18"/>
      <c r="AK604" s="48"/>
      <c r="AL604" s="26" t="str">
        <f>IFERROR(__xludf.DUMMYFUNCTION("""COMPUTED_VALUE"""),"* YM40D *")</f>
        <v>* YM40D *</v>
      </c>
      <c r="AM604" s="59">
        <f>IFERROR(__xludf.DUMMYFUNCTION("""COMPUTED_VALUE"""),102.1)</f>
        <v>102.1</v>
      </c>
    </row>
    <row r="605">
      <c r="A605" s="51"/>
      <c r="B605" s="51"/>
      <c r="C605" s="52"/>
      <c r="D605" s="51"/>
      <c r="E605" s="53"/>
      <c r="F605" s="54"/>
      <c r="G605" s="51"/>
      <c r="H605" s="51"/>
      <c r="I605" s="55"/>
      <c r="J605" s="56"/>
      <c r="K605" s="46"/>
      <c r="L605" s="46"/>
      <c r="M605" s="47"/>
      <c r="N605" s="46"/>
      <c r="O605" s="57"/>
      <c r="P605" s="46"/>
      <c r="Q605" s="46"/>
      <c r="R605" s="57"/>
      <c r="S605" s="7"/>
      <c r="T605" s="54"/>
      <c r="U605" s="58"/>
      <c r="V605" s="47"/>
      <c r="W605" s="18"/>
      <c r="X605" s="46"/>
      <c r="Y605" s="9"/>
      <c r="Z605" s="46"/>
      <c r="AA605" s="7"/>
      <c r="AB605" s="46"/>
      <c r="AC605" s="47"/>
      <c r="AD605" s="7"/>
      <c r="AE605" s="47"/>
      <c r="AF605" s="18"/>
      <c r="AG605" s="26"/>
      <c r="AH605" s="34"/>
      <c r="AI605" s="34"/>
      <c r="AJ605" s="18"/>
      <c r="AK605" s="48"/>
      <c r="AL605" s="26" t="str">
        <f>IFERROR(__xludf.DUMMYFUNCTION("""COMPUTED_VALUE"""),"* YM40O *")</f>
        <v>* YM40O *</v>
      </c>
      <c r="AM605" s="59">
        <f>IFERROR(__xludf.DUMMYFUNCTION("""COMPUTED_VALUE"""),147070.0)</f>
        <v>147070</v>
      </c>
    </row>
    <row r="606">
      <c r="A606" s="51"/>
      <c r="B606" s="51"/>
      <c r="C606" s="52"/>
      <c r="D606" s="51"/>
      <c r="E606" s="53"/>
      <c r="F606" s="54"/>
      <c r="G606" s="51"/>
      <c r="H606" s="51"/>
      <c r="I606" s="55"/>
      <c r="J606" s="56"/>
      <c r="K606" s="46"/>
      <c r="L606" s="46"/>
      <c r="M606" s="47"/>
      <c r="N606" s="46"/>
      <c r="O606" s="57"/>
      <c r="P606" s="46"/>
      <c r="Q606" s="46"/>
      <c r="R606" s="57"/>
      <c r="S606" s="7"/>
      <c r="T606" s="54"/>
      <c r="U606" s="58"/>
      <c r="V606" s="47"/>
      <c r="W606" s="18"/>
      <c r="X606" s="46"/>
      <c r="Y606" s="9"/>
      <c r="Z606" s="46"/>
      <c r="AA606" s="7"/>
      <c r="AB606" s="46"/>
      <c r="AC606" s="47"/>
      <c r="AD606" s="7"/>
      <c r="AE606" s="47"/>
      <c r="AF606" s="18"/>
      <c r="AG606" s="26"/>
      <c r="AH606" s="34"/>
      <c r="AI606" s="34"/>
      <c r="AJ606" s="18"/>
      <c r="AK606" s="48"/>
      <c r="AL606" s="26" t="str">
        <f>IFERROR(__xludf.DUMMYFUNCTION("""COMPUTED_VALUE"""),"* YM41C *")</f>
        <v>* YM41C *</v>
      </c>
      <c r="AM606" s="59">
        <f>IFERROR(__xludf.DUMMYFUNCTION("""COMPUTED_VALUE"""),103.0)</f>
        <v>103</v>
      </c>
    </row>
    <row r="607">
      <c r="A607" s="51"/>
      <c r="B607" s="51"/>
      <c r="C607" s="52"/>
      <c r="D607" s="51"/>
      <c r="E607" s="53"/>
      <c r="F607" s="54"/>
      <c r="G607" s="51"/>
      <c r="H607" s="51"/>
      <c r="I607" s="55"/>
      <c r="J607" s="56"/>
      <c r="K607" s="46"/>
      <c r="L607" s="46"/>
      <c r="M607" s="47"/>
      <c r="N607" s="46"/>
      <c r="O607" s="57"/>
      <c r="P607" s="46"/>
      <c r="Q607" s="46"/>
      <c r="R607" s="57"/>
      <c r="S607" s="7"/>
      <c r="T607" s="54"/>
      <c r="U607" s="58"/>
      <c r="V607" s="47"/>
      <c r="W607" s="18"/>
      <c r="X607" s="46"/>
      <c r="Y607" s="9"/>
      <c r="Z607" s="46"/>
      <c r="AA607" s="7"/>
      <c r="AB607" s="46"/>
      <c r="AC607" s="47"/>
      <c r="AD607" s="7"/>
      <c r="AE607" s="47"/>
      <c r="AF607" s="18"/>
      <c r="AG607" s="26"/>
      <c r="AH607" s="34"/>
      <c r="AI607" s="34"/>
      <c r="AJ607" s="18"/>
      <c r="AK607" s="48"/>
      <c r="AL607" s="26" t="str">
        <f>IFERROR(__xludf.DUMMYFUNCTION("""COMPUTED_VALUE"""),"* YM41D *")</f>
        <v>* YM41D *</v>
      </c>
      <c r="AM607" s="59">
        <f>IFERROR(__xludf.DUMMYFUNCTION("""COMPUTED_VALUE"""),101.5)</f>
        <v>101.5</v>
      </c>
    </row>
    <row r="608">
      <c r="A608" s="51"/>
      <c r="B608" s="51"/>
      <c r="C608" s="52"/>
      <c r="D608" s="51"/>
      <c r="E608" s="53"/>
      <c r="F608" s="54"/>
      <c r="G608" s="51"/>
      <c r="H608" s="51"/>
      <c r="I608" s="55"/>
      <c r="J608" s="56"/>
      <c r="K608" s="46"/>
      <c r="L608" s="46"/>
      <c r="M608" s="47"/>
      <c r="N608" s="46"/>
      <c r="O608" s="57"/>
      <c r="P608" s="46"/>
      <c r="Q608" s="46"/>
      <c r="R608" s="57"/>
      <c r="S608" s="7"/>
      <c r="T608" s="54"/>
      <c r="U608" s="58"/>
      <c r="V608" s="47"/>
      <c r="W608" s="18"/>
      <c r="X608" s="46"/>
      <c r="Y608" s="9"/>
      <c r="Z608" s="46"/>
      <c r="AA608" s="7"/>
      <c r="AB608" s="46"/>
      <c r="AC608" s="47"/>
      <c r="AD608" s="7"/>
      <c r="AE608" s="47"/>
      <c r="AF608" s="18"/>
      <c r="AG608" s="26"/>
      <c r="AH608" s="34"/>
      <c r="AI608" s="34"/>
      <c r="AJ608" s="18"/>
      <c r="AK608" s="48"/>
      <c r="AL608" s="26" t="str">
        <f>IFERROR(__xludf.DUMMYFUNCTION("""COMPUTED_VALUE"""),"* YM41O *")</f>
        <v>* YM41O *</v>
      </c>
      <c r="AM608" s="59">
        <f>IFERROR(__xludf.DUMMYFUNCTION("""COMPUTED_VALUE"""),147000.0)</f>
        <v>147000</v>
      </c>
    </row>
    <row r="609">
      <c r="A609" s="51"/>
      <c r="B609" s="51"/>
      <c r="C609" s="52"/>
      <c r="D609" s="51"/>
      <c r="E609" s="53"/>
      <c r="F609" s="54"/>
      <c r="G609" s="51"/>
      <c r="H609" s="51"/>
      <c r="I609" s="55"/>
      <c r="J609" s="56"/>
      <c r="K609" s="46"/>
      <c r="L609" s="46"/>
      <c r="M609" s="47"/>
      <c r="N609" s="46"/>
      <c r="O609" s="57"/>
      <c r="P609" s="46"/>
      <c r="Q609" s="46"/>
      <c r="R609" s="57"/>
      <c r="S609" s="7"/>
      <c r="T609" s="54"/>
      <c r="U609" s="58"/>
      <c r="V609" s="47"/>
      <c r="W609" s="18"/>
      <c r="X609" s="46"/>
      <c r="Y609" s="9"/>
      <c r="Z609" s="46"/>
      <c r="AA609" s="7"/>
      <c r="AB609" s="46"/>
      <c r="AC609" s="47"/>
      <c r="AD609" s="7"/>
      <c r="AE609" s="47"/>
      <c r="AF609" s="18"/>
      <c r="AG609" s="26"/>
      <c r="AH609" s="34"/>
      <c r="AI609" s="34"/>
      <c r="AJ609" s="18"/>
      <c r="AK609" s="48"/>
      <c r="AL609" s="26" t="str">
        <f>IFERROR(__xludf.DUMMYFUNCTION("""COMPUTED_VALUE"""),"* YM42C *")</f>
        <v>* YM42C *</v>
      </c>
      <c r="AM609" s="59">
        <f>IFERROR(__xludf.DUMMYFUNCTION("""COMPUTED_VALUE"""),100.0)</f>
        <v>100</v>
      </c>
    </row>
    <row r="610">
      <c r="A610" s="51"/>
      <c r="B610" s="51"/>
      <c r="C610" s="52"/>
      <c r="D610" s="51"/>
      <c r="E610" s="53"/>
      <c r="F610" s="54"/>
      <c r="G610" s="51"/>
      <c r="H610" s="51"/>
      <c r="I610" s="55"/>
      <c r="J610" s="56"/>
      <c r="K610" s="46"/>
      <c r="L610" s="46"/>
      <c r="M610" s="47"/>
      <c r="N610" s="46"/>
      <c r="O610" s="57"/>
      <c r="P610" s="46"/>
      <c r="Q610" s="46"/>
      <c r="R610" s="57"/>
      <c r="S610" s="7"/>
      <c r="T610" s="54"/>
      <c r="U610" s="58"/>
      <c r="V610" s="47"/>
      <c r="W610" s="18"/>
      <c r="X610" s="46"/>
      <c r="Y610" s="9"/>
      <c r="Z610" s="46"/>
      <c r="AA610" s="7"/>
      <c r="AB610" s="46"/>
      <c r="AC610" s="47"/>
      <c r="AD610" s="7"/>
      <c r="AE610" s="47"/>
      <c r="AF610" s="18"/>
      <c r="AG610" s="26"/>
      <c r="AH610" s="34"/>
      <c r="AI610" s="34"/>
      <c r="AJ610" s="18"/>
      <c r="AK610" s="48"/>
      <c r="AL610" s="26" t="str">
        <f>IFERROR(__xludf.DUMMYFUNCTION("""COMPUTED_VALUE"""),"* YM42D *")</f>
        <v>* YM42D *</v>
      </c>
      <c r="AM610" s="59">
        <f>IFERROR(__xludf.DUMMYFUNCTION("""COMPUTED_VALUE"""),100.0)</f>
        <v>100</v>
      </c>
    </row>
    <row r="611">
      <c r="A611" s="51"/>
      <c r="B611" s="51"/>
      <c r="C611" s="52"/>
      <c r="D611" s="51"/>
      <c r="E611" s="53"/>
      <c r="F611" s="54"/>
      <c r="G611" s="51"/>
      <c r="H611" s="51"/>
      <c r="I611" s="55"/>
      <c r="J611" s="56"/>
      <c r="K611" s="46"/>
      <c r="L611" s="46"/>
      <c r="M611" s="47"/>
      <c r="N611" s="46"/>
      <c r="O611" s="57"/>
      <c r="P611" s="46"/>
      <c r="Q611" s="46"/>
      <c r="R611" s="57"/>
      <c r="S611" s="7"/>
      <c r="T611" s="54"/>
      <c r="U611" s="58"/>
      <c r="V611" s="47"/>
      <c r="W611" s="18"/>
      <c r="X611" s="46"/>
      <c r="Y611" s="9"/>
      <c r="Z611" s="46"/>
      <c r="AA611" s="7"/>
      <c r="AB611" s="46"/>
      <c r="AC611" s="47"/>
      <c r="AD611" s="7"/>
      <c r="AE611" s="47"/>
      <c r="AF611" s="18"/>
      <c r="AG611" s="26"/>
      <c r="AH611" s="34"/>
      <c r="AI611" s="34"/>
      <c r="AJ611" s="18"/>
      <c r="AK611" s="48"/>
      <c r="AL611" s="26" t="str">
        <f>IFERROR(__xludf.DUMMYFUNCTION("""COMPUTED_VALUE"""),"* YM42O *")</f>
        <v>* YM42O *</v>
      </c>
      <c r="AM611" s="59">
        <f>IFERROR(__xludf.DUMMYFUNCTION("""COMPUTED_VALUE"""),145300.0)</f>
        <v>145300</v>
      </c>
    </row>
    <row r="612">
      <c r="A612" s="51"/>
      <c r="B612" s="51"/>
      <c r="C612" s="52"/>
      <c r="D612" s="51"/>
      <c r="E612" s="53"/>
      <c r="F612" s="54"/>
      <c r="G612" s="51"/>
      <c r="H612" s="51"/>
      <c r="I612" s="55"/>
      <c r="J612" s="56"/>
      <c r="K612" s="46"/>
      <c r="L612" s="46"/>
      <c r="M612" s="47"/>
      <c r="N612" s="46"/>
      <c r="O612" s="57"/>
      <c r="P612" s="46"/>
      <c r="Q612" s="46"/>
      <c r="R612" s="57"/>
      <c r="S612" s="7"/>
      <c r="T612" s="54"/>
      <c r="U612" s="58"/>
      <c r="V612" s="47"/>
      <c r="W612" s="18"/>
      <c r="X612" s="46"/>
      <c r="Y612" s="9"/>
      <c r="Z612" s="46"/>
      <c r="AA612" s="7"/>
      <c r="AB612" s="46"/>
      <c r="AC612" s="47"/>
      <c r="AD612" s="7"/>
      <c r="AE612" s="47"/>
      <c r="AF612" s="18"/>
      <c r="AG612" s="26"/>
      <c r="AH612" s="34"/>
      <c r="AI612" s="34"/>
      <c r="AJ612" s="18"/>
      <c r="AK612" s="48"/>
      <c r="AL612" s="26" t="str">
        <f>IFERROR(__xludf.DUMMYFUNCTION("""COMPUTED_VALUE"""),"* YMCHD *")</f>
        <v>* YMCHD *</v>
      </c>
      <c r="AM612" s="59">
        <f>IFERROR(__xludf.DUMMYFUNCTION("""COMPUTED_VALUE"""),15.85)</f>
        <v>15.85</v>
      </c>
    </row>
    <row r="613">
      <c r="A613" s="51"/>
      <c r="B613" s="51"/>
      <c r="C613" s="52"/>
      <c r="D613" s="51"/>
      <c r="E613" s="53"/>
      <c r="F613" s="54"/>
      <c r="G613" s="51"/>
      <c r="H613" s="51"/>
      <c r="I613" s="55"/>
      <c r="J613" s="56"/>
      <c r="K613" s="46"/>
      <c r="L613" s="46"/>
      <c r="M613" s="47"/>
      <c r="N613" s="46"/>
      <c r="O613" s="57"/>
      <c r="P613" s="46"/>
      <c r="Q613" s="46"/>
      <c r="R613" s="57"/>
      <c r="S613" s="7"/>
      <c r="T613" s="54"/>
      <c r="U613" s="58"/>
      <c r="V613" s="47"/>
      <c r="W613" s="18"/>
      <c r="X613" s="46"/>
      <c r="Y613" s="9"/>
      <c r="Z613" s="46"/>
      <c r="AA613" s="7"/>
      <c r="AB613" s="46"/>
      <c r="AC613" s="47"/>
      <c r="AD613" s="7"/>
      <c r="AE613" s="47"/>
      <c r="AF613" s="18"/>
      <c r="AG613" s="26"/>
      <c r="AH613" s="34"/>
      <c r="AI613" s="34"/>
      <c r="AJ613" s="18"/>
      <c r="AK613" s="48"/>
      <c r="AL613" s="26" t="str">
        <f>IFERROR(__xludf.DUMMYFUNCTION("""COMPUTED_VALUE"""),"* YMCID *")</f>
        <v>* YMCID *</v>
      </c>
      <c r="AM613" s="59">
        <f>IFERROR(__xludf.DUMMYFUNCTION("""COMPUTED_VALUE"""),111.1)</f>
        <v>111.1</v>
      </c>
    </row>
    <row r="614">
      <c r="A614" s="51"/>
      <c r="B614" s="51"/>
      <c r="C614" s="52"/>
      <c r="D614" s="51"/>
      <c r="E614" s="53"/>
      <c r="F614" s="54"/>
      <c r="G614" s="51"/>
      <c r="H614" s="51"/>
      <c r="I614" s="55"/>
      <c r="J614" s="56"/>
      <c r="K614" s="46"/>
      <c r="L614" s="46"/>
      <c r="M614" s="47"/>
      <c r="N614" s="46"/>
      <c r="O614" s="57"/>
      <c r="P614" s="46"/>
      <c r="Q614" s="46"/>
      <c r="R614" s="57"/>
      <c r="S614" s="7"/>
      <c r="T614" s="54"/>
      <c r="U614" s="58"/>
      <c r="V614" s="47"/>
      <c r="W614" s="18"/>
      <c r="X614" s="46"/>
      <c r="Y614" s="9"/>
      <c r="Z614" s="46"/>
      <c r="AA614" s="7"/>
      <c r="AB614" s="46"/>
      <c r="AC614" s="47"/>
      <c r="AD614" s="7"/>
      <c r="AE614" s="47"/>
      <c r="AF614" s="18"/>
      <c r="AG614" s="26"/>
      <c r="AH614" s="34"/>
      <c r="AI614" s="34"/>
      <c r="AJ614" s="18"/>
      <c r="AK614" s="48"/>
      <c r="AL614" s="26" t="str">
        <f>IFERROR(__xludf.DUMMYFUNCTION("""COMPUTED_VALUE"""),"* YMCIO *")</f>
        <v>* YMCIO *</v>
      </c>
      <c r="AM614" s="59">
        <f>IFERROR(__xludf.DUMMYFUNCTION("""COMPUTED_VALUE"""),161330.0)</f>
        <v>161330</v>
      </c>
    </row>
    <row r="615">
      <c r="A615" s="51"/>
      <c r="B615" s="51"/>
      <c r="C615" s="52"/>
      <c r="D615" s="51"/>
      <c r="E615" s="53"/>
      <c r="F615" s="54"/>
      <c r="G615" s="51"/>
      <c r="H615" s="51"/>
      <c r="I615" s="55"/>
      <c r="J615" s="56"/>
      <c r="K615" s="46"/>
      <c r="L615" s="46"/>
      <c r="M615" s="47"/>
      <c r="N615" s="46"/>
      <c r="O615" s="57"/>
      <c r="P615" s="46"/>
      <c r="Q615" s="46"/>
      <c r="R615" s="57"/>
      <c r="S615" s="7"/>
      <c r="T615" s="54"/>
      <c r="U615" s="58"/>
      <c r="V615" s="47"/>
      <c r="W615" s="18"/>
      <c r="X615" s="46"/>
      <c r="Y615" s="9"/>
      <c r="Z615" s="46"/>
      <c r="AA615" s="7"/>
      <c r="AB615" s="46"/>
      <c r="AC615" s="47"/>
      <c r="AD615" s="7"/>
      <c r="AE615" s="47"/>
      <c r="AF615" s="18"/>
      <c r="AG615" s="26"/>
      <c r="AH615" s="34"/>
      <c r="AI615" s="34"/>
      <c r="AJ615" s="18"/>
      <c r="AK615" s="48"/>
      <c r="AL615" s="26" t="str">
        <f>IFERROR(__xludf.DUMMYFUNCTION("""COMPUTED_VALUE"""),"* YMCJD *")</f>
        <v>* YMCJD *</v>
      </c>
      <c r="AM615" s="59">
        <f>IFERROR(__xludf.DUMMYFUNCTION("""COMPUTED_VALUE"""),101.5)</f>
        <v>101.5</v>
      </c>
    </row>
    <row r="616">
      <c r="A616" s="51"/>
      <c r="B616" s="51"/>
      <c r="C616" s="52"/>
      <c r="D616" s="51"/>
      <c r="E616" s="53"/>
      <c r="F616" s="54"/>
      <c r="G616" s="51"/>
      <c r="H616" s="51"/>
      <c r="I616" s="55"/>
      <c r="J616" s="56"/>
      <c r="K616" s="46"/>
      <c r="L616" s="46"/>
      <c r="M616" s="47"/>
      <c r="N616" s="46"/>
      <c r="O616" s="57"/>
      <c r="P616" s="46"/>
      <c r="Q616" s="46"/>
      <c r="R616" s="57"/>
      <c r="S616" s="7"/>
      <c r="T616" s="54"/>
      <c r="U616" s="58"/>
      <c r="V616" s="47"/>
      <c r="W616" s="18"/>
      <c r="X616" s="46"/>
      <c r="Y616" s="9"/>
      <c r="Z616" s="46"/>
      <c r="AA616" s="7"/>
      <c r="AB616" s="46"/>
      <c r="AC616" s="47"/>
      <c r="AD616" s="7"/>
      <c r="AE616" s="47"/>
      <c r="AF616" s="18"/>
      <c r="AG616" s="26"/>
      <c r="AH616" s="34"/>
      <c r="AI616" s="34"/>
      <c r="AJ616" s="18"/>
      <c r="AK616" s="48"/>
      <c r="AL616" s="26" t="str">
        <f>IFERROR(__xludf.DUMMYFUNCTION("""COMPUTED_VALUE"""),"* YMCJO *")</f>
        <v>* YMCJO *</v>
      </c>
      <c r="AM616" s="59">
        <f>IFERROR(__xludf.DUMMYFUNCTION("""COMPUTED_VALUE"""),148490.0)</f>
        <v>148490</v>
      </c>
    </row>
    <row r="617">
      <c r="A617" s="51"/>
      <c r="B617" s="51"/>
      <c r="C617" s="52"/>
      <c r="D617" s="51"/>
      <c r="E617" s="53"/>
      <c r="F617" s="54"/>
      <c r="G617" s="51"/>
      <c r="H617" s="51"/>
      <c r="I617" s="55"/>
      <c r="J617" s="56"/>
      <c r="K617" s="46"/>
      <c r="L617" s="46"/>
      <c r="M617" s="47"/>
      <c r="N617" s="46"/>
      <c r="O617" s="57"/>
      <c r="P617" s="46"/>
      <c r="Q617" s="46"/>
      <c r="R617" s="57"/>
      <c r="S617" s="7"/>
      <c r="T617" s="54"/>
      <c r="U617" s="58"/>
      <c r="V617" s="47"/>
      <c r="W617" s="18"/>
      <c r="X617" s="46"/>
      <c r="Y617" s="9"/>
      <c r="Z617" s="46"/>
      <c r="AA617" s="7"/>
      <c r="AB617" s="46"/>
      <c r="AC617" s="47"/>
      <c r="AD617" s="7"/>
      <c r="AE617" s="47"/>
      <c r="AF617" s="18"/>
      <c r="AG617" s="26"/>
      <c r="AH617" s="34"/>
      <c r="AI617" s="34"/>
      <c r="AJ617" s="18"/>
      <c r="AK617" s="48"/>
      <c r="AL617" s="26" t="str">
        <f>IFERROR(__xludf.DUMMYFUNCTION("""COMPUTED_VALUE"""),"* YMCMO *")</f>
        <v>* YMCMO *</v>
      </c>
      <c r="AM617" s="59">
        <f>IFERROR(__xludf.DUMMYFUNCTION("""COMPUTED_VALUE"""),144300.0)</f>
        <v>144300</v>
      </c>
    </row>
    <row r="618">
      <c r="A618" s="51"/>
      <c r="B618" s="51"/>
      <c r="C618" s="52"/>
      <c r="D618" s="51"/>
      <c r="E618" s="53"/>
      <c r="F618" s="54"/>
      <c r="G618" s="51"/>
      <c r="H618" s="51"/>
      <c r="I618" s="55"/>
      <c r="J618" s="56"/>
      <c r="K618" s="46"/>
      <c r="L618" s="46"/>
      <c r="M618" s="47"/>
      <c r="N618" s="46"/>
      <c r="O618" s="57"/>
      <c r="P618" s="46"/>
      <c r="Q618" s="46"/>
      <c r="R618" s="57"/>
      <c r="S618" s="7"/>
      <c r="T618" s="54"/>
      <c r="U618" s="58"/>
      <c r="V618" s="47"/>
      <c r="W618" s="18"/>
      <c r="X618" s="46"/>
      <c r="Y618" s="9"/>
      <c r="Z618" s="46"/>
      <c r="AA618" s="7"/>
      <c r="AB618" s="46"/>
      <c r="AC618" s="47"/>
      <c r="AD618" s="7"/>
      <c r="AE618" s="47"/>
      <c r="AF618" s="18"/>
      <c r="AG618" s="26"/>
      <c r="AH618" s="34"/>
      <c r="AI618" s="34"/>
      <c r="AJ618" s="18"/>
      <c r="AK618" s="48"/>
      <c r="AL618" s="26" t="str">
        <f>IFERROR(__xludf.DUMMYFUNCTION("""COMPUTED_VALUE"""),"* YMCQD *")</f>
        <v>* YMCQD *</v>
      </c>
      <c r="AM618" s="59">
        <f>IFERROR(__xludf.DUMMYFUNCTION("""COMPUTED_VALUE"""),102.5)</f>
        <v>102.5</v>
      </c>
    </row>
    <row r="619">
      <c r="A619" s="51"/>
      <c r="B619" s="51"/>
      <c r="C619" s="52"/>
      <c r="D619" s="51"/>
      <c r="E619" s="53"/>
      <c r="F619" s="54"/>
      <c r="G619" s="51"/>
      <c r="H619" s="51"/>
      <c r="I619" s="55"/>
      <c r="J619" s="56"/>
      <c r="K619" s="46"/>
      <c r="L619" s="46"/>
      <c r="M619" s="47"/>
      <c r="N619" s="46"/>
      <c r="O619" s="57"/>
      <c r="P619" s="46"/>
      <c r="Q619" s="46"/>
      <c r="R619" s="57"/>
      <c r="S619" s="7"/>
      <c r="T619" s="54"/>
      <c r="U619" s="58"/>
      <c r="V619" s="47"/>
      <c r="W619" s="18"/>
      <c r="X619" s="46"/>
      <c r="Y619" s="9"/>
      <c r="Z619" s="46"/>
      <c r="AA619" s="7"/>
      <c r="AB619" s="46"/>
      <c r="AC619" s="47"/>
      <c r="AD619" s="7"/>
      <c r="AE619" s="47"/>
      <c r="AF619" s="18"/>
      <c r="AG619" s="26"/>
      <c r="AH619" s="34"/>
      <c r="AI619" s="34"/>
      <c r="AJ619" s="18"/>
      <c r="AK619" s="48"/>
      <c r="AL619" s="26" t="str">
        <f>IFERROR(__xludf.DUMMYFUNCTION("""COMPUTED_VALUE"""),"* YMCQO *")</f>
        <v>* YMCQO *</v>
      </c>
      <c r="AM619" s="59">
        <f>IFERROR(__xludf.DUMMYFUNCTION("""COMPUTED_VALUE"""),150700.0)</f>
        <v>150700</v>
      </c>
    </row>
    <row r="620">
      <c r="A620" s="51"/>
      <c r="B620" s="51"/>
      <c r="C620" s="52"/>
      <c r="D620" s="51"/>
      <c r="E620" s="53"/>
      <c r="F620" s="54"/>
      <c r="G620" s="51"/>
      <c r="H620" s="51"/>
      <c r="I620" s="55"/>
      <c r="J620" s="56"/>
      <c r="K620" s="46"/>
      <c r="L620" s="46"/>
      <c r="M620" s="47"/>
      <c r="N620" s="46"/>
      <c r="O620" s="57"/>
      <c r="P620" s="46"/>
      <c r="Q620" s="46"/>
      <c r="R620" s="57"/>
      <c r="S620" s="7"/>
      <c r="T620" s="54"/>
      <c r="U620" s="58"/>
      <c r="V620" s="47"/>
      <c r="W620" s="18"/>
      <c r="X620" s="46"/>
      <c r="Y620" s="9"/>
      <c r="Z620" s="46"/>
      <c r="AA620" s="7"/>
      <c r="AB620" s="46"/>
      <c r="AC620" s="47"/>
      <c r="AD620" s="7"/>
      <c r="AE620" s="47"/>
      <c r="AF620" s="18"/>
      <c r="AG620" s="26"/>
      <c r="AH620" s="34"/>
      <c r="AI620" s="34"/>
      <c r="AJ620" s="18"/>
      <c r="AK620" s="48"/>
      <c r="AL620" s="26" t="str">
        <f>IFERROR(__xludf.DUMMYFUNCTION("""COMPUTED_VALUE"""),"* YMCRO *")</f>
        <v>* YMCRO *</v>
      </c>
      <c r="AM620" s="59">
        <f>IFERROR(__xludf.DUMMYFUNCTION("""COMPUTED_VALUE"""),91000.0)</f>
        <v>91000</v>
      </c>
    </row>
    <row r="621">
      <c r="A621" s="51"/>
      <c r="B621" s="51"/>
      <c r="C621" s="52"/>
      <c r="D621" s="51"/>
      <c r="E621" s="53"/>
      <c r="F621" s="54"/>
      <c r="G621" s="51"/>
      <c r="H621" s="51"/>
      <c r="I621" s="55"/>
      <c r="J621" s="56"/>
      <c r="K621" s="46"/>
      <c r="L621" s="46"/>
      <c r="M621" s="47"/>
      <c r="N621" s="46"/>
      <c r="O621" s="57"/>
      <c r="P621" s="46"/>
      <c r="Q621" s="46"/>
      <c r="R621" s="57"/>
      <c r="S621" s="7"/>
      <c r="T621" s="54"/>
      <c r="U621" s="58"/>
      <c r="V621" s="47"/>
      <c r="W621" s="18"/>
      <c r="X621" s="46"/>
      <c r="Y621" s="9"/>
      <c r="Z621" s="46"/>
      <c r="AA621" s="7"/>
      <c r="AB621" s="46"/>
      <c r="AC621" s="47"/>
      <c r="AD621" s="7"/>
      <c r="AE621" s="47"/>
      <c r="AF621" s="18"/>
      <c r="AG621" s="26"/>
      <c r="AH621" s="34"/>
      <c r="AI621" s="34"/>
      <c r="AJ621" s="18"/>
      <c r="AK621" s="48"/>
      <c r="AL621" s="26" t="str">
        <f>IFERROR(__xludf.DUMMYFUNCTION("""COMPUTED_VALUE"""),"* YMCTD *")</f>
        <v>* YMCTD *</v>
      </c>
      <c r="AM621" s="59">
        <f>IFERROR(__xludf.DUMMYFUNCTION("""COMPUTED_VALUE"""),95.0)</f>
        <v>95</v>
      </c>
    </row>
    <row r="622">
      <c r="A622" s="51"/>
      <c r="B622" s="51"/>
      <c r="C622" s="52"/>
      <c r="D622" s="51"/>
      <c r="E622" s="53"/>
      <c r="F622" s="54"/>
      <c r="G622" s="51"/>
      <c r="H622" s="51"/>
      <c r="I622" s="55"/>
      <c r="J622" s="56"/>
      <c r="K622" s="46"/>
      <c r="L622" s="46"/>
      <c r="M622" s="47"/>
      <c r="N622" s="46"/>
      <c r="O622" s="57"/>
      <c r="P622" s="46"/>
      <c r="Q622" s="46"/>
      <c r="R622" s="57"/>
      <c r="S622" s="7"/>
      <c r="T622" s="54"/>
      <c r="U622" s="58"/>
      <c r="V622" s="47"/>
      <c r="W622" s="18"/>
      <c r="X622" s="46"/>
      <c r="Y622" s="9"/>
      <c r="Z622" s="46"/>
      <c r="AA622" s="7"/>
      <c r="AB622" s="46"/>
      <c r="AC622" s="47"/>
      <c r="AD622" s="7"/>
      <c r="AE622" s="47"/>
      <c r="AF622" s="18"/>
      <c r="AG622" s="26"/>
      <c r="AH622" s="34"/>
      <c r="AI622" s="34"/>
      <c r="AJ622" s="18"/>
      <c r="AK622" s="48"/>
      <c r="AL622" s="26" t="str">
        <f>IFERROR(__xludf.DUMMYFUNCTION("""COMPUTED_VALUE"""),"* YMCTO *")</f>
        <v>* YMCTO *</v>
      </c>
      <c r="AM622" s="59">
        <f>IFERROR(__xludf.DUMMYFUNCTION("""COMPUTED_VALUE"""),136000.0)</f>
        <v>136000</v>
      </c>
    </row>
    <row r="623">
      <c r="A623" s="51"/>
      <c r="B623" s="51"/>
      <c r="C623" s="52"/>
      <c r="D623" s="51"/>
      <c r="E623" s="53"/>
      <c r="F623" s="54"/>
      <c r="G623" s="51"/>
      <c r="H623" s="51"/>
      <c r="I623" s="55"/>
      <c r="J623" s="56"/>
      <c r="K623" s="46"/>
      <c r="L623" s="46"/>
      <c r="M623" s="47"/>
      <c r="N623" s="46"/>
      <c r="O623" s="57"/>
      <c r="P623" s="46"/>
      <c r="Q623" s="46"/>
      <c r="R623" s="57"/>
      <c r="S623" s="7"/>
      <c r="T623" s="54"/>
      <c r="U623" s="58"/>
      <c r="V623" s="47"/>
      <c r="W623" s="18"/>
      <c r="X623" s="46"/>
      <c r="Y623" s="9"/>
      <c r="Z623" s="46"/>
      <c r="AA623" s="7"/>
      <c r="AB623" s="46"/>
      <c r="AC623" s="47"/>
      <c r="AD623" s="7"/>
      <c r="AE623" s="47"/>
      <c r="AF623" s="18"/>
      <c r="AG623" s="26"/>
      <c r="AH623" s="34"/>
      <c r="AI623" s="34"/>
      <c r="AJ623" s="18"/>
      <c r="AK623" s="48"/>
      <c r="AL623" s="26" t="str">
        <f>IFERROR(__xludf.DUMMYFUNCTION("""COMPUTED_VALUE"""),"* YMCUO *")</f>
        <v>* YMCUO *</v>
      </c>
      <c r="AM623" s="59">
        <f>IFERROR(__xludf.DUMMYFUNCTION("""COMPUTED_VALUE"""),100.0)</f>
        <v>100</v>
      </c>
    </row>
    <row r="624">
      <c r="A624" s="51"/>
      <c r="B624" s="51"/>
      <c r="C624" s="52"/>
      <c r="D624" s="51"/>
      <c r="E624" s="53"/>
      <c r="F624" s="54"/>
      <c r="G624" s="51"/>
      <c r="H624" s="51"/>
      <c r="I624" s="55"/>
      <c r="J624" s="56"/>
      <c r="K624" s="46"/>
      <c r="L624" s="46"/>
      <c r="M624" s="47"/>
      <c r="N624" s="46"/>
      <c r="O624" s="57"/>
      <c r="P624" s="46"/>
      <c r="Q624" s="46"/>
      <c r="R624" s="57"/>
      <c r="S624" s="7"/>
      <c r="T624" s="54"/>
      <c r="U624" s="58"/>
      <c r="V624" s="47"/>
      <c r="W624" s="18"/>
      <c r="X624" s="46"/>
      <c r="Y624" s="9"/>
      <c r="Z624" s="46"/>
      <c r="AA624" s="7"/>
      <c r="AB624" s="46"/>
      <c r="AC624" s="47"/>
      <c r="AD624" s="7"/>
      <c r="AE624" s="47"/>
      <c r="AF624" s="18"/>
      <c r="AG624" s="26"/>
      <c r="AH624" s="34"/>
      <c r="AI624" s="34"/>
      <c r="AJ624" s="18"/>
      <c r="AK624" s="48"/>
      <c r="AL624" s="26" t="str">
        <f>IFERROR(__xludf.DUMMYFUNCTION("""COMPUTED_VALUE"""),"* YMCVD *")</f>
        <v>* YMCVD *</v>
      </c>
      <c r="AM624" s="59">
        <f>IFERROR(__xludf.DUMMYFUNCTION("""COMPUTED_VALUE"""),101.0)</f>
        <v>101</v>
      </c>
    </row>
    <row r="625">
      <c r="A625" s="51"/>
      <c r="B625" s="51"/>
      <c r="C625" s="52"/>
      <c r="D625" s="51"/>
      <c r="E625" s="53"/>
      <c r="F625" s="54"/>
      <c r="G625" s="51"/>
      <c r="H625" s="51"/>
      <c r="I625" s="55"/>
      <c r="J625" s="56"/>
      <c r="K625" s="46"/>
      <c r="L625" s="46"/>
      <c r="M625" s="47"/>
      <c r="N625" s="46"/>
      <c r="O625" s="57"/>
      <c r="P625" s="46"/>
      <c r="Q625" s="46"/>
      <c r="R625" s="57"/>
      <c r="S625" s="7"/>
      <c r="T625" s="54"/>
      <c r="U625" s="58"/>
      <c r="V625" s="47"/>
      <c r="W625" s="18"/>
      <c r="X625" s="46"/>
      <c r="Y625" s="9"/>
      <c r="Z625" s="46"/>
      <c r="AA625" s="7"/>
      <c r="AB625" s="46"/>
      <c r="AC625" s="47"/>
      <c r="AD625" s="7"/>
      <c r="AE625" s="47"/>
      <c r="AF625" s="18"/>
      <c r="AG625" s="26"/>
      <c r="AH625" s="34"/>
      <c r="AI625" s="34"/>
      <c r="AJ625" s="18"/>
      <c r="AK625" s="48"/>
      <c r="AL625" s="26" t="str">
        <f>IFERROR(__xludf.DUMMYFUNCTION("""COMPUTED_VALUE"""),"* YMCVO *")</f>
        <v>* YMCVO *</v>
      </c>
      <c r="AM625" s="59">
        <f>IFERROR(__xludf.DUMMYFUNCTION("""COMPUTED_VALUE"""),147920.0)</f>
        <v>147920</v>
      </c>
    </row>
    <row r="626">
      <c r="A626" s="51"/>
      <c r="B626" s="51"/>
      <c r="C626" s="52"/>
      <c r="D626" s="51"/>
      <c r="E626" s="53"/>
      <c r="F626" s="54"/>
      <c r="G626" s="51"/>
      <c r="H626" s="51"/>
      <c r="I626" s="55"/>
      <c r="J626" s="56"/>
      <c r="K626" s="46"/>
      <c r="L626" s="46"/>
      <c r="M626" s="47"/>
      <c r="N626" s="46"/>
      <c r="O626" s="57"/>
      <c r="P626" s="46"/>
      <c r="Q626" s="46"/>
      <c r="R626" s="57"/>
      <c r="S626" s="7"/>
      <c r="T626" s="54"/>
      <c r="U626" s="58"/>
      <c r="V626" s="47"/>
      <c r="W626" s="18"/>
      <c r="X626" s="46"/>
      <c r="Y626" s="9"/>
      <c r="Z626" s="46"/>
      <c r="AA626" s="7"/>
      <c r="AB626" s="46"/>
      <c r="AC626" s="47"/>
      <c r="AD626" s="7"/>
      <c r="AE626" s="47"/>
      <c r="AF626" s="18"/>
      <c r="AG626" s="26"/>
      <c r="AH626" s="34"/>
      <c r="AI626" s="34"/>
      <c r="AJ626" s="18"/>
      <c r="AK626" s="48"/>
      <c r="AL626" s="26" t="str">
        <f>IFERROR(__xludf.DUMMYFUNCTION("""COMPUTED_VALUE"""),"* YMCWO *")</f>
        <v>* YMCWO *</v>
      </c>
      <c r="AM626" s="59">
        <f>IFERROR(__xludf.DUMMYFUNCTION("""COMPUTED_VALUE"""),140000.0)</f>
        <v>140000</v>
      </c>
    </row>
    <row r="627">
      <c r="A627" s="51"/>
      <c r="B627" s="51"/>
      <c r="C627" s="52"/>
      <c r="D627" s="51"/>
      <c r="E627" s="53"/>
      <c r="F627" s="54"/>
      <c r="G627" s="51"/>
      <c r="H627" s="51"/>
      <c r="I627" s="55"/>
      <c r="J627" s="56"/>
      <c r="K627" s="46"/>
      <c r="L627" s="46"/>
      <c r="M627" s="47"/>
      <c r="N627" s="46"/>
      <c r="O627" s="57"/>
      <c r="P627" s="46"/>
      <c r="Q627" s="46"/>
      <c r="R627" s="57"/>
      <c r="S627" s="7"/>
      <c r="T627" s="54"/>
      <c r="U627" s="58"/>
      <c r="V627" s="47"/>
      <c r="W627" s="18"/>
      <c r="X627" s="46"/>
      <c r="Y627" s="9"/>
      <c r="Z627" s="46"/>
      <c r="AA627" s="7"/>
      <c r="AB627" s="46"/>
      <c r="AC627" s="47"/>
      <c r="AD627" s="7"/>
      <c r="AE627" s="47"/>
      <c r="AF627" s="18"/>
      <c r="AG627" s="26"/>
      <c r="AH627" s="34"/>
      <c r="AI627" s="34"/>
      <c r="AJ627" s="18"/>
      <c r="AK627" s="48"/>
      <c r="AL627" s="26" t="str">
        <f>IFERROR(__xludf.DUMMYFUNCTION("""COMPUTED_VALUE"""),"* YMCXC *")</f>
        <v>* YMCXC *</v>
      </c>
      <c r="AM627" s="59">
        <f>IFERROR(__xludf.DUMMYFUNCTION("""COMPUTED_VALUE"""),106.25)</f>
        <v>106.25</v>
      </c>
    </row>
    <row r="628">
      <c r="A628" s="51"/>
      <c r="B628" s="51"/>
      <c r="C628" s="52"/>
      <c r="D628" s="51"/>
      <c r="E628" s="53"/>
      <c r="F628" s="54"/>
      <c r="G628" s="51"/>
      <c r="H628" s="51"/>
      <c r="I628" s="55"/>
      <c r="J628" s="56"/>
      <c r="K628" s="46"/>
      <c r="L628" s="46"/>
      <c r="M628" s="47"/>
      <c r="N628" s="46"/>
      <c r="O628" s="57"/>
      <c r="P628" s="46"/>
      <c r="Q628" s="46"/>
      <c r="R628" s="57"/>
      <c r="S628" s="7"/>
      <c r="T628" s="54"/>
      <c r="U628" s="58"/>
      <c r="V628" s="47"/>
      <c r="W628" s="18"/>
      <c r="X628" s="46"/>
      <c r="Y628" s="9"/>
      <c r="Z628" s="46"/>
      <c r="AA628" s="7"/>
      <c r="AB628" s="46"/>
      <c r="AC628" s="47"/>
      <c r="AD628" s="7"/>
      <c r="AE628" s="47"/>
      <c r="AF628" s="18"/>
      <c r="AG628" s="26"/>
      <c r="AH628" s="34"/>
      <c r="AI628" s="34"/>
      <c r="AJ628" s="18"/>
      <c r="AK628" s="48"/>
      <c r="AL628" s="26" t="str">
        <f>IFERROR(__xludf.DUMMYFUNCTION("""COMPUTED_VALUE"""),"* YMCXD *")</f>
        <v>* YMCXD *</v>
      </c>
      <c r="AM628" s="59">
        <f>IFERROR(__xludf.DUMMYFUNCTION("""COMPUTED_VALUE"""),107.55)</f>
        <v>107.55</v>
      </c>
    </row>
    <row r="629">
      <c r="A629" s="51"/>
      <c r="B629" s="51"/>
      <c r="C629" s="52"/>
      <c r="D629" s="51"/>
      <c r="E629" s="53"/>
      <c r="F629" s="54"/>
      <c r="G629" s="51"/>
      <c r="H629" s="51"/>
      <c r="I629" s="55"/>
      <c r="J629" s="56"/>
      <c r="K629" s="46"/>
      <c r="L629" s="46"/>
      <c r="M629" s="47"/>
      <c r="N629" s="46"/>
      <c r="O629" s="57"/>
      <c r="P629" s="46"/>
      <c r="Q629" s="46"/>
      <c r="R629" s="57"/>
      <c r="S629" s="7"/>
      <c r="T629" s="54"/>
      <c r="U629" s="58"/>
      <c r="V629" s="47"/>
      <c r="W629" s="18"/>
      <c r="X629" s="46"/>
      <c r="Y629" s="9"/>
      <c r="Z629" s="46"/>
      <c r="AA629" s="7"/>
      <c r="AB629" s="46"/>
      <c r="AC629" s="47"/>
      <c r="AD629" s="7"/>
      <c r="AE629" s="47"/>
      <c r="AF629" s="18"/>
      <c r="AG629" s="26"/>
      <c r="AH629" s="34"/>
      <c r="AI629" s="34"/>
      <c r="AJ629" s="18"/>
      <c r="AK629" s="48"/>
      <c r="AL629" s="26" t="str">
        <f>IFERROR(__xludf.DUMMYFUNCTION("""COMPUTED_VALUE"""),"* YMCXO *")</f>
        <v>* YMCXO *</v>
      </c>
      <c r="AM629" s="59">
        <f>IFERROR(__xludf.DUMMYFUNCTION("""COMPUTED_VALUE"""),157510.0)</f>
        <v>157510</v>
      </c>
    </row>
    <row r="630">
      <c r="A630" s="51"/>
      <c r="B630" s="51"/>
      <c r="C630" s="52"/>
      <c r="D630" s="51"/>
      <c r="E630" s="53"/>
      <c r="F630" s="54"/>
      <c r="G630" s="51"/>
      <c r="H630" s="51"/>
      <c r="I630" s="55"/>
      <c r="J630" s="56"/>
      <c r="K630" s="46"/>
      <c r="L630" s="46"/>
      <c r="M630" s="47"/>
      <c r="N630" s="46"/>
      <c r="O630" s="57"/>
      <c r="P630" s="46"/>
      <c r="Q630" s="46"/>
      <c r="R630" s="57"/>
      <c r="S630" s="7"/>
      <c r="T630" s="54"/>
      <c r="U630" s="58"/>
      <c r="V630" s="47"/>
      <c r="W630" s="18"/>
      <c r="X630" s="46"/>
      <c r="Y630" s="9"/>
      <c r="Z630" s="46"/>
      <c r="AA630" s="7"/>
      <c r="AB630" s="46"/>
      <c r="AC630" s="47"/>
      <c r="AD630" s="7"/>
      <c r="AE630" s="47"/>
      <c r="AF630" s="18"/>
      <c r="AG630" s="26"/>
      <c r="AH630" s="34"/>
      <c r="AI630" s="34"/>
      <c r="AJ630" s="18"/>
      <c r="AK630" s="48"/>
      <c r="AL630" s="26" t="str">
        <f>IFERROR(__xludf.DUMMYFUNCTION("""COMPUTED_VALUE"""),"* YMCYD *")</f>
        <v>* YMCYD *</v>
      </c>
      <c r="AM630" s="59">
        <f>IFERROR(__xludf.DUMMYFUNCTION("""COMPUTED_VALUE"""),99.8)</f>
        <v>99.8</v>
      </c>
    </row>
    <row r="631">
      <c r="A631" s="51"/>
      <c r="B631" s="51"/>
      <c r="C631" s="52"/>
      <c r="D631" s="51"/>
      <c r="E631" s="53"/>
      <c r="F631" s="54"/>
      <c r="G631" s="51"/>
      <c r="H631" s="51"/>
      <c r="I631" s="55"/>
      <c r="J631" s="56"/>
      <c r="K631" s="46"/>
      <c r="L631" s="46"/>
      <c r="M631" s="47"/>
      <c r="N631" s="46"/>
      <c r="O631" s="57"/>
      <c r="P631" s="46"/>
      <c r="Q631" s="46"/>
      <c r="R631" s="57"/>
      <c r="S631" s="7"/>
      <c r="T631" s="54"/>
      <c r="U631" s="58"/>
      <c r="V631" s="47"/>
      <c r="W631" s="18"/>
      <c r="X631" s="46"/>
      <c r="Y631" s="9"/>
      <c r="Z631" s="46"/>
      <c r="AA631" s="7"/>
      <c r="AB631" s="46"/>
      <c r="AC631" s="47"/>
      <c r="AD631" s="7"/>
      <c r="AE631" s="47"/>
      <c r="AF631" s="18"/>
      <c r="AG631" s="26"/>
      <c r="AH631" s="34"/>
      <c r="AI631" s="34"/>
      <c r="AJ631" s="18"/>
      <c r="AK631" s="48"/>
      <c r="AL631" s="26" t="str">
        <f>IFERROR(__xludf.DUMMYFUNCTION("""COMPUTED_VALUE"""),"* YMCYO *")</f>
        <v>* YMCYO *</v>
      </c>
      <c r="AM631" s="59">
        <f>IFERROR(__xludf.DUMMYFUNCTION("""COMPUTED_VALUE"""),146000.0)</f>
        <v>146000</v>
      </c>
    </row>
    <row r="632">
      <c r="A632" s="51"/>
      <c r="B632" s="51"/>
      <c r="C632" s="52"/>
      <c r="D632" s="51"/>
      <c r="E632" s="53"/>
      <c r="F632" s="54"/>
      <c r="G632" s="51"/>
      <c r="H632" s="51"/>
      <c r="I632" s="55"/>
      <c r="J632" s="56"/>
      <c r="K632" s="46"/>
      <c r="L632" s="46"/>
      <c r="M632" s="47"/>
      <c r="N632" s="46"/>
      <c r="O632" s="57"/>
      <c r="P632" s="46"/>
      <c r="Q632" s="46"/>
      <c r="R632" s="57"/>
      <c r="S632" s="7"/>
      <c r="T632" s="54"/>
      <c r="U632" s="58"/>
      <c r="V632" s="47"/>
      <c r="W632" s="18"/>
      <c r="X632" s="46"/>
      <c r="Y632" s="9"/>
      <c r="Z632" s="46"/>
      <c r="AA632" s="7"/>
      <c r="AB632" s="46"/>
      <c r="AC632" s="47"/>
      <c r="AD632" s="7"/>
      <c r="AE632" s="47"/>
      <c r="AF632" s="18"/>
      <c r="AG632" s="26"/>
      <c r="AH632" s="34"/>
      <c r="AI632" s="34"/>
      <c r="AJ632" s="18"/>
      <c r="AK632" s="48"/>
      <c r="AL632" s="26" t="str">
        <f>IFERROR(__xludf.DUMMYFUNCTION("""COMPUTED_VALUE"""),"* YMCZD *")</f>
        <v>* YMCZD *</v>
      </c>
      <c r="AM632" s="59">
        <f>IFERROR(__xludf.DUMMYFUNCTION("""COMPUTED_VALUE"""),104.0)</f>
        <v>104</v>
      </c>
    </row>
    <row r="633">
      <c r="A633" s="51"/>
      <c r="B633" s="51"/>
      <c r="C633" s="52"/>
      <c r="D633" s="51"/>
      <c r="E633" s="53"/>
      <c r="F633" s="54"/>
      <c r="G633" s="51"/>
      <c r="H633" s="51"/>
      <c r="I633" s="55"/>
      <c r="J633" s="56"/>
      <c r="K633" s="46"/>
      <c r="L633" s="46"/>
      <c r="M633" s="47"/>
      <c r="N633" s="46"/>
      <c r="O633" s="57"/>
      <c r="P633" s="46"/>
      <c r="Q633" s="46"/>
      <c r="R633" s="57"/>
      <c r="S633" s="7"/>
      <c r="T633" s="54"/>
      <c r="U633" s="58"/>
      <c r="V633" s="47"/>
      <c r="W633" s="18"/>
      <c r="X633" s="46"/>
      <c r="Y633" s="9"/>
      <c r="Z633" s="46"/>
      <c r="AA633" s="7"/>
      <c r="AB633" s="46"/>
      <c r="AC633" s="47"/>
      <c r="AD633" s="7"/>
      <c r="AE633" s="47"/>
      <c r="AF633" s="18"/>
      <c r="AG633" s="26"/>
      <c r="AH633" s="34"/>
      <c r="AI633" s="34"/>
      <c r="AJ633" s="18"/>
      <c r="AK633" s="48"/>
      <c r="AL633" s="26" t="str">
        <f>IFERROR(__xludf.DUMMYFUNCTION("""COMPUTED_VALUE"""),"* YMCZO *")</f>
        <v>* YMCZO *</v>
      </c>
      <c r="AM633" s="59">
        <f>IFERROR(__xludf.DUMMYFUNCTION("""COMPUTED_VALUE"""),153480.0)</f>
        <v>153480</v>
      </c>
    </row>
    <row r="634">
      <c r="A634" s="51"/>
      <c r="B634" s="51"/>
      <c r="C634" s="52"/>
      <c r="D634" s="51"/>
      <c r="E634" s="53"/>
      <c r="F634" s="54"/>
      <c r="G634" s="51"/>
      <c r="H634" s="51"/>
      <c r="I634" s="55"/>
      <c r="J634" s="56"/>
      <c r="K634" s="46"/>
      <c r="L634" s="46"/>
      <c r="M634" s="47"/>
      <c r="N634" s="46"/>
      <c r="O634" s="57"/>
      <c r="P634" s="46"/>
      <c r="Q634" s="46"/>
      <c r="R634" s="57"/>
      <c r="S634" s="7"/>
      <c r="T634" s="54"/>
      <c r="U634" s="58"/>
      <c r="V634" s="47"/>
      <c r="W634" s="18"/>
      <c r="X634" s="46"/>
      <c r="Y634" s="9"/>
      <c r="Z634" s="46"/>
      <c r="AA634" s="7"/>
      <c r="AB634" s="46"/>
      <c r="AC634" s="47"/>
      <c r="AD634" s="7"/>
      <c r="AE634" s="47"/>
      <c r="AF634" s="18"/>
      <c r="AG634" s="26"/>
      <c r="AH634" s="34"/>
      <c r="AI634" s="34"/>
      <c r="AJ634" s="18"/>
      <c r="AK634" s="48"/>
      <c r="AL634" s="26" t="str">
        <f>IFERROR(__xludf.DUMMYFUNCTION("""COMPUTED_VALUE"""),"* ZPC1O *")</f>
        <v>* ZPC1O *</v>
      </c>
      <c r="AM634" s="59">
        <f>IFERROR(__xludf.DUMMYFUNCTION("""COMPUTED_VALUE"""),103.0)</f>
        <v>103</v>
      </c>
    </row>
    <row r="635">
      <c r="A635" s="51"/>
      <c r="B635" s="51"/>
      <c r="C635" s="52"/>
      <c r="D635" s="51"/>
      <c r="E635" s="53"/>
      <c r="F635" s="54"/>
      <c r="G635" s="51"/>
      <c r="H635" s="51"/>
      <c r="I635" s="55"/>
      <c r="J635" s="56"/>
      <c r="K635" s="46"/>
      <c r="L635" s="46"/>
      <c r="M635" s="47"/>
      <c r="N635" s="46"/>
      <c r="O635" s="57"/>
      <c r="P635" s="46"/>
      <c r="Q635" s="46"/>
      <c r="R635" s="57"/>
      <c r="S635" s="7"/>
      <c r="T635" s="54"/>
      <c r="U635" s="58"/>
      <c r="V635" s="47"/>
      <c r="W635" s="18"/>
      <c r="X635" s="46"/>
      <c r="Y635" s="9"/>
      <c r="Z635" s="46"/>
      <c r="AA635" s="7"/>
      <c r="AB635" s="46"/>
      <c r="AC635" s="47"/>
      <c r="AD635" s="7"/>
      <c r="AE635" s="47"/>
      <c r="AF635" s="18"/>
      <c r="AG635" s="26"/>
      <c r="AH635" s="34"/>
      <c r="AI635" s="34"/>
      <c r="AJ635" s="18"/>
      <c r="AK635" s="48"/>
      <c r="AL635" s="26" t="str">
        <f>IFERROR(__xludf.DUMMYFUNCTION("""COMPUTED_VALUE"""),"* ZPC2D *")</f>
        <v>* ZPC2D *</v>
      </c>
      <c r="AM635" s="59">
        <f>IFERROR(__xludf.DUMMYFUNCTION("""COMPUTED_VALUE"""),98.25)</f>
        <v>98.25</v>
      </c>
    </row>
    <row r="636">
      <c r="A636" s="51"/>
      <c r="B636" s="51"/>
      <c r="C636" s="52"/>
      <c r="D636" s="51"/>
      <c r="E636" s="53"/>
      <c r="F636" s="54"/>
      <c r="G636" s="51"/>
      <c r="H636" s="51"/>
      <c r="I636" s="55"/>
      <c r="J636" s="56"/>
      <c r="K636" s="46"/>
      <c r="L636" s="46"/>
      <c r="M636" s="47"/>
      <c r="N636" s="46"/>
      <c r="O636" s="57"/>
      <c r="P636" s="46"/>
      <c r="Q636" s="46"/>
      <c r="R636" s="57"/>
      <c r="S636" s="7"/>
      <c r="T636" s="54"/>
      <c r="U636" s="58"/>
      <c r="V636" s="47"/>
      <c r="W636" s="18"/>
      <c r="X636" s="46"/>
      <c r="Y636" s="9"/>
      <c r="Z636" s="46"/>
      <c r="AA636" s="7"/>
      <c r="AB636" s="46"/>
      <c r="AC636" s="47"/>
      <c r="AD636" s="7"/>
      <c r="AE636" s="47"/>
      <c r="AF636" s="18"/>
      <c r="AG636" s="26"/>
      <c r="AH636" s="34"/>
      <c r="AI636" s="34"/>
      <c r="AJ636" s="18"/>
      <c r="AK636" s="48"/>
      <c r="AL636" s="26" t="str">
        <f>IFERROR(__xludf.DUMMYFUNCTION("""COMPUTED_VALUE"""),"* ZPC2O *")</f>
        <v>* ZPC2O *</v>
      </c>
      <c r="AM636" s="59">
        <f>IFERROR(__xludf.DUMMYFUNCTION("""COMPUTED_VALUE"""),144000.0)</f>
        <v>144000</v>
      </c>
    </row>
    <row r="637">
      <c r="A637" s="51"/>
      <c r="B637" s="51"/>
      <c r="C637" s="52"/>
      <c r="D637" s="51"/>
      <c r="E637" s="53"/>
      <c r="F637" s="54"/>
      <c r="G637" s="51"/>
      <c r="H637" s="51"/>
      <c r="I637" s="55"/>
      <c r="J637" s="56"/>
      <c r="K637" s="46"/>
      <c r="L637" s="46"/>
      <c r="M637" s="47"/>
      <c r="N637" s="46"/>
      <c r="O637" s="57"/>
      <c r="P637" s="46"/>
      <c r="Q637" s="46"/>
      <c r="R637" s="57"/>
      <c r="S637" s="7"/>
      <c r="T637" s="54"/>
      <c r="U637" s="58"/>
      <c r="V637" s="47"/>
      <c r="W637" s="18"/>
      <c r="X637" s="46"/>
      <c r="Y637" s="9"/>
      <c r="Z637" s="46"/>
      <c r="AA637" s="7"/>
      <c r="AB637" s="46"/>
      <c r="AC637" s="47"/>
      <c r="AD637" s="7"/>
      <c r="AE637" s="47"/>
      <c r="AF637" s="18"/>
      <c r="AG637" s="26"/>
      <c r="AH637" s="34"/>
      <c r="AI637" s="34"/>
      <c r="AJ637" s="18"/>
      <c r="AK637" s="48"/>
      <c r="AL637" s="26" t="str">
        <f>IFERROR(__xludf.DUMMYFUNCTION("""COMPUTED_VALUE"""),"* ZPC3D *")</f>
        <v>* ZPC3D *</v>
      </c>
      <c r="AM637" s="59">
        <f>IFERROR(__xludf.DUMMYFUNCTION("""COMPUTED_VALUE"""),101.8)</f>
        <v>101.8</v>
      </c>
    </row>
    <row r="638">
      <c r="A638" s="51"/>
      <c r="B638" s="51"/>
      <c r="C638" s="52"/>
      <c r="D638" s="51"/>
      <c r="E638" s="53"/>
      <c r="F638" s="54"/>
      <c r="G638" s="51"/>
      <c r="H638" s="51"/>
      <c r="I638" s="55"/>
      <c r="J638" s="56"/>
      <c r="K638" s="46"/>
      <c r="L638" s="46"/>
      <c r="M638" s="47"/>
      <c r="N638" s="46"/>
      <c r="O638" s="57"/>
      <c r="P638" s="46"/>
      <c r="Q638" s="46"/>
      <c r="R638" s="57"/>
      <c r="S638" s="7"/>
      <c r="T638" s="54"/>
      <c r="U638" s="58"/>
      <c r="V638" s="47"/>
      <c r="W638" s="18"/>
      <c r="X638" s="46"/>
      <c r="Y638" s="9"/>
      <c r="Z638" s="46"/>
      <c r="AA638" s="7"/>
      <c r="AB638" s="46"/>
      <c r="AC638" s="47"/>
      <c r="AD638" s="7"/>
      <c r="AE638" s="47"/>
      <c r="AF638" s="18"/>
      <c r="AG638" s="26"/>
      <c r="AH638" s="34"/>
      <c r="AI638" s="34"/>
      <c r="AJ638" s="18"/>
      <c r="AK638" s="48"/>
      <c r="AL638" s="26" t="str">
        <f>IFERROR(__xludf.DUMMYFUNCTION("""COMPUTED_VALUE"""),"* ZPC3O *")</f>
        <v>* ZPC3O *</v>
      </c>
      <c r="AM638" s="59">
        <f>IFERROR(__xludf.DUMMYFUNCTION("""COMPUTED_VALUE"""),150000.0)</f>
        <v>150000</v>
      </c>
    </row>
    <row r="639">
      <c r="A639" s="51"/>
      <c r="B639" s="51"/>
      <c r="C639" s="52"/>
      <c r="D639" s="51"/>
      <c r="E639" s="53"/>
      <c r="F639" s="54"/>
      <c r="G639" s="51"/>
      <c r="H639" s="51"/>
      <c r="I639" s="55"/>
      <c r="J639" s="56"/>
      <c r="K639" s="46"/>
      <c r="L639" s="46"/>
      <c r="M639" s="47"/>
      <c r="N639" s="46"/>
      <c r="O639" s="57"/>
      <c r="P639" s="46"/>
      <c r="Q639" s="46"/>
      <c r="R639" s="57"/>
      <c r="S639" s="7"/>
      <c r="T639" s="54"/>
      <c r="U639" s="58"/>
      <c r="V639" s="47"/>
      <c r="W639" s="18"/>
      <c r="X639" s="46"/>
      <c r="Y639" s="9"/>
      <c r="Z639" s="46"/>
      <c r="AA639" s="7"/>
      <c r="AB639" s="46"/>
      <c r="AC639" s="47"/>
      <c r="AD639" s="7"/>
      <c r="AE639" s="47"/>
      <c r="AF639" s="18"/>
      <c r="AG639" s="26"/>
      <c r="AH639" s="34"/>
      <c r="AI639" s="34"/>
      <c r="AJ639" s="18"/>
      <c r="AK639" s="48"/>
      <c r="AL639" s="26" t="str">
        <f>IFERROR(__xludf.DUMMYFUNCTION("""COMPUTED_VALUE"""),"* ZZC1D *")</f>
        <v>* ZZC1D *</v>
      </c>
      <c r="AM639" s="59">
        <f>IFERROR(__xludf.DUMMYFUNCTION("""COMPUTED_VALUE"""),101.45)</f>
        <v>101.45</v>
      </c>
    </row>
    <row r="640">
      <c r="A640" s="51"/>
      <c r="B640" s="51"/>
      <c r="C640" s="52"/>
      <c r="D640" s="51"/>
      <c r="E640" s="53"/>
      <c r="F640" s="54"/>
      <c r="G640" s="51"/>
      <c r="H640" s="51"/>
      <c r="I640" s="55"/>
      <c r="J640" s="56"/>
      <c r="K640" s="46"/>
      <c r="L640" s="46"/>
      <c r="M640" s="47"/>
      <c r="N640" s="46"/>
      <c r="O640" s="57"/>
      <c r="P640" s="46"/>
      <c r="Q640" s="46"/>
      <c r="R640" s="57"/>
      <c r="S640" s="7"/>
      <c r="T640" s="54"/>
      <c r="U640" s="58"/>
      <c r="V640" s="47"/>
      <c r="W640" s="18"/>
      <c r="X640" s="46"/>
      <c r="Y640" s="9"/>
      <c r="Z640" s="46"/>
      <c r="AA640" s="7"/>
      <c r="AB640" s="46"/>
      <c r="AC640" s="47"/>
      <c r="AD640" s="7"/>
      <c r="AE640" s="47"/>
      <c r="AF640" s="18"/>
      <c r="AG640" s="26"/>
      <c r="AH640" s="34"/>
      <c r="AI640" s="34"/>
      <c r="AJ640" s="18"/>
      <c r="AK640" s="48"/>
      <c r="AL640" s="26" t="str">
        <f>IFERROR(__xludf.DUMMYFUNCTION("""COMPUTED_VALUE"""),"* ZZC1O *")</f>
        <v>* ZZC1O *</v>
      </c>
      <c r="AM640" s="59">
        <f>IFERROR(__xludf.DUMMYFUNCTION("""COMPUTED_VALUE"""),148550.0)</f>
        <v>148550</v>
      </c>
    </row>
    <row r="641">
      <c r="A641" s="51"/>
      <c r="B641" s="51"/>
      <c r="C641" s="52"/>
      <c r="D641" s="51"/>
      <c r="E641" s="53"/>
      <c r="F641" s="54"/>
      <c r="G641" s="51"/>
      <c r="H641" s="51"/>
      <c r="I641" s="55"/>
      <c r="J641" s="56"/>
      <c r="K641" s="46"/>
      <c r="L641" s="46"/>
      <c r="M641" s="47"/>
      <c r="N641" s="46"/>
      <c r="O641" s="57"/>
      <c r="P641" s="46"/>
      <c r="Q641" s="46"/>
      <c r="R641" s="57"/>
      <c r="S641" s="7"/>
      <c r="T641" s="54"/>
      <c r="U641" s="58"/>
      <c r="V641" s="47"/>
      <c r="W641" s="18"/>
      <c r="X641" s="46"/>
      <c r="Y641" s="9"/>
      <c r="Z641" s="46"/>
      <c r="AA641" s="7"/>
      <c r="AB641" s="46"/>
      <c r="AC641" s="47"/>
      <c r="AD641" s="7"/>
      <c r="AE641" s="47"/>
      <c r="AF641" s="18"/>
      <c r="AG641" s="26"/>
      <c r="AH641" s="34"/>
      <c r="AI641" s="34"/>
      <c r="AJ641" s="18"/>
      <c r="AK641" s="48"/>
      <c r="AL641" s="26"/>
      <c r="AM641" s="26"/>
    </row>
    <row r="642">
      <c r="A642" s="51"/>
      <c r="B642" s="51"/>
      <c r="C642" s="52"/>
      <c r="D642" s="51"/>
      <c r="E642" s="53"/>
      <c r="F642" s="54"/>
      <c r="G642" s="51"/>
      <c r="H642" s="51"/>
      <c r="I642" s="55"/>
      <c r="J642" s="56"/>
      <c r="K642" s="46"/>
      <c r="L642" s="46"/>
      <c r="M642" s="47"/>
      <c r="N642" s="46"/>
      <c r="O642" s="57"/>
      <c r="P642" s="46"/>
      <c r="Q642" s="46"/>
      <c r="R642" s="57"/>
      <c r="S642" s="7"/>
      <c r="T642" s="54"/>
      <c r="U642" s="58"/>
      <c r="V642" s="47"/>
      <c r="W642" s="18"/>
      <c r="X642" s="46"/>
      <c r="Y642" s="9"/>
      <c r="Z642" s="46"/>
      <c r="AA642" s="7"/>
      <c r="AB642" s="46"/>
      <c r="AC642" s="47"/>
      <c r="AD642" s="7"/>
      <c r="AE642" s="47"/>
      <c r="AF642" s="18"/>
      <c r="AG642" s="26"/>
      <c r="AH642" s="34"/>
      <c r="AI642" s="34"/>
      <c r="AJ642" s="18"/>
      <c r="AK642" s="48"/>
      <c r="AL642" s="26"/>
      <c r="AM642" s="26"/>
    </row>
    <row r="643">
      <c r="A643" s="51"/>
      <c r="B643" s="51"/>
      <c r="C643" s="52"/>
      <c r="D643" s="51"/>
      <c r="E643" s="53"/>
      <c r="F643" s="54"/>
      <c r="G643" s="51"/>
      <c r="H643" s="51"/>
      <c r="I643" s="55"/>
      <c r="J643" s="56"/>
      <c r="K643" s="46"/>
      <c r="L643" s="46"/>
      <c r="M643" s="47"/>
      <c r="N643" s="46"/>
      <c r="O643" s="57"/>
      <c r="P643" s="46"/>
      <c r="Q643" s="46"/>
      <c r="R643" s="57"/>
      <c r="S643" s="7"/>
      <c r="T643" s="54"/>
      <c r="U643" s="58"/>
      <c r="V643" s="47"/>
      <c r="W643" s="18"/>
      <c r="X643" s="46"/>
      <c r="Y643" s="9"/>
      <c r="Z643" s="46"/>
      <c r="AA643" s="7"/>
      <c r="AB643" s="46"/>
      <c r="AC643" s="47"/>
      <c r="AD643" s="7"/>
      <c r="AE643" s="47"/>
      <c r="AF643" s="18"/>
      <c r="AG643" s="26"/>
      <c r="AH643" s="34"/>
      <c r="AI643" s="34"/>
      <c r="AJ643" s="18"/>
      <c r="AK643" s="48"/>
      <c r="AL643" s="26"/>
      <c r="AM643" s="26"/>
    </row>
    <row r="644">
      <c r="A644" s="51"/>
      <c r="B644" s="51"/>
      <c r="C644" s="52"/>
      <c r="D644" s="51"/>
      <c r="E644" s="53"/>
      <c r="F644" s="54"/>
      <c r="G644" s="51"/>
      <c r="H644" s="51"/>
      <c r="I644" s="55"/>
      <c r="J644" s="56"/>
      <c r="K644" s="46"/>
      <c r="L644" s="46"/>
      <c r="M644" s="47"/>
      <c r="N644" s="46"/>
      <c r="O644" s="57"/>
      <c r="P644" s="46"/>
      <c r="Q644" s="46"/>
      <c r="R644" s="57"/>
      <c r="S644" s="7"/>
      <c r="T644" s="54"/>
      <c r="U644" s="58"/>
      <c r="V644" s="47"/>
      <c r="W644" s="18"/>
      <c r="X644" s="46"/>
      <c r="Y644" s="9"/>
      <c r="Z644" s="46"/>
      <c r="AA644" s="7"/>
      <c r="AB644" s="46"/>
      <c r="AC644" s="47"/>
      <c r="AD644" s="7"/>
      <c r="AE644" s="47"/>
      <c r="AF644" s="18"/>
      <c r="AG644" s="26"/>
      <c r="AH644" s="34"/>
      <c r="AI644" s="34"/>
      <c r="AJ644" s="18"/>
      <c r="AK644" s="48"/>
      <c r="AL644" s="26"/>
      <c r="AM644" s="26"/>
    </row>
    <row r="645">
      <c r="A645" s="51"/>
      <c r="B645" s="51"/>
      <c r="C645" s="52"/>
      <c r="D645" s="51"/>
      <c r="E645" s="53"/>
      <c r="F645" s="54"/>
      <c r="G645" s="51"/>
      <c r="H645" s="51"/>
      <c r="I645" s="55"/>
      <c r="J645" s="56"/>
      <c r="K645" s="46"/>
      <c r="L645" s="46"/>
      <c r="M645" s="47"/>
      <c r="N645" s="46"/>
      <c r="O645" s="57"/>
      <c r="P645" s="46"/>
      <c r="Q645" s="46"/>
      <c r="R645" s="57"/>
      <c r="S645" s="7"/>
      <c r="T645" s="54"/>
      <c r="U645" s="58"/>
      <c r="V645" s="47"/>
      <c r="W645" s="18"/>
      <c r="X645" s="46"/>
      <c r="Y645" s="9"/>
      <c r="Z645" s="46"/>
      <c r="AA645" s="7"/>
      <c r="AB645" s="46"/>
      <c r="AC645" s="47"/>
      <c r="AD645" s="7"/>
      <c r="AE645" s="47"/>
      <c r="AF645" s="18"/>
      <c r="AG645" s="26"/>
      <c r="AH645" s="34"/>
      <c r="AI645" s="34"/>
      <c r="AJ645" s="18"/>
      <c r="AK645" s="48"/>
      <c r="AL645" s="26"/>
      <c r="AM645" s="26"/>
    </row>
    <row r="646">
      <c r="A646" s="51"/>
      <c r="B646" s="51"/>
      <c r="C646" s="52"/>
      <c r="D646" s="51"/>
      <c r="E646" s="53"/>
      <c r="F646" s="54"/>
      <c r="G646" s="51"/>
      <c r="H646" s="51"/>
      <c r="I646" s="55"/>
      <c r="J646" s="56"/>
      <c r="K646" s="46"/>
      <c r="L646" s="46"/>
      <c r="M646" s="47"/>
      <c r="N646" s="46"/>
      <c r="O646" s="57"/>
      <c r="P646" s="46"/>
      <c r="Q646" s="46"/>
      <c r="R646" s="57"/>
      <c r="S646" s="7"/>
      <c r="T646" s="54"/>
      <c r="U646" s="58"/>
      <c r="V646" s="47"/>
      <c r="W646" s="18"/>
      <c r="X646" s="46"/>
      <c r="Y646" s="9"/>
      <c r="Z646" s="46"/>
      <c r="AA646" s="7"/>
      <c r="AB646" s="46"/>
      <c r="AC646" s="47"/>
      <c r="AD646" s="7"/>
      <c r="AE646" s="47"/>
      <c r="AF646" s="18"/>
      <c r="AG646" s="26"/>
      <c r="AH646" s="34"/>
      <c r="AI646" s="34"/>
      <c r="AJ646" s="18"/>
      <c r="AK646" s="48"/>
      <c r="AL646" s="26"/>
      <c r="AM646" s="26"/>
    </row>
    <row r="647">
      <c r="A647" s="51"/>
      <c r="B647" s="51"/>
      <c r="C647" s="52"/>
      <c r="D647" s="51"/>
      <c r="E647" s="53"/>
      <c r="F647" s="54"/>
      <c r="G647" s="51"/>
      <c r="H647" s="51"/>
      <c r="I647" s="55"/>
      <c r="J647" s="56"/>
      <c r="K647" s="46"/>
      <c r="L647" s="46"/>
      <c r="M647" s="47"/>
      <c r="N647" s="46"/>
      <c r="O647" s="57"/>
      <c r="P647" s="46"/>
      <c r="Q647" s="46"/>
      <c r="R647" s="57"/>
      <c r="S647" s="7"/>
      <c r="T647" s="54"/>
      <c r="U647" s="58"/>
      <c r="V647" s="47"/>
      <c r="W647" s="18"/>
      <c r="X647" s="46"/>
      <c r="Y647" s="9"/>
      <c r="Z647" s="46"/>
      <c r="AA647" s="7"/>
      <c r="AB647" s="46"/>
      <c r="AC647" s="47"/>
      <c r="AD647" s="7"/>
      <c r="AE647" s="47"/>
      <c r="AF647" s="18"/>
      <c r="AG647" s="26"/>
      <c r="AH647" s="34"/>
      <c r="AI647" s="34"/>
      <c r="AJ647" s="18"/>
      <c r="AK647" s="48"/>
      <c r="AL647" s="26"/>
      <c r="AM647" s="26"/>
    </row>
    <row r="648">
      <c r="A648" s="51"/>
      <c r="B648" s="51"/>
      <c r="C648" s="52"/>
      <c r="D648" s="51"/>
      <c r="E648" s="53"/>
      <c r="F648" s="54"/>
      <c r="G648" s="51"/>
      <c r="H648" s="51"/>
      <c r="I648" s="55"/>
      <c r="J648" s="56"/>
      <c r="K648" s="46"/>
      <c r="L648" s="46"/>
      <c r="M648" s="47"/>
      <c r="N648" s="46"/>
      <c r="O648" s="57"/>
      <c r="P648" s="46"/>
      <c r="Q648" s="46"/>
      <c r="R648" s="57"/>
      <c r="S648" s="7"/>
      <c r="T648" s="54"/>
      <c r="U648" s="58"/>
      <c r="V648" s="47"/>
      <c r="W648" s="18"/>
      <c r="X648" s="46"/>
      <c r="Y648" s="9"/>
      <c r="Z648" s="46"/>
      <c r="AA648" s="7"/>
      <c r="AB648" s="46"/>
      <c r="AC648" s="47"/>
      <c r="AD648" s="7"/>
      <c r="AE648" s="47"/>
      <c r="AF648" s="18"/>
      <c r="AG648" s="26"/>
      <c r="AH648" s="34"/>
      <c r="AI648" s="34"/>
      <c r="AJ648" s="18"/>
      <c r="AK648" s="48"/>
      <c r="AL648" s="26"/>
      <c r="AM648" s="26"/>
    </row>
    <row r="649">
      <c r="A649" s="51"/>
      <c r="B649" s="51"/>
      <c r="C649" s="52"/>
      <c r="D649" s="51"/>
      <c r="E649" s="53"/>
      <c r="F649" s="54"/>
      <c r="G649" s="51"/>
      <c r="H649" s="51"/>
      <c r="I649" s="55"/>
      <c r="J649" s="56"/>
      <c r="K649" s="46"/>
      <c r="L649" s="46"/>
      <c r="M649" s="47"/>
      <c r="N649" s="46"/>
      <c r="O649" s="57"/>
      <c r="P649" s="46"/>
      <c r="Q649" s="46"/>
      <c r="R649" s="57"/>
      <c r="S649" s="7"/>
      <c r="T649" s="54"/>
      <c r="U649" s="58"/>
      <c r="V649" s="47"/>
      <c r="W649" s="18"/>
      <c r="X649" s="46"/>
      <c r="Y649" s="9"/>
      <c r="Z649" s="46"/>
      <c r="AA649" s="7"/>
      <c r="AB649" s="46"/>
      <c r="AC649" s="47"/>
      <c r="AD649" s="7"/>
      <c r="AE649" s="47"/>
      <c r="AF649" s="18"/>
      <c r="AG649" s="26"/>
      <c r="AH649" s="34"/>
      <c r="AI649" s="34"/>
      <c r="AJ649" s="18"/>
      <c r="AK649" s="48"/>
      <c r="AL649" s="26"/>
      <c r="AM649" s="26"/>
    </row>
    <row r="650">
      <c r="A650" s="51"/>
      <c r="B650" s="51"/>
      <c r="C650" s="52"/>
      <c r="D650" s="51"/>
      <c r="E650" s="53"/>
      <c r="F650" s="54"/>
      <c r="G650" s="51"/>
      <c r="H650" s="51"/>
      <c r="I650" s="55"/>
      <c r="J650" s="56"/>
      <c r="K650" s="46"/>
      <c r="L650" s="46"/>
      <c r="M650" s="47"/>
      <c r="N650" s="46"/>
      <c r="O650" s="57"/>
      <c r="P650" s="46"/>
      <c r="Q650" s="46"/>
      <c r="R650" s="57"/>
      <c r="S650" s="7"/>
      <c r="T650" s="54"/>
      <c r="U650" s="58"/>
      <c r="V650" s="47"/>
      <c r="W650" s="18"/>
      <c r="X650" s="46"/>
      <c r="Y650" s="9"/>
      <c r="Z650" s="46"/>
      <c r="AA650" s="7"/>
      <c r="AB650" s="46"/>
      <c r="AC650" s="47"/>
      <c r="AD650" s="7"/>
      <c r="AE650" s="47"/>
      <c r="AF650" s="18"/>
      <c r="AG650" s="26"/>
      <c r="AH650" s="34"/>
      <c r="AI650" s="34"/>
      <c r="AJ650" s="18"/>
      <c r="AK650" s="48"/>
      <c r="AL650" s="26"/>
      <c r="AM650" s="26"/>
    </row>
    <row r="651">
      <c r="A651" s="51"/>
      <c r="B651" s="51"/>
      <c r="C651" s="52"/>
      <c r="D651" s="51"/>
      <c r="E651" s="53"/>
      <c r="F651" s="54"/>
      <c r="G651" s="51"/>
      <c r="H651" s="51"/>
      <c r="I651" s="55"/>
      <c r="J651" s="56"/>
      <c r="K651" s="46"/>
      <c r="L651" s="46"/>
      <c r="M651" s="47"/>
      <c r="N651" s="46"/>
      <c r="O651" s="57"/>
      <c r="P651" s="46"/>
      <c r="Q651" s="46"/>
      <c r="R651" s="57"/>
      <c r="S651" s="7"/>
      <c r="T651" s="54"/>
      <c r="U651" s="58"/>
      <c r="V651" s="47"/>
      <c r="W651" s="18"/>
      <c r="X651" s="46"/>
      <c r="Y651" s="9"/>
      <c r="Z651" s="46"/>
      <c r="AA651" s="7"/>
      <c r="AB651" s="46"/>
      <c r="AC651" s="47"/>
      <c r="AD651" s="7"/>
      <c r="AE651" s="47"/>
      <c r="AF651" s="18"/>
      <c r="AG651" s="26"/>
      <c r="AH651" s="34"/>
      <c r="AI651" s="34"/>
      <c r="AJ651" s="18"/>
      <c r="AK651" s="48"/>
      <c r="AL651" s="26"/>
      <c r="AM651" s="26"/>
    </row>
    <row r="652">
      <c r="A652" s="51"/>
      <c r="B652" s="51"/>
      <c r="C652" s="52"/>
      <c r="D652" s="51"/>
      <c r="E652" s="53"/>
      <c r="F652" s="54"/>
      <c r="G652" s="51"/>
      <c r="H652" s="51"/>
      <c r="I652" s="55"/>
      <c r="J652" s="56"/>
      <c r="K652" s="46"/>
      <c r="L652" s="46"/>
      <c r="M652" s="47"/>
      <c r="N652" s="46"/>
      <c r="O652" s="57"/>
      <c r="P652" s="46"/>
      <c r="Q652" s="46"/>
      <c r="R652" s="57"/>
      <c r="S652" s="7"/>
      <c r="T652" s="54"/>
      <c r="U652" s="58"/>
      <c r="V652" s="47"/>
      <c r="W652" s="18"/>
      <c r="X652" s="46"/>
      <c r="Y652" s="9"/>
      <c r="Z652" s="46"/>
      <c r="AA652" s="7"/>
      <c r="AB652" s="46"/>
      <c r="AC652" s="47"/>
      <c r="AD652" s="7"/>
      <c r="AE652" s="47"/>
      <c r="AF652" s="18"/>
      <c r="AG652" s="26"/>
      <c r="AH652" s="34"/>
      <c r="AI652" s="34"/>
      <c r="AJ652" s="18"/>
      <c r="AK652" s="48"/>
      <c r="AL652" s="26"/>
      <c r="AM652" s="26"/>
    </row>
    <row r="653">
      <c r="A653" s="51"/>
      <c r="B653" s="51"/>
      <c r="C653" s="52"/>
      <c r="D653" s="51"/>
      <c r="E653" s="53"/>
      <c r="F653" s="54"/>
      <c r="G653" s="51"/>
      <c r="H653" s="51"/>
      <c r="I653" s="55"/>
      <c r="J653" s="56"/>
      <c r="K653" s="46"/>
      <c r="L653" s="46"/>
      <c r="M653" s="47"/>
      <c r="N653" s="46"/>
      <c r="O653" s="57"/>
      <c r="P653" s="46"/>
      <c r="Q653" s="46"/>
      <c r="R653" s="57"/>
      <c r="S653" s="7"/>
      <c r="T653" s="54"/>
      <c r="U653" s="58"/>
      <c r="V653" s="47"/>
      <c r="W653" s="18"/>
      <c r="X653" s="46"/>
      <c r="Y653" s="9"/>
      <c r="Z653" s="46"/>
      <c r="AA653" s="7"/>
      <c r="AB653" s="46"/>
      <c r="AC653" s="47"/>
      <c r="AD653" s="7"/>
      <c r="AE653" s="47"/>
      <c r="AF653" s="18"/>
      <c r="AG653" s="26"/>
      <c r="AH653" s="34"/>
      <c r="AI653" s="34"/>
      <c r="AJ653" s="18"/>
      <c r="AK653" s="48"/>
      <c r="AL653" s="26"/>
      <c r="AM653" s="26"/>
    </row>
    <row r="654">
      <c r="A654" s="51"/>
      <c r="B654" s="51"/>
      <c r="C654" s="52"/>
      <c r="D654" s="51"/>
      <c r="E654" s="53"/>
      <c r="F654" s="54"/>
      <c r="G654" s="51"/>
      <c r="H654" s="51"/>
      <c r="I654" s="55"/>
      <c r="J654" s="56"/>
      <c r="K654" s="46"/>
      <c r="L654" s="46"/>
      <c r="M654" s="47"/>
      <c r="N654" s="46"/>
      <c r="O654" s="57"/>
      <c r="P654" s="46"/>
      <c r="Q654" s="46"/>
      <c r="R654" s="57"/>
      <c r="S654" s="7"/>
      <c r="T654" s="54"/>
      <c r="U654" s="58"/>
      <c r="V654" s="47"/>
      <c r="W654" s="18"/>
      <c r="X654" s="46"/>
      <c r="Y654" s="9"/>
      <c r="Z654" s="46"/>
      <c r="AA654" s="7"/>
      <c r="AB654" s="46"/>
      <c r="AC654" s="47"/>
      <c r="AD654" s="7"/>
      <c r="AE654" s="47"/>
      <c r="AF654" s="18"/>
      <c r="AG654" s="26"/>
      <c r="AH654" s="34"/>
      <c r="AI654" s="34"/>
      <c r="AJ654" s="18"/>
      <c r="AK654" s="48"/>
      <c r="AL654" s="26"/>
      <c r="AM654" s="26"/>
    </row>
    <row r="655">
      <c r="A655" s="51"/>
      <c r="B655" s="51"/>
      <c r="C655" s="52"/>
      <c r="D655" s="51"/>
      <c r="E655" s="53"/>
      <c r="F655" s="54"/>
      <c r="G655" s="51"/>
      <c r="H655" s="51"/>
      <c r="I655" s="55"/>
      <c r="J655" s="56"/>
      <c r="K655" s="46"/>
      <c r="L655" s="46"/>
      <c r="M655" s="47"/>
      <c r="N655" s="46"/>
      <c r="O655" s="57"/>
      <c r="P655" s="46"/>
      <c r="Q655" s="46"/>
      <c r="R655" s="57"/>
      <c r="S655" s="7"/>
      <c r="T655" s="54"/>
      <c r="U655" s="58"/>
      <c r="V655" s="47"/>
      <c r="W655" s="18"/>
      <c r="X655" s="46"/>
      <c r="Y655" s="9"/>
      <c r="Z655" s="46"/>
      <c r="AA655" s="7"/>
      <c r="AB655" s="46"/>
      <c r="AC655" s="47"/>
      <c r="AD655" s="7"/>
      <c r="AE655" s="47"/>
      <c r="AF655" s="18"/>
      <c r="AG655" s="26"/>
      <c r="AH655" s="34"/>
      <c r="AI655" s="34"/>
      <c r="AJ655" s="18"/>
      <c r="AK655" s="48"/>
      <c r="AL655" s="26"/>
      <c r="AM655" s="26"/>
    </row>
    <row r="656">
      <c r="A656" s="51"/>
      <c r="B656" s="51"/>
      <c r="C656" s="52"/>
      <c r="D656" s="51"/>
      <c r="E656" s="53"/>
      <c r="F656" s="54"/>
      <c r="G656" s="51"/>
      <c r="H656" s="51"/>
      <c r="I656" s="55"/>
      <c r="J656" s="56"/>
      <c r="K656" s="46"/>
      <c r="L656" s="46"/>
      <c r="M656" s="47"/>
      <c r="N656" s="46"/>
      <c r="O656" s="57"/>
      <c r="P656" s="46"/>
      <c r="Q656" s="46"/>
      <c r="R656" s="57"/>
      <c r="S656" s="7"/>
      <c r="T656" s="54"/>
      <c r="U656" s="58"/>
      <c r="V656" s="47"/>
      <c r="W656" s="18"/>
      <c r="X656" s="46"/>
      <c r="Y656" s="9"/>
      <c r="Z656" s="46"/>
      <c r="AA656" s="7"/>
      <c r="AB656" s="46"/>
      <c r="AC656" s="47"/>
      <c r="AD656" s="7"/>
      <c r="AE656" s="47"/>
      <c r="AF656" s="18"/>
      <c r="AG656" s="26"/>
      <c r="AH656" s="34"/>
      <c r="AI656" s="34"/>
      <c r="AJ656" s="18"/>
      <c r="AK656" s="48"/>
      <c r="AL656" s="26"/>
      <c r="AM656" s="26"/>
    </row>
    <row r="657">
      <c r="A657" s="51"/>
      <c r="B657" s="51"/>
      <c r="C657" s="52"/>
      <c r="D657" s="51"/>
      <c r="E657" s="53"/>
      <c r="F657" s="54"/>
      <c r="G657" s="51"/>
      <c r="H657" s="51"/>
      <c r="I657" s="55"/>
      <c r="J657" s="56"/>
      <c r="K657" s="46"/>
      <c r="L657" s="46"/>
      <c r="M657" s="47"/>
      <c r="N657" s="46"/>
      <c r="O657" s="57"/>
      <c r="P657" s="46"/>
      <c r="Q657" s="46"/>
      <c r="R657" s="57"/>
      <c r="S657" s="7"/>
      <c r="T657" s="54"/>
      <c r="U657" s="58"/>
      <c r="V657" s="47"/>
      <c r="W657" s="18"/>
      <c r="X657" s="46"/>
      <c r="Y657" s="9"/>
      <c r="Z657" s="46"/>
      <c r="AA657" s="7"/>
      <c r="AB657" s="46"/>
      <c r="AC657" s="47"/>
      <c r="AD657" s="7"/>
      <c r="AE657" s="47"/>
      <c r="AF657" s="18"/>
      <c r="AG657" s="26"/>
      <c r="AH657" s="34"/>
      <c r="AI657" s="34"/>
      <c r="AJ657" s="18"/>
      <c r="AK657" s="48"/>
      <c r="AL657" s="26"/>
      <c r="AM657" s="26"/>
    </row>
    <row r="658">
      <c r="A658" s="51"/>
      <c r="B658" s="51"/>
      <c r="C658" s="52"/>
      <c r="D658" s="51"/>
      <c r="E658" s="53"/>
      <c r="F658" s="54"/>
      <c r="G658" s="51"/>
      <c r="H658" s="51"/>
      <c r="I658" s="55"/>
      <c r="J658" s="56"/>
      <c r="K658" s="46"/>
      <c r="L658" s="46"/>
      <c r="M658" s="47"/>
      <c r="N658" s="46"/>
      <c r="O658" s="57"/>
      <c r="P658" s="46"/>
      <c r="Q658" s="46"/>
      <c r="R658" s="57"/>
      <c r="S658" s="7"/>
      <c r="T658" s="54"/>
      <c r="U658" s="58"/>
      <c r="V658" s="47"/>
      <c r="W658" s="18"/>
      <c r="X658" s="46"/>
      <c r="Y658" s="9"/>
      <c r="Z658" s="46"/>
      <c r="AA658" s="7"/>
      <c r="AB658" s="46"/>
      <c r="AC658" s="47"/>
      <c r="AD658" s="7"/>
      <c r="AE658" s="47"/>
      <c r="AF658" s="18"/>
      <c r="AG658" s="26"/>
      <c r="AH658" s="34"/>
      <c r="AI658" s="34"/>
      <c r="AJ658" s="18"/>
      <c r="AK658" s="48"/>
      <c r="AL658" s="26"/>
      <c r="AM658" s="26"/>
    </row>
    <row r="659">
      <c r="A659" s="51"/>
      <c r="B659" s="51"/>
      <c r="C659" s="52"/>
      <c r="D659" s="51"/>
      <c r="E659" s="53"/>
      <c r="F659" s="54"/>
      <c r="G659" s="51"/>
      <c r="H659" s="51"/>
      <c r="I659" s="55"/>
      <c r="J659" s="56"/>
      <c r="K659" s="46"/>
      <c r="L659" s="46"/>
      <c r="M659" s="47"/>
      <c r="N659" s="46"/>
      <c r="O659" s="57"/>
      <c r="P659" s="46"/>
      <c r="Q659" s="46"/>
      <c r="R659" s="57"/>
      <c r="S659" s="7"/>
      <c r="T659" s="54"/>
      <c r="U659" s="58"/>
      <c r="V659" s="47"/>
      <c r="W659" s="18"/>
      <c r="X659" s="46"/>
      <c r="Y659" s="9"/>
      <c r="Z659" s="46"/>
      <c r="AA659" s="7"/>
      <c r="AB659" s="46"/>
      <c r="AC659" s="47"/>
      <c r="AD659" s="7"/>
      <c r="AE659" s="47"/>
      <c r="AF659" s="18"/>
      <c r="AG659" s="26"/>
      <c r="AH659" s="34"/>
      <c r="AI659" s="34"/>
      <c r="AJ659" s="18"/>
      <c r="AK659" s="48"/>
      <c r="AL659" s="26"/>
      <c r="AM659" s="26"/>
    </row>
    <row r="660">
      <c r="A660" s="51"/>
      <c r="B660" s="51"/>
      <c r="C660" s="52"/>
      <c r="D660" s="51"/>
      <c r="E660" s="53"/>
      <c r="F660" s="54"/>
      <c r="G660" s="51"/>
      <c r="H660" s="51"/>
      <c r="I660" s="55"/>
      <c r="J660" s="56"/>
      <c r="K660" s="46"/>
      <c r="L660" s="46"/>
      <c r="M660" s="47"/>
      <c r="N660" s="46"/>
      <c r="O660" s="57"/>
      <c r="P660" s="46"/>
      <c r="Q660" s="46"/>
      <c r="R660" s="57"/>
      <c r="S660" s="7"/>
      <c r="T660" s="54"/>
      <c r="U660" s="58"/>
      <c r="V660" s="47"/>
      <c r="W660" s="18"/>
      <c r="X660" s="46"/>
      <c r="Y660" s="9"/>
      <c r="Z660" s="46"/>
      <c r="AA660" s="7"/>
      <c r="AB660" s="46"/>
      <c r="AC660" s="47"/>
      <c r="AD660" s="7"/>
      <c r="AE660" s="47"/>
      <c r="AF660" s="18"/>
      <c r="AG660" s="26"/>
      <c r="AH660" s="34"/>
      <c r="AI660" s="34"/>
      <c r="AJ660" s="18"/>
      <c r="AK660" s="48"/>
      <c r="AL660" s="26"/>
      <c r="AM660" s="26"/>
    </row>
    <row r="661">
      <c r="A661" s="51"/>
      <c r="B661" s="51"/>
      <c r="C661" s="52"/>
      <c r="D661" s="51"/>
      <c r="E661" s="53"/>
      <c r="F661" s="54"/>
      <c r="G661" s="51"/>
      <c r="H661" s="51"/>
      <c r="I661" s="55"/>
      <c r="J661" s="56"/>
      <c r="K661" s="46"/>
      <c r="L661" s="46"/>
      <c r="M661" s="47"/>
      <c r="N661" s="46"/>
      <c r="O661" s="57"/>
      <c r="P661" s="46"/>
      <c r="Q661" s="46"/>
      <c r="R661" s="57"/>
      <c r="S661" s="7"/>
      <c r="T661" s="54"/>
      <c r="U661" s="58"/>
      <c r="V661" s="47"/>
      <c r="W661" s="18"/>
      <c r="X661" s="46"/>
      <c r="Y661" s="9"/>
      <c r="Z661" s="46"/>
      <c r="AA661" s="7"/>
      <c r="AB661" s="46"/>
      <c r="AC661" s="47"/>
      <c r="AD661" s="7"/>
      <c r="AE661" s="47"/>
      <c r="AF661" s="18"/>
      <c r="AG661" s="26"/>
      <c r="AH661" s="34"/>
      <c r="AI661" s="34"/>
      <c r="AJ661" s="18"/>
      <c r="AK661" s="48"/>
      <c r="AL661" s="26"/>
      <c r="AM661" s="26"/>
    </row>
    <row r="662">
      <c r="A662" s="51"/>
      <c r="B662" s="51"/>
      <c r="C662" s="52"/>
      <c r="D662" s="51"/>
      <c r="E662" s="53"/>
      <c r="F662" s="54"/>
      <c r="G662" s="51"/>
      <c r="H662" s="51"/>
      <c r="I662" s="55"/>
      <c r="J662" s="56"/>
      <c r="K662" s="46"/>
      <c r="L662" s="46"/>
      <c r="M662" s="47"/>
      <c r="N662" s="46"/>
      <c r="O662" s="57"/>
      <c r="P662" s="46"/>
      <c r="Q662" s="46"/>
      <c r="R662" s="57"/>
      <c r="S662" s="7"/>
      <c r="T662" s="54"/>
      <c r="U662" s="58"/>
      <c r="V662" s="47"/>
      <c r="W662" s="18"/>
      <c r="X662" s="46"/>
      <c r="Y662" s="9"/>
      <c r="Z662" s="46"/>
      <c r="AA662" s="7"/>
      <c r="AB662" s="46"/>
      <c r="AC662" s="47"/>
      <c r="AD662" s="7"/>
      <c r="AE662" s="47"/>
      <c r="AF662" s="18"/>
      <c r="AG662" s="26"/>
      <c r="AH662" s="34"/>
      <c r="AI662" s="34"/>
      <c r="AJ662" s="18"/>
      <c r="AK662" s="48"/>
      <c r="AL662" s="26"/>
      <c r="AM662" s="26"/>
    </row>
    <row r="663">
      <c r="A663" s="51"/>
      <c r="B663" s="51"/>
      <c r="C663" s="52"/>
      <c r="D663" s="51"/>
      <c r="E663" s="53"/>
      <c r="F663" s="54"/>
      <c r="G663" s="51"/>
      <c r="H663" s="51"/>
      <c r="I663" s="55"/>
      <c r="J663" s="56"/>
      <c r="K663" s="46"/>
      <c r="L663" s="46"/>
      <c r="M663" s="47"/>
      <c r="N663" s="46"/>
      <c r="O663" s="57"/>
      <c r="P663" s="46"/>
      <c r="Q663" s="46"/>
      <c r="R663" s="57"/>
      <c r="S663" s="7"/>
      <c r="T663" s="54"/>
      <c r="U663" s="58"/>
      <c r="V663" s="47"/>
      <c r="W663" s="18"/>
      <c r="X663" s="46"/>
      <c r="Y663" s="9"/>
      <c r="Z663" s="46"/>
      <c r="AA663" s="7"/>
      <c r="AB663" s="46"/>
      <c r="AC663" s="47"/>
      <c r="AD663" s="7"/>
      <c r="AE663" s="47"/>
      <c r="AF663" s="18"/>
      <c r="AG663" s="26"/>
      <c r="AH663" s="34"/>
      <c r="AI663" s="34"/>
      <c r="AJ663" s="18"/>
      <c r="AK663" s="48"/>
      <c r="AL663" s="26"/>
      <c r="AM663" s="26"/>
    </row>
    <row r="664">
      <c r="A664" s="51"/>
      <c r="B664" s="51"/>
      <c r="C664" s="52"/>
      <c r="D664" s="51"/>
      <c r="E664" s="53"/>
      <c r="F664" s="54"/>
      <c r="G664" s="51"/>
      <c r="H664" s="51"/>
      <c r="I664" s="55"/>
      <c r="J664" s="56"/>
      <c r="K664" s="46"/>
      <c r="L664" s="46"/>
      <c r="M664" s="47"/>
      <c r="N664" s="46"/>
      <c r="O664" s="57"/>
      <c r="P664" s="46"/>
      <c r="Q664" s="46"/>
      <c r="R664" s="57"/>
      <c r="S664" s="7"/>
      <c r="T664" s="54"/>
      <c r="U664" s="58"/>
      <c r="V664" s="47"/>
      <c r="W664" s="18"/>
      <c r="X664" s="46"/>
      <c r="Y664" s="9"/>
      <c r="Z664" s="46"/>
      <c r="AA664" s="7"/>
      <c r="AB664" s="46"/>
      <c r="AC664" s="47"/>
      <c r="AD664" s="7"/>
      <c r="AE664" s="47"/>
      <c r="AF664" s="18"/>
      <c r="AG664" s="26"/>
      <c r="AH664" s="34"/>
      <c r="AI664" s="34"/>
      <c r="AJ664" s="18"/>
      <c r="AK664" s="48"/>
      <c r="AL664" s="26"/>
      <c r="AM664" s="26"/>
    </row>
    <row r="665">
      <c r="A665" s="51"/>
      <c r="B665" s="51"/>
      <c r="C665" s="52"/>
      <c r="D665" s="51"/>
      <c r="E665" s="53"/>
      <c r="F665" s="54"/>
      <c r="G665" s="51"/>
      <c r="H665" s="51"/>
      <c r="I665" s="55"/>
      <c r="J665" s="56"/>
      <c r="K665" s="46"/>
      <c r="L665" s="46"/>
      <c r="M665" s="47"/>
      <c r="N665" s="46"/>
      <c r="O665" s="57"/>
      <c r="P665" s="46"/>
      <c r="Q665" s="46"/>
      <c r="R665" s="57"/>
      <c r="S665" s="7"/>
      <c r="T665" s="54"/>
      <c r="U665" s="58"/>
      <c r="V665" s="47"/>
      <c r="W665" s="18"/>
      <c r="X665" s="46"/>
      <c r="Y665" s="9"/>
      <c r="Z665" s="46"/>
      <c r="AA665" s="7"/>
      <c r="AB665" s="46"/>
      <c r="AC665" s="47"/>
      <c r="AD665" s="7"/>
      <c r="AE665" s="47"/>
      <c r="AF665" s="18"/>
      <c r="AG665" s="26"/>
      <c r="AH665" s="34"/>
      <c r="AI665" s="34"/>
      <c r="AJ665" s="18"/>
      <c r="AK665" s="48"/>
      <c r="AL665" s="26"/>
      <c r="AM665" s="26"/>
    </row>
    <row r="666">
      <c r="A666" s="51"/>
      <c r="B666" s="51"/>
      <c r="C666" s="52"/>
      <c r="D666" s="51"/>
      <c r="E666" s="53"/>
      <c r="F666" s="54"/>
      <c r="G666" s="51"/>
      <c r="H666" s="51"/>
      <c r="I666" s="55"/>
      <c r="J666" s="56"/>
      <c r="K666" s="46"/>
      <c r="L666" s="46"/>
      <c r="M666" s="47"/>
      <c r="N666" s="46"/>
      <c r="O666" s="57"/>
      <c r="P666" s="46"/>
      <c r="Q666" s="46"/>
      <c r="R666" s="57"/>
      <c r="S666" s="7"/>
      <c r="T666" s="54"/>
      <c r="U666" s="58"/>
      <c r="V666" s="47"/>
      <c r="W666" s="18"/>
      <c r="X666" s="46"/>
      <c r="Y666" s="9"/>
      <c r="Z666" s="46"/>
      <c r="AA666" s="7"/>
      <c r="AB666" s="46"/>
      <c r="AC666" s="47"/>
      <c r="AD666" s="7"/>
      <c r="AE666" s="47"/>
      <c r="AF666" s="18"/>
      <c r="AG666" s="26"/>
      <c r="AH666" s="34"/>
      <c r="AI666" s="34"/>
      <c r="AJ666" s="18"/>
      <c r="AK666" s="48"/>
      <c r="AL666" s="26"/>
      <c r="AM666" s="26"/>
    </row>
    <row r="667">
      <c r="A667" s="51"/>
      <c r="B667" s="51"/>
      <c r="C667" s="52"/>
      <c r="D667" s="51"/>
      <c r="E667" s="53"/>
      <c r="F667" s="54"/>
      <c r="G667" s="51"/>
      <c r="H667" s="51"/>
      <c r="I667" s="55"/>
      <c r="J667" s="56"/>
      <c r="K667" s="46"/>
      <c r="L667" s="46"/>
      <c r="M667" s="47"/>
      <c r="N667" s="46"/>
      <c r="O667" s="57"/>
      <c r="P667" s="46"/>
      <c r="Q667" s="46"/>
      <c r="R667" s="57"/>
      <c r="S667" s="7"/>
      <c r="T667" s="54"/>
      <c r="U667" s="58"/>
      <c r="V667" s="47"/>
      <c r="W667" s="18"/>
      <c r="X667" s="46"/>
      <c r="Y667" s="9"/>
      <c r="Z667" s="46"/>
      <c r="AA667" s="7"/>
      <c r="AB667" s="46"/>
      <c r="AC667" s="47"/>
      <c r="AD667" s="7"/>
      <c r="AE667" s="47"/>
      <c r="AF667" s="18"/>
      <c r="AG667" s="26"/>
      <c r="AH667" s="34"/>
      <c r="AI667" s="34"/>
      <c r="AJ667" s="18"/>
      <c r="AK667" s="48"/>
      <c r="AL667" s="26"/>
      <c r="AM667" s="26"/>
    </row>
    <row r="668">
      <c r="A668" s="51"/>
      <c r="B668" s="51"/>
      <c r="C668" s="52"/>
      <c r="D668" s="51"/>
      <c r="E668" s="53"/>
      <c r="F668" s="54"/>
      <c r="G668" s="51"/>
      <c r="H668" s="51"/>
      <c r="I668" s="55"/>
      <c r="J668" s="56"/>
      <c r="K668" s="46"/>
      <c r="L668" s="46"/>
      <c r="M668" s="47"/>
      <c r="N668" s="46"/>
      <c r="O668" s="57"/>
      <c r="P668" s="46"/>
      <c r="Q668" s="46"/>
      <c r="R668" s="57"/>
      <c r="S668" s="7"/>
      <c r="T668" s="54"/>
      <c r="U668" s="58"/>
      <c r="V668" s="47"/>
      <c r="W668" s="18"/>
      <c r="X668" s="46"/>
      <c r="Y668" s="9"/>
      <c r="Z668" s="46"/>
      <c r="AA668" s="7"/>
      <c r="AB668" s="46"/>
      <c r="AC668" s="47"/>
      <c r="AD668" s="7"/>
      <c r="AE668" s="47"/>
      <c r="AF668" s="18"/>
      <c r="AG668" s="26"/>
      <c r="AH668" s="34"/>
      <c r="AI668" s="34"/>
      <c r="AJ668" s="18"/>
      <c r="AK668" s="48"/>
      <c r="AL668" s="26"/>
      <c r="AM668" s="26"/>
    </row>
    <row r="669">
      <c r="A669" s="51"/>
      <c r="B669" s="51"/>
      <c r="C669" s="52"/>
      <c r="D669" s="51"/>
      <c r="E669" s="53"/>
      <c r="F669" s="54"/>
      <c r="G669" s="51"/>
      <c r="H669" s="51"/>
      <c r="I669" s="55"/>
      <c r="J669" s="56"/>
      <c r="K669" s="46"/>
      <c r="L669" s="46"/>
      <c r="M669" s="47"/>
      <c r="N669" s="46"/>
      <c r="O669" s="57"/>
      <c r="P669" s="46"/>
      <c r="Q669" s="46"/>
      <c r="R669" s="57"/>
      <c r="S669" s="7"/>
      <c r="T669" s="54"/>
      <c r="U669" s="58"/>
      <c r="V669" s="47"/>
      <c r="W669" s="18"/>
      <c r="X669" s="46"/>
      <c r="Y669" s="9"/>
      <c r="Z669" s="46"/>
      <c r="AA669" s="7"/>
      <c r="AB669" s="46"/>
      <c r="AC669" s="47"/>
      <c r="AD669" s="7"/>
      <c r="AE669" s="47"/>
      <c r="AF669" s="18"/>
      <c r="AG669" s="26"/>
      <c r="AH669" s="34"/>
      <c r="AI669" s="34"/>
      <c r="AJ669" s="18"/>
      <c r="AK669" s="48"/>
      <c r="AL669" s="26"/>
      <c r="AM669" s="26"/>
    </row>
    <row r="670">
      <c r="A670" s="51"/>
      <c r="B670" s="51"/>
      <c r="C670" s="52"/>
      <c r="D670" s="51"/>
      <c r="E670" s="53"/>
      <c r="F670" s="54"/>
      <c r="G670" s="51"/>
      <c r="H670" s="51"/>
      <c r="I670" s="55"/>
      <c r="J670" s="56"/>
      <c r="K670" s="46"/>
      <c r="L670" s="46"/>
      <c r="M670" s="47"/>
      <c r="N670" s="46"/>
      <c r="O670" s="57"/>
      <c r="P670" s="46"/>
      <c r="Q670" s="46"/>
      <c r="R670" s="57"/>
      <c r="S670" s="7"/>
      <c r="T670" s="54"/>
      <c r="U670" s="58"/>
      <c r="V670" s="47"/>
      <c r="W670" s="18"/>
      <c r="X670" s="46"/>
      <c r="Y670" s="9"/>
      <c r="Z670" s="46"/>
      <c r="AA670" s="7"/>
      <c r="AB670" s="46"/>
      <c r="AC670" s="47"/>
      <c r="AD670" s="7"/>
      <c r="AE670" s="47"/>
      <c r="AF670" s="18"/>
      <c r="AG670" s="26"/>
      <c r="AH670" s="34"/>
      <c r="AI670" s="34"/>
      <c r="AJ670" s="18"/>
      <c r="AK670" s="48"/>
      <c r="AL670" s="26"/>
      <c r="AM670" s="26"/>
    </row>
    <row r="671">
      <c r="A671" s="51"/>
      <c r="B671" s="51"/>
      <c r="C671" s="52"/>
      <c r="D671" s="51"/>
      <c r="E671" s="53"/>
      <c r="F671" s="54"/>
      <c r="G671" s="51"/>
      <c r="H671" s="51"/>
      <c r="I671" s="55"/>
      <c r="J671" s="56"/>
      <c r="K671" s="46"/>
      <c r="L671" s="46"/>
      <c r="M671" s="47"/>
      <c r="N671" s="46"/>
      <c r="O671" s="57"/>
      <c r="P671" s="46"/>
      <c r="Q671" s="46"/>
      <c r="R671" s="57"/>
      <c r="S671" s="7"/>
      <c r="T671" s="54"/>
      <c r="U671" s="58"/>
      <c r="V671" s="47"/>
      <c r="W671" s="18"/>
      <c r="X671" s="46"/>
      <c r="Y671" s="9"/>
      <c r="Z671" s="46"/>
      <c r="AA671" s="7"/>
      <c r="AB671" s="46"/>
      <c r="AC671" s="47"/>
      <c r="AD671" s="7"/>
      <c r="AE671" s="47"/>
      <c r="AF671" s="18"/>
      <c r="AG671" s="26"/>
      <c r="AH671" s="34"/>
      <c r="AI671" s="34"/>
      <c r="AJ671" s="18"/>
      <c r="AK671" s="48"/>
      <c r="AL671" s="26"/>
      <c r="AM671" s="26"/>
    </row>
    <row r="672">
      <c r="A672" s="51"/>
      <c r="B672" s="51"/>
      <c r="C672" s="52"/>
      <c r="D672" s="51"/>
      <c r="E672" s="53"/>
      <c r="F672" s="54"/>
      <c r="G672" s="51"/>
      <c r="H672" s="51"/>
      <c r="I672" s="55"/>
      <c r="J672" s="56"/>
      <c r="K672" s="46"/>
      <c r="L672" s="46"/>
      <c r="M672" s="47"/>
      <c r="N672" s="46"/>
      <c r="O672" s="57"/>
      <c r="P672" s="46"/>
      <c r="Q672" s="46"/>
      <c r="R672" s="57"/>
      <c r="S672" s="7"/>
      <c r="T672" s="54"/>
      <c r="U672" s="58"/>
      <c r="V672" s="47"/>
      <c r="W672" s="18"/>
      <c r="X672" s="46"/>
      <c r="Y672" s="9"/>
      <c r="Z672" s="46"/>
      <c r="AA672" s="7"/>
      <c r="AB672" s="46"/>
      <c r="AC672" s="47"/>
      <c r="AD672" s="7"/>
      <c r="AE672" s="47"/>
      <c r="AF672" s="18"/>
      <c r="AG672" s="26"/>
      <c r="AH672" s="34"/>
      <c r="AI672" s="34"/>
      <c r="AJ672" s="18"/>
      <c r="AK672" s="48"/>
      <c r="AL672" s="26"/>
      <c r="AM672" s="26"/>
    </row>
    <row r="673">
      <c r="A673" s="51"/>
      <c r="B673" s="51"/>
      <c r="C673" s="52"/>
      <c r="D673" s="51"/>
      <c r="E673" s="53"/>
      <c r="F673" s="54"/>
      <c r="G673" s="51"/>
      <c r="H673" s="51"/>
      <c r="I673" s="55"/>
      <c r="J673" s="56"/>
      <c r="K673" s="46"/>
      <c r="L673" s="46"/>
      <c r="M673" s="47"/>
      <c r="N673" s="46"/>
      <c r="O673" s="57"/>
      <c r="P673" s="46"/>
      <c r="Q673" s="46"/>
      <c r="R673" s="57"/>
      <c r="S673" s="7"/>
      <c r="T673" s="54"/>
      <c r="U673" s="58"/>
      <c r="V673" s="47"/>
      <c r="W673" s="18"/>
      <c r="X673" s="46"/>
      <c r="Y673" s="9"/>
      <c r="Z673" s="46"/>
      <c r="AA673" s="7"/>
      <c r="AB673" s="46"/>
      <c r="AC673" s="47"/>
      <c r="AD673" s="7"/>
      <c r="AE673" s="47"/>
      <c r="AF673" s="18"/>
      <c r="AG673" s="26"/>
      <c r="AH673" s="34"/>
      <c r="AI673" s="34"/>
      <c r="AJ673" s="18"/>
      <c r="AK673" s="48"/>
      <c r="AL673" s="26"/>
      <c r="AM673" s="26"/>
    </row>
    <row r="674">
      <c r="A674" s="51"/>
      <c r="B674" s="51"/>
      <c r="C674" s="52"/>
      <c r="D674" s="51"/>
      <c r="E674" s="53"/>
      <c r="F674" s="54"/>
      <c r="G674" s="51"/>
      <c r="H674" s="51"/>
      <c r="I674" s="55"/>
      <c r="J674" s="56"/>
      <c r="K674" s="46"/>
      <c r="L674" s="46"/>
      <c r="M674" s="47"/>
      <c r="N674" s="46"/>
      <c r="O674" s="57"/>
      <c r="P674" s="46"/>
      <c r="Q674" s="46"/>
      <c r="R674" s="57"/>
      <c r="S674" s="7"/>
      <c r="T674" s="54"/>
      <c r="U674" s="58"/>
      <c r="V674" s="47"/>
      <c r="W674" s="18"/>
      <c r="X674" s="46"/>
      <c r="Y674" s="9"/>
      <c r="Z674" s="46"/>
      <c r="AA674" s="7"/>
      <c r="AB674" s="46"/>
      <c r="AC674" s="47"/>
      <c r="AD674" s="7"/>
      <c r="AE674" s="47"/>
      <c r="AF674" s="18"/>
      <c r="AG674" s="26"/>
      <c r="AH674" s="34"/>
      <c r="AI674" s="34"/>
      <c r="AJ674" s="18"/>
      <c r="AK674" s="48"/>
      <c r="AL674" s="26"/>
      <c r="AM674" s="26"/>
    </row>
    <row r="675">
      <c r="A675" s="51"/>
      <c r="B675" s="51"/>
      <c r="C675" s="52"/>
      <c r="D675" s="51"/>
      <c r="E675" s="53"/>
      <c r="F675" s="54"/>
      <c r="G675" s="51"/>
      <c r="H675" s="51"/>
      <c r="I675" s="55"/>
      <c r="J675" s="56"/>
      <c r="K675" s="46"/>
      <c r="L675" s="46"/>
      <c r="M675" s="47"/>
      <c r="N675" s="46"/>
      <c r="O675" s="57"/>
      <c r="P675" s="46"/>
      <c r="Q675" s="46"/>
      <c r="R675" s="57"/>
      <c r="S675" s="7"/>
      <c r="T675" s="54"/>
      <c r="U675" s="58"/>
      <c r="V675" s="47"/>
      <c r="W675" s="18"/>
      <c r="X675" s="46"/>
      <c r="Y675" s="9"/>
      <c r="Z675" s="46"/>
      <c r="AA675" s="7"/>
      <c r="AB675" s="46"/>
      <c r="AC675" s="47"/>
      <c r="AD675" s="7"/>
      <c r="AE675" s="47"/>
      <c r="AF675" s="18"/>
      <c r="AG675" s="26"/>
      <c r="AH675" s="34"/>
      <c r="AI675" s="34"/>
      <c r="AJ675" s="18"/>
      <c r="AK675" s="48"/>
      <c r="AL675" s="26"/>
      <c r="AM675" s="26"/>
    </row>
    <row r="676">
      <c r="A676" s="51"/>
      <c r="B676" s="51"/>
      <c r="C676" s="52"/>
      <c r="D676" s="51"/>
      <c r="E676" s="53"/>
      <c r="F676" s="54"/>
      <c r="G676" s="51"/>
      <c r="H676" s="51"/>
      <c r="I676" s="55"/>
      <c r="J676" s="56"/>
      <c r="K676" s="46"/>
      <c r="L676" s="46"/>
      <c r="M676" s="47"/>
      <c r="N676" s="46"/>
      <c r="O676" s="57"/>
      <c r="P676" s="46"/>
      <c r="Q676" s="46"/>
      <c r="R676" s="57"/>
      <c r="S676" s="7"/>
      <c r="T676" s="54"/>
      <c r="U676" s="58"/>
      <c r="V676" s="47"/>
      <c r="W676" s="18"/>
      <c r="X676" s="46"/>
      <c r="Y676" s="9"/>
      <c r="Z676" s="46"/>
      <c r="AA676" s="7"/>
      <c r="AB676" s="46"/>
      <c r="AC676" s="47"/>
      <c r="AD676" s="7"/>
      <c r="AE676" s="47"/>
      <c r="AF676" s="18"/>
      <c r="AG676" s="26"/>
      <c r="AH676" s="34"/>
      <c r="AI676" s="34"/>
      <c r="AJ676" s="18"/>
      <c r="AK676" s="48"/>
      <c r="AL676" s="26"/>
      <c r="AM676" s="26"/>
    </row>
    <row r="677">
      <c r="A677" s="51"/>
      <c r="B677" s="51"/>
      <c r="C677" s="52"/>
      <c r="D677" s="51"/>
      <c r="E677" s="53"/>
      <c r="F677" s="54"/>
      <c r="G677" s="51"/>
      <c r="H677" s="51"/>
      <c r="I677" s="55"/>
      <c r="J677" s="56"/>
      <c r="K677" s="46"/>
      <c r="L677" s="46"/>
      <c r="M677" s="47"/>
      <c r="N677" s="46"/>
      <c r="O677" s="57"/>
      <c r="P677" s="46"/>
      <c r="Q677" s="46"/>
      <c r="R677" s="57"/>
      <c r="S677" s="7"/>
      <c r="T677" s="54"/>
      <c r="U677" s="58"/>
      <c r="V677" s="47"/>
      <c r="W677" s="18"/>
      <c r="X677" s="46"/>
      <c r="Y677" s="9"/>
      <c r="Z677" s="46"/>
      <c r="AA677" s="7"/>
      <c r="AB677" s="46"/>
      <c r="AC677" s="47"/>
      <c r="AD677" s="7"/>
      <c r="AE677" s="47"/>
      <c r="AF677" s="18"/>
      <c r="AG677" s="26"/>
      <c r="AH677" s="34"/>
      <c r="AI677" s="34"/>
      <c r="AJ677" s="18"/>
      <c r="AK677" s="48"/>
      <c r="AL677" s="26"/>
      <c r="AM677" s="26"/>
    </row>
    <row r="678">
      <c r="A678" s="51"/>
      <c r="B678" s="51"/>
      <c r="C678" s="52"/>
      <c r="D678" s="51"/>
      <c r="E678" s="53"/>
      <c r="F678" s="54"/>
      <c r="G678" s="51"/>
      <c r="H678" s="51"/>
      <c r="I678" s="55"/>
      <c r="J678" s="56"/>
      <c r="K678" s="46"/>
      <c r="L678" s="46"/>
      <c r="M678" s="47"/>
      <c r="N678" s="46"/>
      <c r="O678" s="57"/>
      <c r="P678" s="46"/>
      <c r="Q678" s="46"/>
      <c r="R678" s="57"/>
      <c r="S678" s="7"/>
      <c r="T678" s="54"/>
      <c r="U678" s="58"/>
      <c r="V678" s="47"/>
      <c r="W678" s="18"/>
      <c r="X678" s="46"/>
      <c r="Y678" s="9"/>
      <c r="Z678" s="46"/>
      <c r="AA678" s="7"/>
      <c r="AB678" s="46"/>
      <c r="AC678" s="47"/>
      <c r="AD678" s="7"/>
      <c r="AE678" s="47"/>
      <c r="AF678" s="18"/>
      <c r="AG678" s="26"/>
      <c r="AH678" s="34"/>
      <c r="AI678" s="34"/>
      <c r="AJ678" s="18"/>
      <c r="AK678" s="48"/>
      <c r="AL678" s="26"/>
      <c r="AM678" s="26"/>
    </row>
    <row r="679">
      <c r="A679" s="51"/>
      <c r="B679" s="51"/>
      <c r="C679" s="52"/>
      <c r="D679" s="51"/>
      <c r="E679" s="53"/>
      <c r="F679" s="54"/>
      <c r="G679" s="51"/>
      <c r="H679" s="51"/>
      <c r="I679" s="55"/>
      <c r="J679" s="56"/>
      <c r="K679" s="46"/>
      <c r="L679" s="46"/>
      <c r="M679" s="47"/>
      <c r="N679" s="46"/>
      <c r="O679" s="57"/>
      <c r="P679" s="46"/>
      <c r="Q679" s="46"/>
      <c r="R679" s="57"/>
      <c r="S679" s="7"/>
      <c r="T679" s="54"/>
      <c r="U679" s="58"/>
      <c r="V679" s="47"/>
      <c r="W679" s="18"/>
      <c r="X679" s="46"/>
      <c r="Y679" s="9"/>
      <c r="Z679" s="46"/>
      <c r="AA679" s="7"/>
      <c r="AB679" s="46"/>
      <c r="AC679" s="47"/>
      <c r="AD679" s="7"/>
      <c r="AE679" s="47"/>
      <c r="AF679" s="18"/>
      <c r="AG679" s="26"/>
      <c r="AH679" s="34"/>
      <c r="AI679" s="34"/>
      <c r="AJ679" s="18"/>
      <c r="AK679" s="48"/>
      <c r="AL679" s="26"/>
      <c r="AM679" s="26"/>
    </row>
    <row r="680">
      <c r="A680" s="51"/>
      <c r="B680" s="51"/>
      <c r="C680" s="52"/>
      <c r="D680" s="51"/>
      <c r="E680" s="53"/>
      <c r="F680" s="54"/>
      <c r="G680" s="51"/>
      <c r="H680" s="51"/>
      <c r="I680" s="55"/>
      <c r="J680" s="56"/>
      <c r="K680" s="46"/>
      <c r="L680" s="46"/>
      <c r="M680" s="47"/>
      <c r="N680" s="46"/>
      <c r="O680" s="57"/>
      <c r="P680" s="46"/>
      <c r="Q680" s="46"/>
      <c r="R680" s="57"/>
      <c r="S680" s="7"/>
      <c r="T680" s="54"/>
      <c r="U680" s="58"/>
      <c r="V680" s="47"/>
      <c r="W680" s="18"/>
      <c r="X680" s="46"/>
      <c r="Y680" s="9"/>
      <c r="Z680" s="46"/>
      <c r="AA680" s="7"/>
      <c r="AB680" s="46"/>
      <c r="AC680" s="47"/>
      <c r="AD680" s="7"/>
      <c r="AE680" s="47"/>
      <c r="AF680" s="18"/>
      <c r="AG680" s="26"/>
      <c r="AH680" s="34"/>
      <c r="AI680" s="34"/>
      <c r="AJ680" s="18"/>
      <c r="AK680" s="48"/>
      <c r="AL680" s="26"/>
      <c r="AM680" s="26"/>
    </row>
    <row r="681">
      <c r="A681" s="51"/>
      <c r="B681" s="51"/>
      <c r="C681" s="52"/>
      <c r="D681" s="51"/>
      <c r="E681" s="53"/>
      <c r="F681" s="54"/>
      <c r="G681" s="51"/>
      <c r="H681" s="51"/>
      <c r="I681" s="55"/>
      <c r="J681" s="56"/>
      <c r="K681" s="46"/>
      <c r="L681" s="46"/>
      <c r="M681" s="47"/>
      <c r="N681" s="46"/>
      <c r="O681" s="57"/>
      <c r="P681" s="46"/>
      <c r="Q681" s="46"/>
      <c r="R681" s="57"/>
      <c r="S681" s="7"/>
      <c r="T681" s="54"/>
      <c r="U681" s="58"/>
      <c r="V681" s="47"/>
      <c r="W681" s="18"/>
      <c r="X681" s="46"/>
      <c r="Y681" s="9"/>
      <c r="Z681" s="46"/>
      <c r="AA681" s="7"/>
      <c r="AB681" s="46"/>
      <c r="AC681" s="47"/>
      <c r="AD681" s="7"/>
      <c r="AE681" s="47"/>
      <c r="AF681" s="18"/>
      <c r="AG681" s="26"/>
      <c r="AH681" s="34"/>
      <c r="AI681" s="34"/>
      <c r="AJ681" s="18"/>
      <c r="AK681" s="48"/>
      <c r="AL681" s="26"/>
      <c r="AM681" s="26"/>
    </row>
    <row r="682">
      <c r="A682" s="51"/>
      <c r="B682" s="51"/>
      <c r="C682" s="52"/>
      <c r="D682" s="51"/>
      <c r="E682" s="53"/>
      <c r="F682" s="54"/>
      <c r="G682" s="51"/>
      <c r="H682" s="51"/>
      <c r="I682" s="55"/>
      <c r="J682" s="56"/>
      <c r="K682" s="46"/>
      <c r="L682" s="46"/>
      <c r="M682" s="47"/>
      <c r="N682" s="46"/>
      <c r="O682" s="57"/>
      <c r="P682" s="46"/>
      <c r="Q682" s="46"/>
      <c r="R682" s="57"/>
      <c r="S682" s="7"/>
      <c r="T682" s="54"/>
      <c r="U682" s="58"/>
      <c r="V682" s="47"/>
      <c r="W682" s="18"/>
      <c r="X682" s="46"/>
      <c r="Y682" s="9"/>
      <c r="Z682" s="46"/>
      <c r="AA682" s="7"/>
      <c r="AB682" s="46"/>
      <c r="AC682" s="47"/>
      <c r="AD682" s="7"/>
      <c r="AE682" s="47"/>
      <c r="AF682" s="18"/>
      <c r="AG682" s="26"/>
      <c r="AH682" s="34"/>
      <c r="AI682" s="34"/>
      <c r="AJ682" s="18"/>
      <c r="AK682" s="48"/>
      <c r="AL682" s="26"/>
      <c r="AM682" s="26"/>
    </row>
    <row r="683">
      <c r="A683" s="51"/>
      <c r="B683" s="51"/>
      <c r="C683" s="52"/>
      <c r="D683" s="51"/>
      <c r="E683" s="53"/>
      <c r="F683" s="54"/>
      <c r="G683" s="51"/>
      <c r="H683" s="51"/>
      <c r="I683" s="55"/>
      <c r="J683" s="56"/>
      <c r="K683" s="46"/>
      <c r="L683" s="46"/>
      <c r="M683" s="47"/>
      <c r="N683" s="46"/>
      <c r="O683" s="57"/>
      <c r="P683" s="46"/>
      <c r="Q683" s="46"/>
      <c r="R683" s="57"/>
      <c r="S683" s="7"/>
      <c r="T683" s="54"/>
      <c r="U683" s="58"/>
      <c r="V683" s="47"/>
      <c r="W683" s="18"/>
      <c r="X683" s="46"/>
      <c r="Y683" s="9"/>
      <c r="Z683" s="46"/>
      <c r="AA683" s="7"/>
      <c r="AB683" s="46"/>
      <c r="AC683" s="47"/>
      <c r="AD683" s="7"/>
      <c r="AE683" s="47"/>
      <c r="AF683" s="18"/>
      <c r="AG683" s="26"/>
      <c r="AH683" s="34"/>
      <c r="AI683" s="34"/>
      <c r="AJ683" s="18"/>
      <c r="AK683" s="48"/>
      <c r="AL683" s="26"/>
      <c r="AM683" s="26"/>
    </row>
    <row r="684">
      <c r="A684" s="51"/>
      <c r="B684" s="51"/>
      <c r="C684" s="52"/>
      <c r="D684" s="51"/>
      <c r="E684" s="53"/>
      <c r="F684" s="54"/>
      <c r="G684" s="51"/>
      <c r="H684" s="51"/>
      <c r="I684" s="55"/>
      <c r="J684" s="56"/>
      <c r="K684" s="46"/>
      <c r="L684" s="46"/>
      <c r="M684" s="47"/>
      <c r="N684" s="46"/>
      <c r="O684" s="57"/>
      <c r="P684" s="46"/>
      <c r="Q684" s="46"/>
      <c r="R684" s="57"/>
      <c r="S684" s="7"/>
      <c r="T684" s="54"/>
      <c r="U684" s="58"/>
      <c r="V684" s="47"/>
      <c r="W684" s="18"/>
      <c r="X684" s="46"/>
      <c r="Y684" s="9"/>
      <c r="Z684" s="46"/>
      <c r="AA684" s="7"/>
      <c r="AB684" s="46"/>
      <c r="AC684" s="47"/>
      <c r="AD684" s="7"/>
      <c r="AE684" s="47"/>
      <c r="AF684" s="18"/>
      <c r="AG684" s="26"/>
      <c r="AH684" s="34"/>
      <c r="AI684" s="34"/>
      <c r="AJ684" s="18"/>
      <c r="AK684" s="48"/>
      <c r="AL684" s="26"/>
      <c r="AM684" s="26"/>
    </row>
    <row r="685">
      <c r="A685" s="51"/>
      <c r="B685" s="51"/>
      <c r="C685" s="52"/>
      <c r="D685" s="51"/>
      <c r="E685" s="53"/>
      <c r="F685" s="54"/>
      <c r="G685" s="51"/>
      <c r="H685" s="51"/>
      <c r="I685" s="55"/>
      <c r="J685" s="56"/>
      <c r="K685" s="46"/>
      <c r="L685" s="46"/>
      <c r="M685" s="47"/>
      <c r="N685" s="46"/>
      <c r="O685" s="57"/>
      <c r="P685" s="46"/>
      <c r="Q685" s="46"/>
      <c r="R685" s="57"/>
      <c r="S685" s="7"/>
      <c r="T685" s="54"/>
      <c r="U685" s="58"/>
      <c r="V685" s="47"/>
      <c r="W685" s="18"/>
      <c r="X685" s="46"/>
      <c r="Y685" s="9"/>
      <c r="Z685" s="46"/>
      <c r="AA685" s="7"/>
      <c r="AB685" s="46"/>
      <c r="AC685" s="47"/>
      <c r="AD685" s="7"/>
      <c r="AE685" s="47"/>
      <c r="AF685" s="18"/>
      <c r="AG685" s="26"/>
      <c r="AH685" s="34"/>
      <c r="AI685" s="34"/>
      <c r="AJ685" s="18"/>
      <c r="AK685" s="48"/>
      <c r="AL685" s="26"/>
      <c r="AM685" s="26"/>
    </row>
    <row r="686">
      <c r="A686" s="51"/>
      <c r="B686" s="51"/>
      <c r="C686" s="52"/>
      <c r="D686" s="51"/>
      <c r="E686" s="53"/>
      <c r="F686" s="54"/>
      <c r="G686" s="51"/>
      <c r="H686" s="51"/>
      <c r="I686" s="55"/>
      <c r="J686" s="56"/>
      <c r="K686" s="46"/>
      <c r="L686" s="46"/>
      <c r="M686" s="47"/>
      <c r="N686" s="46"/>
      <c r="O686" s="57"/>
      <c r="P686" s="46"/>
      <c r="Q686" s="46"/>
      <c r="R686" s="57"/>
      <c r="S686" s="7"/>
      <c r="T686" s="54"/>
      <c r="U686" s="58"/>
      <c r="V686" s="47"/>
      <c r="W686" s="18"/>
      <c r="X686" s="46"/>
      <c r="Y686" s="9"/>
      <c r="Z686" s="46"/>
      <c r="AA686" s="7"/>
      <c r="AB686" s="46"/>
      <c r="AC686" s="47"/>
      <c r="AD686" s="7"/>
      <c r="AE686" s="47"/>
      <c r="AF686" s="18"/>
      <c r="AG686" s="26"/>
      <c r="AH686" s="34"/>
      <c r="AI686" s="34"/>
      <c r="AJ686" s="18"/>
      <c r="AK686" s="48"/>
      <c r="AL686" s="26"/>
      <c r="AM686" s="26"/>
    </row>
    <row r="687">
      <c r="A687" s="51"/>
      <c r="B687" s="51"/>
      <c r="C687" s="52"/>
      <c r="D687" s="51"/>
      <c r="E687" s="53"/>
      <c r="F687" s="54"/>
      <c r="G687" s="51"/>
      <c r="H687" s="51"/>
      <c r="I687" s="55"/>
      <c r="J687" s="56"/>
      <c r="K687" s="46"/>
      <c r="L687" s="46"/>
      <c r="M687" s="47"/>
      <c r="N687" s="46"/>
      <c r="O687" s="57"/>
      <c r="P687" s="46"/>
      <c r="Q687" s="46"/>
      <c r="R687" s="57"/>
      <c r="S687" s="7"/>
      <c r="T687" s="54"/>
      <c r="U687" s="58"/>
      <c r="V687" s="47"/>
      <c r="W687" s="18"/>
      <c r="X687" s="46"/>
      <c r="Y687" s="9"/>
      <c r="Z687" s="46"/>
      <c r="AA687" s="7"/>
      <c r="AB687" s="46"/>
      <c r="AC687" s="47"/>
      <c r="AD687" s="7"/>
      <c r="AE687" s="47"/>
      <c r="AF687" s="18"/>
      <c r="AG687" s="26"/>
      <c r="AH687" s="34"/>
      <c r="AI687" s="34"/>
      <c r="AJ687" s="18"/>
      <c r="AK687" s="48"/>
      <c r="AL687" s="26"/>
      <c r="AM687" s="26"/>
    </row>
    <row r="688">
      <c r="A688" s="51"/>
      <c r="B688" s="51"/>
      <c r="C688" s="52"/>
      <c r="D688" s="51"/>
      <c r="E688" s="53"/>
      <c r="F688" s="54"/>
      <c r="G688" s="51"/>
      <c r="H688" s="51"/>
      <c r="I688" s="55"/>
      <c r="J688" s="56"/>
      <c r="K688" s="46"/>
      <c r="L688" s="46"/>
      <c r="M688" s="47"/>
      <c r="N688" s="46"/>
      <c r="O688" s="57"/>
      <c r="P688" s="46"/>
      <c r="Q688" s="46"/>
      <c r="R688" s="57"/>
      <c r="S688" s="7"/>
      <c r="T688" s="54"/>
      <c r="U688" s="58"/>
      <c r="V688" s="47"/>
      <c r="W688" s="18"/>
      <c r="X688" s="46"/>
      <c r="Y688" s="9"/>
      <c r="Z688" s="46"/>
      <c r="AA688" s="7"/>
      <c r="AB688" s="46"/>
      <c r="AC688" s="47"/>
      <c r="AD688" s="7"/>
      <c r="AE688" s="47"/>
      <c r="AF688" s="18"/>
      <c r="AG688" s="26"/>
      <c r="AH688" s="34"/>
      <c r="AI688" s="34"/>
      <c r="AJ688" s="18"/>
      <c r="AK688" s="48"/>
      <c r="AL688" s="26"/>
      <c r="AM688" s="26"/>
    </row>
    <row r="689">
      <c r="A689" s="51"/>
      <c r="B689" s="51"/>
      <c r="C689" s="52"/>
      <c r="D689" s="51"/>
      <c r="E689" s="53"/>
      <c r="F689" s="54"/>
      <c r="G689" s="51"/>
      <c r="H689" s="51"/>
      <c r="I689" s="55"/>
      <c r="J689" s="56"/>
      <c r="K689" s="46"/>
      <c r="L689" s="46"/>
      <c r="M689" s="47"/>
      <c r="N689" s="46"/>
      <c r="O689" s="57"/>
      <c r="P689" s="46"/>
      <c r="Q689" s="46"/>
      <c r="R689" s="57"/>
      <c r="S689" s="7"/>
      <c r="T689" s="54"/>
      <c r="U689" s="58"/>
      <c r="V689" s="47"/>
      <c r="W689" s="18"/>
      <c r="X689" s="46"/>
      <c r="Y689" s="9"/>
      <c r="Z689" s="46"/>
      <c r="AA689" s="7"/>
      <c r="AB689" s="46"/>
      <c r="AC689" s="47"/>
      <c r="AD689" s="7"/>
      <c r="AE689" s="47"/>
      <c r="AF689" s="18"/>
      <c r="AG689" s="26"/>
      <c r="AH689" s="34"/>
      <c r="AI689" s="34"/>
      <c r="AJ689" s="18"/>
      <c r="AK689" s="48"/>
      <c r="AL689" s="26"/>
      <c r="AM689" s="26"/>
    </row>
    <row r="690">
      <c r="A690" s="51"/>
      <c r="B690" s="51"/>
      <c r="C690" s="52"/>
      <c r="D690" s="51"/>
      <c r="E690" s="53"/>
      <c r="F690" s="54"/>
      <c r="G690" s="51"/>
      <c r="H690" s="51"/>
      <c r="I690" s="55"/>
      <c r="J690" s="56"/>
      <c r="K690" s="46"/>
      <c r="L690" s="46"/>
      <c r="M690" s="47"/>
      <c r="N690" s="46"/>
      <c r="O690" s="57"/>
      <c r="P690" s="46"/>
      <c r="Q690" s="46"/>
      <c r="R690" s="57"/>
      <c r="S690" s="7"/>
      <c r="T690" s="54"/>
      <c r="U690" s="58"/>
      <c r="V690" s="47"/>
      <c r="W690" s="18"/>
      <c r="X690" s="46"/>
      <c r="Y690" s="9"/>
      <c r="Z690" s="46"/>
      <c r="AA690" s="7"/>
      <c r="AB690" s="46"/>
      <c r="AC690" s="47"/>
      <c r="AD690" s="7"/>
      <c r="AE690" s="47"/>
      <c r="AF690" s="18"/>
      <c r="AG690" s="26"/>
      <c r="AH690" s="34"/>
      <c r="AI690" s="34"/>
      <c r="AJ690" s="18"/>
      <c r="AK690" s="48"/>
      <c r="AL690" s="26"/>
      <c r="AM690" s="26"/>
    </row>
    <row r="691">
      <c r="A691" s="51"/>
      <c r="B691" s="51"/>
      <c r="C691" s="52"/>
      <c r="D691" s="51"/>
      <c r="E691" s="53"/>
      <c r="F691" s="54"/>
      <c r="G691" s="51"/>
      <c r="H691" s="51"/>
      <c r="I691" s="55"/>
      <c r="J691" s="56"/>
      <c r="K691" s="46"/>
      <c r="L691" s="46"/>
      <c r="M691" s="47"/>
      <c r="N691" s="46"/>
      <c r="O691" s="57"/>
      <c r="P691" s="46"/>
      <c r="Q691" s="46"/>
      <c r="R691" s="57"/>
      <c r="S691" s="7"/>
      <c r="T691" s="54"/>
      <c r="U691" s="58"/>
      <c r="V691" s="47"/>
      <c r="W691" s="18"/>
      <c r="X691" s="46"/>
      <c r="Y691" s="9"/>
      <c r="Z691" s="46"/>
      <c r="AA691" s="7"/>
      <c r="AB691" s="46"/>
      <c r="AC691" s="47"/>
      <c r="AD691" s="7"/>
      <c r="AE691" s="47"/>
      <c r="AF691" s="18"/>
      <c r="AG691" s="26"/>
      <c r="AH691" s="34"/>
      <c r="AI691" s="34"/>
      <c r="AJ691" s="18"/>
      <c r="AK691" s="48"/>
      <c r="AL691" s="26"/>
      <c r="AM691" s="26"/>
    </row>
    <row r="692">
      <c r="A692" s="51"/>
      <c r="B692" s="51"/>
      <c r="C692" s="52"/>
      <c r="D692" s="51"/>
      <c r="E692" s="53"/>
      <c r="F692" s="54"/>
      <c r="G692" s="51"/>
      <c r="H692" s="51"/>
      <c r="I692" s="55"/>
      <c r="J692" s="56"/>
      <c r="K692" s="46"/>
      <c r="L692" s="46"/>
      <c r="M692" s="47"/>
      <c r="N692" s="46"/>
      <c r="O692" s="57"/>
      <c r="P692" s="46"/>
      <c r="Q692" s="46"/>
      <c r="R692" s="57"/>
      <c r="S692" s="7"/>
      <c r="T692" s="54"/>
      <c r="U692" s="58"/>
      <c r="V692" s="47"/>
      <c r="W692" s="18"/>
      <c r="X692" s="46"/>
      <c r="Y692" s="9"/>
      <c r="Z692" s="46"/>
      <c r="AA692" s="7"/>
      <c r="AB692" s="46"/>
      <c r="AC692" s="47"/>
      <c r="AD692" s="7"/>
      <c r="AE692" s="47"/>
      <c r="AF692" s="18"/>
      <c r="AG692" s="26"/>
      <c r="AH692" s="34"/>
      <c r="AI692" s="34"/>
      <c r="AJ692" s="18"/>
      <c r="AK692" s="48"/>
      <c r="AL692" s="26"/>
      <c r="AM692" s="26"/>
    </row>
    <row r="693">
      <c r="A693" s="51"/>
      <c r="B693" s="51"/>
      <c r="C693" s="52"/>
      <c r="D693" s="51"/>
      <c r="E693" s="53"/>
      <c r="F693" s="54"/>
      <c r="G693" s="51"/>
      <c r="H693" s="51"/>
      <c r="I693" s="55"/>
      <c r="J693" s="56"/>
      <c r="K693" s="46"/>
      <c r="L693" s="46"/>
      <c r="M693" s="47"/>
      <c r="N693" s="46"/>
      <c r="O693" s="57"/>
      <c r="P693" s="46"/>
      <c r="Q693" s="46"/>
      <c r="R693" s="57"/>
      <c r="S693" s="7"/>
      <c r="T693" s="54"/>
      <c r="U693" s="58"/>
      <c r="V693" s="47"/>
      <c r="W693" s="18"/>
      <c r="X693" s="46"/>
      <c r="Y693" s="9"/>
      <c r="Z693" s="46"/>
      <c r="AA693" s="7"/>
      <c r="AB693" s="46"/>
      <c r="AC693" s="47"/>
      <c r="AD693" s="7"/>
      <c r="AE693" s="47"/>
      <c r="AF693" s="18"/>
      <c r="AG693" s="26"/>
      <c r="AH693" s="34"/>
      <c r="AI693" s="34"/>
      <c r="AJ693" s="18"/>
      <c r="AK693" s="48"/>
      <c r="AL693" s="26"/>
      <c r="AM693" s="26"/>
    </row>
    <row r="694">
      <c r="A694" s="51"/>
      <c r="B694" s="51"/>
      <c r="C694" s="52"/>
      <c r="D694" s="51"/>
      <c r="E694" s="53"/>
      <c r="F694" s="54"/>
      <c r="G694" s="51"/>
      <c r="H694" s="51"/>
      <c r="I694" s="55"/>
      <c r="J694" s="56"/>
      <c r="K694" s="46"/>
      <c r="L694" s="46"/>
      <c r="M694" s="47"/>
      <c r="N694" s="46"/>
      <c r="O694" s="57"/>
      <c r="P694" s="46"/>
      <c r="Q694" s="46"/>
      <c r="R694" s="57"/>
      <c r="S694" s="7"/>
      <c r="T694" s="54"/>
      <c r="U694" s="58"/>
      <c r="V694" s="47"/>
      <c r="W694" s="18"/>
      <c r="X694" s="46"/>
      <c r="Y694" s="9"/>
      <c r="Z694" s="46"/>
      <c r="AA694" s="7"/>
      <c r="AB694" s="46"/>
      <c r="AC694" s="47"/>
      <c r="AD694" s="7"/>
      <c r="AE694" s="47"/>
      <c r="AF694" s="18"/>
      <c r="AG694" s="26"/>
      <c r="AH694" s="34"/>
      <c r="AI694" s="34"/>
      <c r="AJ694" s="18"/>
      <c r="AK694" s="48"/>
      <c r="AL694" s="26"/>
      <c r="AM694" s="26"/>
    </row>
    <row r="695">
      <c r="A695" s="51"/>
      <c r="B695" s="51"/>
      <c r="C695" s="52"/>
      <c r="D695" s="51"/>
      <c r="E695" s="53"/>
      <c r="F695" s="54"/>
      <c r="G695" s="51"/>
      <c r="H695" s="51"/>
      <c r="I695" s="55"/>
      <c r="J695" s="56"/>
      <c r="K695" s="46"/>
      <c r="L695" s="46"/>
      <c r="M695" s="47"/>
      <c r="N695" s="46"/>
      <c r="O695" s="57"/>
      <c r="P695" s="46"/>
      <c r="Q695" s="46"/>
      <c r="R695" s="57"/>
      <c r="S695" s="7"/>
      <c r="T695" s="54"/>
      <c r="U695" s="58"/>
      <c r="V695" s="47"/>
      <c r="W695" s="18"/>
      <c r="X695" s="46"/>
      <c r="Y695" s="9"/>
      <c r="Z695" s="46"/>
      <c r="AA695" s="7"/>
      <c r="AB695" s="46"/>
      <c r="AC695" s="47"/>
      <c r="AD695" s="7"/>
      <c r="AE695" s="47"/>
      <c r="AF695" s="18"/>
      <c r="AG695" s="26"/>
      <c r="AH695" s="34"/>
      <c r="AI695" s="34"/>
      <c r="AJ695" s="18"/>
      <c r="AK695" s="48"/>
      <c r="AL695" s="26"/>
      <c r="AM695" s="26"/>
    </row>
    <row r="696">
      <c r="A696" s="51"/>
      <c r="B696" s="51"/>
      <c r="C696" s="52"/>
      <c r="D696" s="51"/>
      <c r="E696" s="53"/>
      <c r="F696" s="54"/>
      <c r="G696" s="51"/>
      <c r="H696" s="51"/>
      <c r="I696" s="55"/>
      <c r="J696" s="56"/>
      <c r="K696" s="46"/>
      <c r="L696" s="46"/>
      <c r="M696" s="47"/>
      <c r="N696" s="46"/>
      <c r="O696" s="57"/>
      <c r="P696" s="46"/>
      <c r="Q696" s="46"/>
      <c r="R696" s="57"/>
      <c r="S696" s="7"/>
      <c r="T696" s="54"/>
      <c r="U696" s="58"/>
      <c r="V696" s="47"/>
      <c r="W696" s="18"/>
      <c r="X696" s="46"/>
      <c r="Y696" s="9"/>
      <c r="Z696" s="46"/>
      <c r="AA696" s="7"/>
      <c r="AB696" s="46"/>
      <c r="AC696" s="47"/>
      <c r="AD696" s="7"/>
      <c r="AE696" s="47"/>
      <c r="AF696" s="18"/>
      <c r="AG696" s="26"/>
      <c r="AH696" s="34"/>
      <c r="AI696" s="34"/>
      <c r="AJ696" s="18"/>
      <c r="AK696" s="48"/>
      <c r="AL696" s="26"/>
      <c r="AM696" s="26"/>
    </row>
    <row r="697">
      <c r="A697" s="51"/>
      <c r="B697" s="51"/>
      <c r="C697" s="52"/>
      <c r="D697" s="51"/>
      <c r="E697" s="53"/>
      <c r="F697" s="54"/>
      <c r="G697" s="51"/>
      <c r="H697" s="51"/>
      <c r="I697" s="55"/>
      <c r="J697" s="56"/>
      <c r="K697" s="46"/>
      <c r="L697" s="46"/>
      <c r="M697" s="47"/>
      <c r="N697" s="46"/>
      <c r="O697" s="57"/>
      <c r="P697" s="46"/>
      <c r="Q697" s="46"/>
      <c r="R697" s="57"/>
      <c r="S697" s="7"/>
      <c r="T697" s="54"/>
      <c r="U697" s="58"/>
      <c r="V697" s="47"/>
      <c r="W697" s="18"/>
      <c r="X697" s="46"/>
      <c r="Y697" s="9"/>
      <c r="Z697" s="46"/>
      <c r="AA697" s="7"/>
      <c r="AB697" s="46"/>
      <c r="AC697" s="47"/>
      <c r="AD697" s="7"/>
      <c r="AE697" s="47"/>
      <c r="AF697" s="18"/>
      <c r="AG697" s="26"/>
      <c r="AH697" s="34"/>
      <c r="AI697" s="34"/>
      <c r="AJ697" s="18"/>
      <c r="AK697" s="48"/>
      <c r="AL697" s="26"/>
      <c r="AM697" s="26"/>
    </row>
    <row r="698">
      <c r="A698" s="51"/>
      <c r="B698" s="51"/>
      <c r="C698" s="52"/>
      <c r="D698" s="51"/>
      <c r="E698" s="53"/>
      <c r="F698" s="54"/>
      <c r="G698" s="51"/>
      <c r="H698" s="51"/>
      <c r="I698" s="55"/>
      <c r="J698" s="56"/>
      <c r="K698" s="46"/>
      <c r="L698" s="46"/>
      <c r="M698" s="47"/>
      <c r="N698" s="46"/>
      <c r="O698" s="57"/>
      <c r="P698" s="46"/>
      <c r="Q698" s="46"/>
      <c r="R698" s="57"/>
      <c r="S698" s="7"/>
      <c r="T698" s="54"/>
      <c r="U698" s="58"/>
      <c r="V698" s="47"/>
      <c r="W698" s="18"/>
      <c r="X698" s="46"/>
      <c r="Y698" s="9"/>
      <c r="Z698" s="46"/>
      <c r="AA698" s="7"/>
      <c r="AB698" s="46"/>
      <c r="AC698" s="47"/>
      <c r="AD698" s="7"/>
      <c r="AE698" s="47"/>
      <c r="AF698" s="18"/>
      <c r="AG698" s="26"/>
      <c r="AH698" s="34"/>
      <c r="AI698" s="34"/>
      <c r="AJ698" s="18"/>
      <c r="AK698" s="48"/>
      <c r="AL698" s="26"/>
      <c r="AM698" s="26"/>
    </row>
    <row r="699">
      <c r="A699" s="51"/>
      <c r="B699" s="51"/>
      <c r="C699" s="52"/>
      <c r="D699" s="51"/>
      <c r="E699" s="53"/>
      <c r="F699" s="54"/>
      <c r="G699" s="51"/>
      <c r="H699" s="51"/>
      <c r="I699" s="55"/>
      <c r="J699" s="56"/>
      <c r="K699" s="46"/>
      <c r="L699" s="46"/>
      <c r="M699" s="47"/>
      <c r="N699" s="46"/>
      <c r="O699" s="57"/>
      <c r="P699" s="46"/>
      <c r="Q699" s="46"/>
      <c r="R699" s="57"/>
      <c r="S699" s="7"/>
      <c r="T699" s="54"/>
      <c r="U699" s="58"/>
      <c r="V699" s="47"/>
      <c r="W699" s="18"/>
      <c r="X699" s="46"/>
      <c r="Y699" s="9"/>
      <c r="Z699" s="46"/>
      <c r="AA699" s="7"/>
      <c r="AB699" s="46"/>
      <c r="AC699" s="47"/>
      <c r="AD699" s="7"/>
      <c r="AE699" s="47"/>
      <c r="AF699" s="18"/>
      <c r="AG699" s="26"/>
      <c r="AH699" s="34"/>
      <c r="AI699" s="34"/>
      <c r="AJ699" s="18"/>
      <c r="AK699" s="48"/>
      <c r="AL699" s="26"/>
      <c r="AM699" s="26"/>
    </row>
    <row r="700">
      <c r="A700" s="51"/>
      <c r="B700" s="51"/>
      <c r="C700" s="52"/>
      <c r="D700" s="51"/>
      <c r="E700" s="53"/>
      <c r="F700" s="54"/>
      <c r="G700" s="51"/>
      <c r="H700" s="51"/>
      <c r="I700" s="55"/>
      <c r="J700" s="56"/>
      <c r="K700" s="46"/>
      <c r="L700" s="46"/>
      <c r="M700" s="47"/>
      <c r="N700" s="46"/>
      <c r="O700" s="57"/>
      <c r="P700" s="46"/>
      <c r="Q700" s="46"/>
      <c r="R700" s="57"/>
      <c r="S700" s="7"/>
      <c r="T700" s="54"/>
      <c r="U700" s="58"/>
      <c r="V700" s="47"/>
      <c r="W700" s="18"/>
      <c r="X700" s="46"/>
      <c r="Y700" s="9"/>
      <c r="Z700" s="46"/>
      <c r="AA700" s="7"/>
      <c r="AB700" s="46"/>
      <c r="AC700" s="47"/>
      <c r="AD700" s="7"/>
      <c r="AE700" s="47"/>
      <c r="AF700" s="18"/>
      <c r="AG700" s="26"/>
      <c r="AH700" s="34"/>
      <c r="AI700" s="34"/>
      <c r="AJ700" s="18"/>
      <c r="AK700" s="48"/>
      <c r="AL700" s="26"/>
      <c r="AM700" s="26"/>
    </row>
    <row r="701">
      <c r="A701" s="51"/>
      <c r="B701" s="51"/>
      <c r="C701" s="52"/>
      <c r="D701" s="51"/>
      <c r="E701" s="53"/>
      <c r="F701" s="54"/>
      <c r="G701" s="51"/>
      <c r="H701" s="51"/>
      <c r="I701" s="55"/>
      <c r="J701" s="56"/>
      <c r="K701" s="46"/>
      <c r="L701" s="46"/>
      <c r="M701" s="47"/>
      <c r="N701" s="46"/>
      <c r="O701" s="57"/>
      <c r="P701" s="46"/>
      <c r="Q701" s="46"/>
      <c r="R701" s="57"/>
      <c r="S701" s="7"/>
      <c r="T701" s="54"/>
      <c r="U701" s="58"/>
      <c r="V701" s="47"/>
      <c r="W701" s="18"/>
      <c r="X701" s="46"/>
      <c r="Y701" s="9"/>
      <c r="Z701" s="46"/>
      <c r="AA701" s="7"/>
      <c r="AB701" s="46"/>
      <c r="AC701" s="47"/>
      <c r="AD701" s="7"/>
      <c r="AE701" s="47"/>
      <c r="AF701" s="18"/>
      <c r="AG701" s="26"/>
      <c r="AH701" s="34"/>
      <c r="AI701" s="34"/>
      <c r="AJ701" s="18"/>
      <c r="AK701" s="48"/>
      <c r="AL701" s="26"/>
      <c r="AM701" s="26"/>
    </row>
    <row r="702">
      <c r="A702" s="51"/>
      <c r="B702" s="51"/>
      <c r="C702" s="52"/>
      <c r="D702" s="51"/>
      <c r="E702" s="53"/>
      <c r="F702" s="54"/>
      <c r="G702" s="51"/>
      <c r="H702" s="51"/>
      <c r="I702" s="55"/>
      <c r="J702" s="56"/>
      <c r="K702" s="46"/>
      <c r="L702" s="46"/>
      <c r="M702" s="47"/>
      <c r="N702" s="46"/>
      <c r="O702" s="57"/>
      <c r="P702" s="46"/>
      <c r="Q702" s="46"/>
      <c r="R702" s="57"/>
      <c r="S702" s="7"/>
      <c r="T702" s="54"/>
      <c r="U702" s="58"/>
      <c r="V702" s="47"/>
      <c r="W702" s="18"/>
      <c r="X702" s="46"/>
      <c r="Y702" s="9"/>
      <c r="Z702" s="46"/>
      <c r="AA702" s="7"/>
      <c r="AB702" s="46"/>
      <c r="AC702" s="47"/>
      <c r="AD702" s="7"/>
      <c r="AE702" s="47"/>
      <c r="AF702" s="18"/>
      <c r="AG702" s="26"/>
      <c r="AH702" s="34"/>
      <c r="AI702" s="34"/>
      <c r="AJ702" s="18"/>
      <c r="AK702" s="48"/>
      <c r="AL702" s="26"/>
      <c r="AM702" s="26"/>
    </row>
    <row r="703">
      <c r="A703" s="51"/>
      <c r="B703" s="51"/>
      <c r="C703" s="52"/>
      <c r="D703" s="51"/>
      <c r="E703" s="53"/>
      <c r="F703" s="54"/>
      <c r="G703" s="51"/>
      <c r="H703" s="51"/>
      <c r="I703" s="55"/>
      <c r="J703" s="56"/>
      <c r="K703" s="46"/>
      <c r="L703" s="46"/>
      <c r="M703" s="47"/>
      <c r="N703" s="46"/>
      <c r="O703" s="57"/>
      <c r="P703" s="46"/>
      <c r="Q703" s="46"/>
      <c r="R703" s="57"/>
      <c r="S703" s="7"/>
      <c r="T703" s="54"/>
      <c r="U703" s="58"/>
      <c r="V703" s="47"/>
      <c r="W703" s="18"/>
      <c r="X703" s="46"/>
      <c r="Y703" s="9"/>
      <c r="Z703" s="46"/>
      <c r="AA703" s="7"/>
      <c r="AB703" s="46"/>
      <c r="AC703" s="47"/>
      <c r="AD703" s="7"/>
      <c r="AE703" s="47"/>
      <c r="AF703" s="18"/>
      <c r="AG703" s="26"/>
      <c r="AH703" s="34"/>
      <c r="AI703" s="34"/>
      <c r="AJ703" s="18"/>
      <c r="AK703" s="48"/>
      <c r="AL703" s="26"/>
      <c r="AM703" s="26"/>
    </row>
    <row r="704">
      <c r="A704" s="51"/>
      <c r="B704" s="51"/>
      <c r="C704" s="52"/>
      <c r="D704" s="51"/>
      <c r="E704" s="53"/>
      <c r="F704" s="54"/>
      <c r="G704" s="51"/>
      <c r="H704" s="51"/>
      <c r="I704" s="55"/>
      <c r="J704" s="56"/>
      <c r="K704" s="46"/>
      <c r="L704" s="46"/>
      <c r="M704" s="47"/>
      <c r="N704" s="46"/>
      <c r="O704" s="57"/>
      <c r="P704" s="46"/>
      <c r="Q704" s="46"/>
      <c r="R704" s="57"/>
      <c r="S704" s="7"/>
      <c r="T704" s="54"/>
      <c r="U704" s="58"/>
      <c r="V704" s="47"/>
      <c r="W704" s="18"/>
      <c r="X704" s="46"/>
      <c r="Y704" s="9"/>
      <c r="Z704" s="46"/>
      <c r="AA704" s="7"/>
      <c r="AB704" s="46"/>
      <c r="AC704" s="47"/>
      <c r="AD704" s="7"/>
      <c r="AE704" s="47"/>
      <c r="AF704" s="18"/>
      <c r="AG704" s="26"/>
      <c r="AH704" s="34"/>
      <c r="AI704" s="34"/>
      <c r="AJ704" s="18"/>
      <c r="AK704" s="48"/>
      <c r="AL704" s="26"/>
      <c r="AM704" s="26"/>
    </row>
    <row r="705">
      <c r="A705" s="51"/>
      <c r="B705" s="51"/>
      <c r="C705" s="52"/>
      <c r="D705" s="51"/>
      <c r="E705" s="53"/>
      <c r="F705" s="54"/>
      <c r="G705" s="51"/>
      <c r="H705" s="51"/>
      <c r="I705" s="55"/>
      <c r="J705" s="56"/>
      <c r="K705" s="46"/>
      <c r="L705" s="46"/>
      <c r="M705" s="47"/>
      <c r="N705" s="46"/>
      <c r="O705" s="57"/>
      <c r="P705" s="46"/>
      <c r="Q705" s="46"/>
      <c r="R705" s="57"/>
      <c r="S705" s="7"/>
      <c r="T705" s="54"/>
      <c r="U705" s="58"/>
      <c r="V705" s="47"/>
      <c r="W705" s="18"/>
      <c r="X705" s="46"/>
      <c r="Y705" s="9"/>
      <c r="Z705" s="46"/>
      <c r="AA705" s="7"/>
      <c r="AB705" s="46"/>
      <c r="AC705" s="47"/>
      <c r="AD705" s="7"/>
      <c r="AE705" s="47"/>
      <c r="AF705" s="18"/>
      <c r="AG705" s="26"/>
      <c r="AH705" s="34"/>
      <c r="AI705" s="34"/>
      <c r="AJ705" s="18"/>
      <c r="AK705" s="48"/>
      <c r="AL705" s="26"/>
      <c r="AM705" s="26"/>
    </row>
    <row r="706">
      <c r="A706" s="51"/>
      <c r="B706" s="51"/>
      <c r="C706" s="52"/>
      <c r="D706" s="51"/>
      <c r="E706" s="53"/>
      <c r="F706" s="54"/>
      <c r="G706" s="51"/>
      <c r="H706" s="51"/>
      <c r="I706" s="55"/>
      <c r="J706" s="56"/>
      <c r="K706" s="46"/>
      <c r="L706" s="46"/>
      <c r="M706" s="47"/>
      <c r="N706" s="46"/>
      <c r="O706" s="57"/>
      <c r="P706" s="46"/>
      <c r="Q706" s="46"/>
      <c r="R706" s="57"/>
      <c r="S706" s="7"/>
      <c r="T706" s="54"/>
      <c r="U706" s="58"/>
      <c r="V706" s="47"/>
      <c r="W706" s="18"/>
      <c r="X706" s="46"/>
      <c r="Y706" s="9"/>
      <c r="Z706" s="46"/>
      <c r="AA706" s="7"/>
      <c r="AB706" s="46"/>
      <c r="AC706" s="47"/>
      <c r="AD706" s="7"/>
      <c r="AE706" s="47"/>
      <c r="AF706" s="18"/>
      <c r="AG706" s="26"/>
      <c r="AH706" s="34"/>
      <c r="AI706" s="34"/>
      <c r="AJ706" s="18"/>
      <c r="AK706" s="48"/>
      <c r="AL706" s="26"/>
      <c r="AM706" s="26"/>
    </row>
    <row r="707">
      <c r="A707" s="51"/>
      <c r="B707" s="51"/>
      <c r="C707" s="52"/>
      <c r="D707" s="51"/>
      <c r="E707" s="53"/>
      <c r="F707" s="54"/>
      <c r="G707" s="51"/>
      <c r="H707" s="51"/>
      <c r="I707" s="55"/>
      <c r="J707" s="56"/>
      <c r="K707" s="46"/>
      <c r="L707" s="46"/>
      <c r="M707" s="47"/>
      <c r="N707" s="46"/>
      <c r="O707" s="57"/>
      <c r="P707" s="46"/>
      <c r="Q707" s="46"/>
      <c r="R707" s="57"/>
      <c r="S707" s="7"/>
      <c r="T707" s="54"/>
      <c r="U707" s="58"/>
      <c r="V707" s="47"/>
      <c r="W707" s="18"/>
      <c r="X707" s="46"/>
      <c r="Y707" s="9"/>
      <c r="Z707" s="46"/>
      <c r="AA707" s="7"/>
      <c r="AB707" s="46"/>
      <c r="AC707" s="47"/>
      <c r="AD707" s="7"/>
      <c r="AE707" s="47"/>
      <c r="AF707" s="18"/>
      <c r="AG707" s="26"/>
      <c r="AH707" s="34"/>
      <c r="AI707" s="34"/>
      <c r="AJ707" s="18"/>
      <c r="AK707" s="48"/>
      <c r="AL707" s="26"/>
      <c r="AM707" s="26"/>
    </row>
    <row r="708">
      <c r="A708" s="51"/>
      <c r="B708" s="51"/>
      <c r="C708" s="52"/>
      <c r="D708" s="51"/>
      <c r="E708" s="53"/>
      <c r="F708" s="54"/>
      <c r="G708" s="51"/>
      <c r="H708" s="51"/>
      <c r="I708" s="55"/>
      <c r="J708" s="56"/>
      <c r="K708" s="46"/>
      <c r="L708" s="46"/>
      <c r="M708" s="47"/>
      <c r="N708" s="46"/>
      <c r="O708" s="57"/>
      <c r="P708" s="46"/>
      <c r="Q708" s="46"/>
      <c r="R708" s="57"/>
      <c r="S708" s="7"/>
      <c r="T708" s="54"/>
      <c r="U708" s="58"/>
      <c r="V708" s="47"/>
      <c r="W708" s="18"/>
      <c r="X708" s="46"/>
      <c r="Y708" s="9"/>
      <c r="Z708" s="46"/>
      <c r="AA708" s="7"/>
      <c r="AB708" s="46"/>
      <c r="AC708" s="47"/>
      <c r="AD708" s="7"/>
      <c r="AE708" s="47"/>
      <c r="AF708" s="18"/>
      <c r="AG708" s="26"/>
      <c r="AH708" s="34"/>
      <c r="AI708" s="34"/>
      <c r="AJ708" s="18"/>
      <c r="AK708" s="48"/>
      <c r="AL708" s="26"/>
      <c r="AM708" s="26"/>
    </row>
    <row r="709">
      <c r="A709" s="51"/>
      <c r="B709" s="51"/>
      <c r="C709" s="52"/>
      <c r="D709" s="51"/>
      <c r="E709" s="53"/>
      <c r="F709" s="54"/>
      <c r="G709" s="51"/>
      <c r="H709" s="51"/>
      <c r="I709" s="55"/>
      <c r="J709" s="56"/>
      <c r="K709" s="46"/>
      <c r="L709" s="46"/>
      <c r="M709" s="47"/>
      <c r="N709" s="46"/>
      <c r="O709" s="57"/>
      <c r="P709" s="46"/>
      <c r="Q709" s="46"/>
      <c r="R709" s="57"/>
      <c r="S709" s="7"/>
      <c r="T709" s="54"/>
      <c r="U709" s="58"/>
      <c r="V709" s="47"/>
      <c r="W709" s="18"/>
      <c r="X709" s="46"/>
      <c r="Y709" s="9"/>
      <c r="Z709" s="46"/>
      <c r="AA709" s="7"/>
      <c r="AB709" s="46"/>
      <c r="AC709" s="47"/>
      <c r="AD709" s="7"/>
      <c r="AE709" s="47"/>
      <c r="AF709" s="18"/>
      <c r="AG709" s="26"/>
      <c r="AH709" s="34"/>
      <c r="AI709" s="34"/>
      <c r="AJ709" s="18"/>
      <c r="AK709" s="48"/>
      <c r="AL709" s="26"/>
      <c r="AM709" s="26"/>
    </row>
    <row r="710">
      <c r="A710" s="51"/>
      <c r="B710" s="51"/>
      <c r="C710" s="52"/>
      <c r="D710" s="51"/>
      <c r="E710" s="53"/>
      <c r="F710" s="54"/>
      <c r="G710" s="51"/>
      <c r="H710" s="51"/>
      <c r="I710" s="55"/>
      <c r="J710" s="56"/>
      <c r="K710" s="46"/>
      <c r="L710" s="46"/>
      <c r="M710" s="47"/>
      <c r="N710" s="46"/>
      <c r="O710" s="57"/>
      <c r="P710" s="46"/>
      <c r="Q710" s="46"/>
      <c r="R710" s="57"/>
      <c r="S710" s="7"/>
      <c r="T710" s="54"/>
      <c r="U710" s="58"/>
      <c r="V710" s="47"/>
      <c r="W710" s="18"/>
      <c r="X710" s="46"/>
      <c r="Y710" s="9"/>
      <c r="Z710" s="46"/>
      <c r="AA710" s="7"/>
      <c r="AB710" s="46"/>
      <c r="AC710" s="47"/>
      <c r="AD710" s="7"/>
      <c r="AE710" s="47"/>
      <c r="AF710" s="18"/>
      <c r="AG710" s="26"/>
      <c r="AH710" s="34"/>
      <c r="AI710" s="34"/>
      <c r="AJ710" s="18"/>
      <c r="AK710" s="48"/>
      <c r="AL710" s="26"/>
      <c r="AM710" s="26"/>
    </row>
    <row r="711">
      <c r="A711" s="51"/>
      <c r="B711" s="51"/>
      <c r="C711" s="52"/>
      <c r="D711" s="51"/>
      <c r="E711" s="53"/>
      <c r="F711" s="54"/>
      <c r="G711" s="51"/>
      <c r="H711" s="51"/>
      <c r="I711" s="55"/>
      <c r="J711" s="56"/>
      <c r="K711" s="46"/>
      <c r="L711" s="46"/>
      <c r="M711" s="47"/>
      <c r="N711" s="46"/>
      <c r="O711" s="57"/>
      <c r="P711" s="46"/>
      <c r="Q711" s="46"/>
      <c r="R711" s="57"/>
      <c r="S711" s="7"/>
      <c r="T711" s="54"/>
      <c r="U711" s="58"/>
      <c r="V711" s="47"/>
      <c r="W711" s="18"/>
      <c r="X711" s="46"/>
      <c r="Y711" s="9"/>
      <c r="Z711" s="46"/>
      <c r="AA711" s="7"/>
      <c r="AB711" s="46"/>
      <c r="AC711" s="47"/>
      <c r="AD711" s="7"/>
      <c r="AE711" s="47"/>
      <c r="AF711" s="18"/>
      <c r="AG711" s="26"/>
      <c r="AH711" s="34"/>
      <c r="AI711" s="34"/>
      <c r="AJ711" s="18"/>
      <c r="AK711" s="48"/>
      <c r="AL711" s="26"/>
      <c r="AM711" s="26"/>
    </row>
    <row r="712">
      <c r="A712" s="51"/>
      <c r="B712" s="51"/>
      <c r="C712" s="52"/>
      <c r="D712" s="51"/>
      <c r="E712" s="53"/>
      <c r="F712" s="54"/>
      <c r="G712" s="51"/>
      <c r="H712" s="51"/>
      <c r="I712" s="55"/>
      <c r="J712" s="56"/>
      <c r="K712" s="46"/>
      <c r="L712" s="46"/>
      <c r="M712" s="47"/>
      <c r="N712" s="46"/>
      <c r="O712" s="57"/>
      <c r="P712" s="46"/>
      <c r="Q712" s="46"/>
      <c r="R712" s="57"/>
      <c r="S712" s="7"/>
      <c r="T712" s="54"/>
      <c r="U712" s="58"/>
      <c r="V712" s="47"/>
      <c r="W712" s="18"/>
      <c r="X712" s="46"/>
      <c r="Y712" s="9"/>
      <c r="Z712" s="46"/>
      <c r="AA712" s="7"/>
      <c r="AB712" s="46"/>
      <c r="AC712" s="47"/>
      <c r="AD712" s="7"/>
      <c r="AE712" s="47"/>
      <c r="AF712" s="18"/>
      <c r="AG712" s="26"/>
      <c r="AH712" s="34"/>
      <c r="AI712" s="34"/>
      <c r="AJ712" s="18"/>
      <c r="AK712" s="48"/>
      <c r="AL712" s="26"/>
      <c r="AM712" s="26"/>
    </row>
    <row r="713">
      <c r="A713" s="51"/>
      <c r="B713" s="51"/>
      <c r="C713" s="52"/>
      <c r="D713" s="51"/>
      <c r="E713" s="53"/>
      <c r="F713" s="54"/>
      <c r="G713" s="51"/>
      <c r="H713" s="51"/>
      <c r="I713" s="55"/>
      <c r="J713" s="56"/>
      <c r="K713" s="46"/>
      <c r="L713" s="46"/>
      <c r="M713" s="47"/>
      <c r="N713" s="46"/>
      <c r="O713" s="57"/>
      <c r="P713" s="46"/>
      <c r="Q713" s="46"/>
      <c r="R713" s="57"/>
      <c r="S713" s="7"/>
      <c r="T713" s="54"/>
      <c r="U713" s="58"/>
      <c r="V713" s="47"/>
      <c r="W713" s="18"/>
      <c r="X713" s="46"/>
      <c r="Y713" s="9"/>
      <c r="Z713" s="46"/>
      <c r="AA713" s="7"/>
      <c r="AB713" s="46"/>
      <c r="AC713" s="47"/>
      <c r="AD713" s="7"/>
      <c r="AE713" s="47"/>
      <c r="AF713" s="18"/>
      <c r="AG713" s="26"/>
      <c r="AH713" s="34"/>
      <c r="AI713" s="34"/>
      <c r="AJ713" s="18"/>
      <c r="AK713" s="48"/>
      <c r="AL713" s="26"/>
      <c r="AM713" s="26"/>
    </row>
    <row r="714">
      <c r="A714" s="51"/>
      <c r="B714" s="51"/>
      <c r="C714" s="52"/>
      <c r="D714" s="51"/>
      <c r="E714" s="53"/>
      <c r="F714" s="54"/>
      <c r="G714" s="51"/>
      <c r="H714" s="51"/>
      <c r="I714" s="55"/>
      <c r="J714" s="56"/>
      <c r="K714" s="46"/>
      <c r="L714" s="46"/>
      <c r="M714" s="47"/>
      <c r="N714" s="46"/>
      <c r="O714" s="57"/>
      <c r="P714" s="46"/>
      <c r="Q714" s="46"/>
      <c r="R714" s="57"/>
      <c r="S714" s="7"/>
      <c r="T714" s="54"/>
      <c r="U714" s="58"/>
      <c r="V714" s="47"/>
      <c r="W714" s="18"/>
      <c r="X714" s="46"/>
      <c r="Y714" s="9"/>
      <c r="Z714" s="46"/>
      <c r="AA714" s="7"/>
      <c r="AB714" s="46"/>
      <c r="AC714" s="47"/>
      <c r="AD714" s="7"/>
      <c r="AE714" s="47"/>
      <c r="AF714" s="18"/>
      <c r="AG714" s="26"/>
      <c r="AH714" s="34"/>
      <c r="AI714" s="34"/>
      <c r="AJ714" s="18"/>
      <c r="AK714" s="48"/>
      <c r="AL714" s="26"/>
      <c r="AM714" s="26"/>
    </row>
    <row r="715">
      <c r="A715" s="51"/>
      <c r="B715" s="51"/>
      <c r="C715" s="52"/>
      <c r="D715" s="51"/>
      <c r="E715" s="53"/>
      <c r="F715" s="54"/>
      <c r="G715" s="51"/>
      <c r="H715" s="51"/>
      <c r="I715" s="55"/>
      <c r="J715" s="56"/>
      <c r="K715" s="46"/>
      <c r="L715" s="46"/>
      <c r="M715" s="47"/>
      <c r="N715" s="46"/>
      <c r="O715" s="57"/>
      <c r="P715" s="46"/>
      <c r="Q715" s="46"/>
      <c r="R715" s="57"/>
      <c r="S715" s="7"/>
      <c r="T715" s="54"/>
      <c r="U715" s="58"/>
      <c r="V715" s="47"/>
      <c r="W715" s="18"/>
      <c r="X715" s="46"/>
      <c r="Y715" s="9"/>
      <c r="Z715" s="46"/>
      <c r="AA715" s="7"/>
      <c r="AB715" s="46"/>
      <c r="AC715" s="47"/>
      <c r="AD715" s="7"/>
      <c r="AE715" s="47"/>
      <c r="AF715" s="18"/>
      <c r="AG715" s="26"/>
      <c r="AH715" s="34"/>
      <c r="AI715" s="34"/>
      <c r="AJ715" s="18"/>
      <c r="AK715" s="48"/>
      <c r="AL715" s="26"/>
      <c r="AM715" s="26"/>
    </row>
    <row r="716">
      <c r="A716" s="51"/>
      <c r="B716" s="51"/>
      <c r="C716" s="52"/>
      <c r="D716" s="51"/>
      <c r="E716" s="53"/>
      <c r="F716" s="54"/>
      <c r="G716" s="51"/>
      <c r="H716" s="51"/>
      <c r="I716" s="55"/>
      <c r="J716" s="56"/>
      <c r="K716" s="46"/>
      <c r="L716" s="46"/>
      <c r="M716" s="47"/>
      <c r="N716" s="46"/>
      <c r="O716" s="57"/>
      <c r="P716" s="46"/>
      <c r="Q716" s="46"/>
      <c r="R716" s="57"/>
      <c r="S716" s="7"/>
      <c r="T716" s="54"/>
      <c r="U716" s="58"/>
      <c r="V716" s="47"/>
      <c r="W716" s="18"/>
      <c r="X716" s="46"/>
      <c r="Y716" s="9"/>
      <c r="Z716" s="46"/>
      <c r="AA716" s="7"/>
      <c r="AB716" s="46"/>
      <c r="AC716" s="47"/>
      <c r="AD716" s="7"/>
      <c r="AE716" s="47"/>
      <c r="AF716" s="18"/>
      <c r="AG716" s="26"/>
      <c r="AH716" s="34"/>
      <c r="AI716" s="34"/>
      <c r="AJ716" s="18"/>
      <c r="AK716" s="48"/>
      <c r="AL716" s="26"/>
      <c r="AM716" s="26"/>
    </row>
    <row r="717">
      <c r="A717" s="51"/>
      <c r="B717" s="51"/>
      <c r="C717" s="52"/>
      <c r="D717" s="51"/>
      <c r="E717" s="53"/>
      <c r="F717" s="54"/>
      <c r="G717" s="51"/>
      <c r="H717" s="51"/>
      <c r="I717" s="55"/>
      <c r="J717" s="56"/>
      <c r="K717" s="46"/>
      <c r="L717" s="46"/>
      <c r="M717" s="47"/>
      <c r="N717" s="46"/>
      <c r="O717" s="57"/>
      <c r="P717" s="46"/>
      <c r="Q717" s="46"/>
      <c r="R717" s="57"/>
      <c r="S717" s="7"/>
      <c r="T717" s="54"/>
      <c r="U717" s="58"/>
      <c r="V717" s="47"/>
      <c r="W717" s="18"/>
      <c r="X717" s="46"/>
      <c r="Y717" s="9"/>
      <c r="Z717" s="46"/>
      <c r="AA717" s="7"/>
      <c r="AB717" s="46"/>
      <c r="AC717" s="47"/>
      <c r="AD717" s="7"/>
      <c r="AE717" s="47"/>
      <c r="AF717" s="18"/>
      <c r="AG717" s="26"/>
      <c r="AH717" s="34"/>
      <c r="AI717" s="34"/>
      <c r="AJ717" s="18"/>
      <c r="AK717" s="48"/>
      <c r="AL717" s="26"/>
      <c r="AM717" s="26"/>
    </row>
    <row r="718">
      <c r="A718" s="51"/>
      <c r="B718" s="51"/>
      <c r="C718" s="52"/>
      <c r="D718" s="51"/>
      <c r="E718" s="53"/>
      <c r="F718" s="54"/>
      <c r="G718" s="51"/>
      <c r="H718" s="51"/>
      <c r="I718" s="55"/>
      <c r="J718" s="56"/>
      <c r="K718" s="46"/>
      <c r="L718" s="46"/>
      <c r="M718" s="47"/>
      <c r="N718" s="46"/>
      <c r="O718" s="57"/>
      <c r="P718" s="46"/>
      <c r="Q718" s="46"/>
      <c r="R718" s="57"/>
      <c r="S718" s="7"/>
      <c r="T718" s="54"/>
      <c r="U718" s="58"/>
      <c r="V718" s="47"/>
      <c r="W718" s="18"/>
      <c r="X718" s="46"/>
      <c r="Y718" s="9"/>
      <c r="Z718" s="46"/>
      <c r="AA718" s="7"/>
      <c r="AB718" s="46"/>
      <c r="AC718" s="47"/>
      <c r="AD718" s="7"/>
      <c r="AE718" s="47"/>
      <c r="AF718" s="18"/>
      <c r="AG718" s="26"/>
      <c r="AH718" s="34"/>
      <c r="AI718" s="34"/>
      <c r="AJ718" s="18"/>
      <c r="AK718" s="48"/>
      <c r="AL718" s="26"/>
      <c r="AM718" s="26"/>
    </row>
    <row r="719">
      <c r="A719" s="51"/>
      <c r="B719" s="51"/>
      <c r="C719" s="52"/>
      <c r="D719" s="51"/>
      <c r="E719" s="53"/>
      <c r="F719" s="54"/>
      <c r="G719" s="51"/>
      <c r="H719" s="51"/>
      <c r="I719" s="55"/>
      <c r="J719" s="56"/>
      <c r="K719" s="46"/>
      <c r="L719" s="46"/>
      <c r="M719" s="47"/>
      <c r="N719" s="46"/>
      <c r="O719" s="57"/>
      <c r="P719" s="46"/>
      <c r="Q719" s="46"/>
      <c r="R719" s="57"/>
      <c r="S719" s="7"/>
      <c r="T719" s="54"/>
      <c r="U719" s="58"/>
      <c r="V719" s="47"/>
      <c r="W719" s="18"/>
      <c r="X719" s="46"/>
      <c r="Y719" s="9"/>
      <c r="Z719" s="46"/>
      <c r="AA719" s="7"/>
      <c r="AB719" s="46"/>
      <c r="AC719" s="47"/>
      <c r="AD719" s="7"/>
      <c r="AE719" s="47"/>
      <c r="AF719" s="18"/>
      <c r="AG719" s="26"/>
      <c r="AH719" s="34"/>
      <c r="AI719" s="34"/>
      <c r="AJ719" s="18"/>
      <c r="AK719" s="48"/>
      <c r="AL719" s="26"/>
      <c r="AM719" s="26"/>
    </row>
    <row r="720">
      <c r="A720" s="51"/>
      <c r="B720" s="51"/>
      <c r="C720" s="52"/>
      <c r="D720" s="51"/>
      <c r="E720" s="53"/>
      <c r="F720" s="54"/>
      <c r="G720" s="51"/>
      <c r="H720" s="51"/>
      <c r="I720" s="55"/>
      <c r="J720" s="56"/>
      <c r="K720" s="46"/>
      <c r="L720" s="46"/>
      <c r="M720" s="47"/>
      <c r="N720" s="46"/>
      <c r="O720" s="57"/>
      <c r="P720" s="46"/>
      <c r="Q720" s="46"/>
      <c r="R720" s="57"/>
      <c r="S720" s="7"/>
      <c r="T720" s="54"/>
      <c r="U720" s="58"/>
      <c r="V720" s="47"/>
      <c r="W720" s="18"/>
      <c r="X720" s="46"/>
      <c r="Y720" s="9"/>
      <c r="Z720" s="46"/>
      <c r="AA720" s="7"/>
      <c r="AB720" s="46"/>
      <c r="AC720" s="47"/>
      <c r="AD720" s="7"/>
      <c r="AE720" s="47"/>
      <c r="AF720" s="18"/>
      <c r="AG720" s="26"/>
      <c r="AH720" s="34"/>
      <c r="AI720" s="34"/>
      <c r="AJ720" s="18"/>
      <c r="AK720" s="48"/>
      <c r="AL720" s="26"/>
      <c r="AM720" s="26"/>
    </row>
    <row r="721">
      <c r="A721" s="51"/>
      <c r="B721" s="51"/>
      <c r="C721" s="52"/>
      <c r="D721" s="51"/>
      <c r="E721" s="53"/>
      <c r="F721" s="54"/>
      <c r="G721" s="51"/>
      <c r="H721" s="51"/>
      <c r="I721" s="55"/>
      <c r="J721" s="56"/>
      <c r="K721" s="46"/>
      <c r="L721" s="46"/>
      <c r="M721" s="47"/>
      <c r="N721" s="46"/>
      <c r="O721" s="57"/>
      <c r="P721" s="46"/>
      <c r="Q721" s="46"/>
      <c r="R721" s="57"/>
      <c r="S721" s="7"/>
      <c r="T721" s="54"/>
      <c r="U721" s="58"/>
      <c r="V721" s="47"/>
      <c r="W721" s="18"/>
      <c r="X721" s="46"/>
      <c r="Y721" s="9"/>
      <c r="Z721" s="46"/>
      <c r="AA721" s="7"/>
      <c r="AB721" s="46"/>
      <c r="AC721" s="47"/>
      <c r="AD721" s="7"/>
      <c r="AE721" s="47"/>
      <c r="AF721" s="18"/>
      <c r="AG721" s="26"/>
      <c r="AH721" s="34"/>
      <c r="AI721" s="34"/>
      <c r="AJ721" s="18"/>
      <c r="AK721" s="48"/>
      <c r="AL721" s="26"/>
      <c r="AM721" s="26"/>
    </row>
    <row r="722">
      <c r="A722" s="51"/>
      <c r="B722" s="51"/>
      <c r="C722" s="52"/>
      <c r="D722" s="51"/>
      <c r="E722" s="53"/>
      <c r="F722" s="54"/>
      <c r="G722" s="51"/>
      <c r="H722" s="51"/>
      <c r="I722" s="55"/>
      <c r="J722" s="56"/>
      <c r="K722" s="46"/>
      <c r="L722" s="46"/>
      <c r="M722" s="47"/>
      <c r="N722" s="46"/>
      <c r="O722" s="57"/>
      <c r="P722" s="46"/>
      <c r="Q722" s="46"/>
      <c r="R722" s="57"/>
      <c r="S722" s="7"/>
      <c r="T722" s="54"/>
      <c r="U722" s="58"/>
      <c r="V722" s="47"/>
      <c r="W722" s="18"/>
      <c r="X722" s="46"/>
      <c r="Y722" s="9"/>
      <c r="Z722" s="46"/>
      <c r="AA722" s="7"/>
      <c r="AB722" s="46"/>
      <c r="AC722" s="47"/>
      <c r="AD722" s="7"/>
      <c r="AE722" s="47"/>
      <c r="AF722" s="18"/>
      <c r="AG722" s="26"/>
      <c r="AH722" s="34"/>
      <c r="AI722" s="34"/>
      <c r="AJ722" s="18"/>
      <c r="AK722" s="48"/>
      <c r="AL722" s="26"/>
      <c r="AM722" s="26"/>
    </row>
    <row r="723">
      <c r="A723" s="51"/>
      <c r="B723" s="51"/>
      <c r="C723" s="52"/>
      <c r="D723" s="51"/>
      <c r="E723" s="53"/>
      <c r="F723" s="54"/>
      <c r="G723" s="51"/>
      <c r="H723" s="51"/>
      <c r="I723" s="55"/>
      <c r="J723" s="56"/>
      <c r="K723" s="46"/>
      <c r="L723" s="46"/>
      <c r="M723" s="47"/>
      <c r="N723" s="46"/>
      <c r="O723" s="57"/>
      <c r="P723" s="46"/>
      <c r="Q723" s="46"/>
      <c r="R723" s="57"/>
      <c r="S723" s="7"/>
      <c r="T723" s="54"/>
      <c r="U723" s="58"/>
      <c r="V723" s="47"/>
      <c r="W723" s="18"/>
      <c r="X723" s="46"/>
      <c r="Y723" s="9"/>
      <c r="Z723" s="46"/>
      <c r="AA723" s="7"/>
      <c r="AB723" s="46"/>
      <c r="AC723" s="47"/>
      <c r="AD723" s="7"/>
      <c r="AE723" s="47"/>
      <c r="AF723" s="18"/>
      <c r="AG723" s="26"/>
      <c r="AH723" s="34"/>
      <c r="AI723" s="34"/>
      <c r="AJ723" s="18"/>
      <c r="AK723" s="48"/>
      <c r="AL723" s="26"/>
      <c r="AM723" s="26"/>
    </row>
    <row r="724">
      <c r="A724" s="51"/>
      <c r="B724" s="51"/>
      <c r="C724" s="52"/>
      <c r="D724" s="51"/>
      <c r="E724" s="53"/>
      <c r="F724" s="54"/>
      <c r="G724" s="51"/>
      <c r="H724" s="51"/>
      <c r="I724" s="55"/>
      <c r="J724" s="56"/>
      <c r="K724" s="46"/>
      <c r="L724" s="46"/>
      <c r="M724" s="47"/>
      <c r="N724" s="46"/>
      <c r="O724" s="57"/>
      <c r="P724" s="46"/>
      <c r="Q724" s="46"/>
      <c r="R724" s="57"/>
      <c r="S724" s="7"/>
      <c r="T724" s="54"/>
      <c r="U724" s="58"/>
      <c r="V724" s="47"/>
      <c r="W724" s="18"/>
      <c r="X724" s="46"/>
      <c r="Y724" s="9"/>
      <c r="Z724" s="46"/>
      <c r="AA724" s="7"/>
      <c r="AB724" s="46"/>
      <c r="AC724" s="47"/>
      <c r="AD724" s="7"/>
      <c r="AE724" s="47"/>
      <c r="AF724" s="18"/>
      <c r="AG724" s="26"/>
      <c r="AH724" s="34"/>
      <c r="AI724" s="34"/>
      <c r="AJ724" s="18"/>
      <c r="AK724" s="48"/>
      <c r="AL724" s="26"/>
      <c r="AM724" s="26"/>
    </row>
    <row r="725">
      <c r="A725" s="51"/>
      <c r="B725" s="51"/>
      <c r="C725" s="52"/>
      <c r="D725" s="51"/>
      <c r="E725" s="53"/>
      <c r="F725" s="54"/>
      <c r="G725" s="51"/>
      <c r="H725" s="51"/>
      <c r="I725" s="55"/>
      <c r="J725" s="56"/>
      <c r="K725" s="46"/>
      <c r="L725" s="46"/>
      <c r="M725" s="47"/>
      <c r="N725" s="46"/>
      <c r="O725" s="57"/>
      <c r="P725" s="46"/>
      <c r="Q725" s="46"/>
      <c r="R725" s="57"/>
      <c r="S725" s="7"/>
      <c r="T725" s="54"/>
      <c r="U725" s="58"/>
      <c r="V725" s="47"/>
      <c r="W725" s="18"/>
      <c r="X725" s="46"/>
      <c r="Y725" s="9"/>
      <c r="Z725" s="46"/>
      <c r="AA725" s="7"/>
      <c r="AB725" s="46"/>
      <c r="AC725" s="47"/>
      <c r="AD725" s="7"/>
      <c r="AE725" s="47"/>
      <c r="AF725" s="18"/>
      <c r="AG725" s="26"/>
      <c r="AH725" s="34"/>
      <c r="AI725" s="34"/>
      <c r="AJ725" s="18"/>
      <c r="AK725" s="48"/>
      <c r="AL725" s="26"/>
      <c r="AM725" s="26"/>
    </row>
    <row r="726">
      <c r="A726" s="51"/>
      <c r="B726" s="51"/>
      <c r="C726" s="52"/>
      <c r="D726" s="51"/>
      <c r="E726" s="53"/>
      <c r="F726" s="54"/>
      <c r="G726" s="51"/>
      <c r="H726" s="51"/>
      <c r="I726" s="55"/>
      <c r="J726" s="56"/>
      <c r="K726" s="46"/>
      <c r="L726" s="46"/>
      <c r="M726" s="47"/>
      <c r="N726" s="46"/>
      <c r="O726" s="57"/>
      <c r="P726" s="46"/>
      <c r="Q726" s="46"/>
      <c r="R726" s="57"/>
      <c r="S726" s="7"/>
      <c r="T726" s="54"/>
      <c r="U726" s="58"/>
      <c r="V726" s="47"/>
      <c r="W726" s="18"/>
      <c r="X726" s="46"/>
      <c r="Y726" s="9"/>
      <c r="Z726" s="46"/>
      <c r="AA726" s="7"/>
      <c r="AB726" s="46"/>
      <c r="AC726" s="47"/>
      <c r="AD726" s="7"/>
      <c r="AE726" s="47"/>
      <c r="AF726" s="18"/>
      <c r="AG726" s="26"/>
      <c r="AH726" s="34"/>
      <c r="AI726" s="34"/>
      <c r="AJ726" s="18"/>
      <c r="AK726" s="48"/>
      <c r="AL726" s="26"/>
      <c r="AM726" s="26"/>
    </row>
    <row r="727">
      <c r="A727" s="51"/>
      <c r="B727" s="51"/>
      <c r="C727" s="52"/>
      <c r="D727" s="51"/>
      <c r="E727" s="53"/>
      <c r="F727" s="54"/>
      <c r="G727" s="51"/>
      <c r="H727" s="51"/>
      <c r="I727" s="55"/>
      <c r="J727" s="56"/>
      <c r="K727" s="46"/>
      <c r="L727" s="46"/>
      <c r="M727" s="47"/>
      <c r="N727" s="46"/>
      <c r="O727" s="57"/>
      <c r="P727" s="46"/>
      <c r="Q727" s="46"/>
      <c r="R727" s="57"/>
      <c r="S727" s="7"/>
      <c r="T727" s="54"/>
      <c r="U727" s="58"/>
      <c r="V727" s="47"/>
      <c r="W727" s="18"/>
      <c r="X727" s="46"/>
      <c r="Y727" s="9"/>
      <c r="Z727" s="46"/>
      <c r="AA727" s="7"/>
      <c r="AB727" s="46"/>
      <c r="AC727" s="47"/>
      <c r="AD727" s="7"/>
      <c r="AE727" s="47"/>
      <c r="AF727" s="18"/>
      <c r="AG727" s="26"/>
      <c r="AH727" s="34"/>
      <c r="AI727" s="34"/>
      <c r="AJ727" s="18"/>
      <c r="AK727" s="48"/>
      <c r="AL727" s="26"/>
      <c r="AM727" s="26"/>
    </row>
    <row r="728">
      <c r="A728" s="51"/>
      <c r="B728" s="51"/>
      <c r="C728" s="52"/>
      <c r="D728" s="51"/>
      <c r="E728" s="53"/>
      <c r="F728" s="54"/>
      <c r="G728" s="51"/>
      <c r="H728" s="51"/>
      <c r="I728" s="55"/>
      <c r="J728" s="56"/>
      <c r="K728" s="46"/>
      <c r="L728" s="46"/>
      <c r="M728" s="47"/>
      <c r="N728" s="46"/>
      <c r="O728" s="57"/>
      <c r="P728" s="46"/>
      <c r="Q728" s="46"/>
      <c r="R728" s="57"/>
      <c r="S728" s="7"/>
      <c r="T728" s="54"/>
      <c r="U728" s="58"/>
      <c r="V728" s="47"/>
      <c r="W728" s="18"/>
      <c r="X728" s="46"/>
      <c r="Y728" s="9"/>
      <c r="Z728" s="46"/>
      <c r="AA728" s="7"/>
      <c r="AB728" s="46"/>
      <c r="AC728" s="47"/>
      <c r="AD728" s="7"/>
      <c r="AE728" s="47"/>
      <c r="AF728" s="18"/>
      <c r="AG728" s="26"/>
      <c r="AH728" s="34"/>
      <c r="AI728" s="34"/>
      <c r="AJ728" s="18"/>
      <c r="AK728" s="48"/>
      <c r="AL728" s="26"/>
      <c r="AM728" s="26"/>
    </row>
    <row r="729">
      <c r="A729" s="51"/>
      <c r="B729" s="51"/>
      <c r="C729" s="52"/>
      <c r="D729" s="51"/>
      <c r="E729" s="53"/>
      <c r="F729" s="54"/>
      <c r="G729" s="51"/>
      <c r="H729" s="51"/>
      <c r="I729" s="55"/>
      <c r="J729" s="56"/>
      <c r="K729" s="46"/>
      <c r="L729" s="46"/>
      <c r="M729" s="47"/>
      <c r="N729" s="46"/>
      <c r="O729" s="57"/>
      <c r="P729" s="46"/>
      <c r="Q729" s="46"/>
      <c r="R729" s="57"/>
      <c r="S729" s="7"/>
      <c r="T729" s="54"/>
      <c r="U729" s="58"/>
      <c r="V729" s="47"/>
      <c r="W729" s="18"/>
      <c r="X729" s="46"/>
      <c r="Y729" s="9"/>
      <c r="Z729" s="46"/>
      <c r="AA729" s="7"/>
      <c r="AB729" s="46"/>
      <c r="AC729" s="47"/>
      <c r="AD729" s="7"/>
      <c r="AE729" s="47"/>
      <c r="AF729" s="18"/>
      <c r="AG729" s="26"/>
      <c r="AH729" s="34"/>
      <c r="AI729" s="34"/>
      <c r="AJ729" s="18"/>
      <c r="AK729" s="48"/>
      <c r="AL729" s="26"/>
      <c r="AM729" s="26"/>
    </row>
    <row r="730">
      <c r="A730" s="51"/>
      <c r="B730" s="51"/>
      <c r="C730" s="52"/>
      <c r="D730" s="51"/>
      <c r="E730" s="53"/>
      <c r="F730" s="54"/>
      <c r="G730" s="51"/>
      <c r="H730" s="51"/>
      <c r="I730" s="55"/>
      <c r="J730" s="56"/>
      <c r="K730" s="46"/>
      <c r="L730" s="46"/>
      <c r="M730" s="47"/>
      <c r="N730" s="46"/>
      <c r="O730" s="57"/>
      <c r="P730" s="46"/>
      <c r="Q730" s="46"/>
      <c r="R730" s="57"/>
      <c r="S730" s="7"/>
      <c r="T730" s="54"/>
      <c r="U730" s="58"/>
      <c r="V730" s="47"/>
      <c r="W730" s="18"/>
      <c r="X730" s="46"/>
      <c r="Y730" s="9"/>
      <c r="Z730" s="46"/>
      <c r="AA730" s="7"/>
      <c r="AB730" s="46"/>
      <c r="AC730" s="47"/>
      <c r="AD730" s="7"/>
      <c r="AE730" s="47"/>
      <c r="AF730" s="18"/>
      <c r="AG730" s="26"/>
      <c r="AH730" s="34"/>
      <c r="AI730" s="34"/>
      <c r="AJ730" s="18"/>
      <c r="AK730" s="48"/>
      <c r="AL730" s="26"/>
      <c r="AM730" s="26"/>
    </row>
    <row r="731">
      <c r="A731" s="51"/>
      <c r="B731" s="51"/>
      <c r="C731" s="52"/>
      <c r="D731" s="51"/>
      <c r="E731" s="53"/>
      <c r="F731" s="54"/>
      <c r="G731" s="51"/>
      <c r="H731" s="51"/>
      <c r="I731" s="55"/>
      <c r="J731" s="56"/>
      <c r="K731" s="46"/>
      <c r="L731" s="46"/>
      <c r="M731" s="47"/>
      <c r="N731" s="46"/>
      <c r="O731" s="57"/>
      <c r="P731" s="46"/>
      <c r="Q731" s="46"/>
      <c r="R731" s="57"/>
      <c r="S731" s="7"/>
      <c r="T731" s="54"/>
      <c r="U731" s="58"/>
      <c r="V731" s="47"/>
      <c r="W731" s="18"/>
      <c r="X731" s="46"/>
      <c r="Y731" s="9"/>
      <c r="Z731" s="46"/>
      <c r="AA731" s="7"/>
      <c r="AB731" s="46"/>
      <c r="AC731" s="47"/>
      <c r="AD731" s="7"/>
      <c r="AE731" s="47"/>
      <c r="AF731" s="18"/>
      <c r="AG731" s="26"/>
      <c r="AH731" s="34"/>
      <c r="AI731" s="34"/>
      <c r="AJ731" s="18"/>
      <c r="AK731" s="48"/>
      <c r="AL731" s="26"/>
      <c r="AM731" s="26"/>
    </row>
    <row r="732">
      <c r="A732" s="51"/>
      <c r="B732" s="51"/>
      <c r="C732" s="52"/>
      <c r="D732" s="51"/>
      <c r="E732" s="53"/>
      <c r="F732" s="54"/>
      <c r="G732" s="51"/>
      <c r="H732" s="51"/>
      <c r="I732" s="55"/>
      <c r="J732" s="56"/>
      <c r="K732" s="46"/>
      <c r="L732" s="46"/>
      <c r="M732" s="47"/>
      <c r="N732" s="46"/>
      <c r="O732" s="57"/>
      <c r="P732" s="46"/>
      <c r="Q732" s="46"/>
      <c r="R732" s="57"/>
      <c r="S732" s="7"/>
      <c r="T732" s="54"/>
      <c r="U732" s="58"/>
      <c r="V732" s="47"/>
      <c r="W732" s="18"/>
      <c r="X732" s="46"/>
      <c r="Y732" s="9"/>
      <c r="Z732" s="46"/>
      <c r="AA732" s="7"/>
      <c r="AB732" s="46"/>
      <c r="AC732" s="47"/>
      <c r="AD732" s="7"/>
      <c r="AE732" s="47"/>
      <c r="AF732" s="18"/>
      <c r="AG732" s="26"/>
      <c r="AH732" s="34"/>
      <c r="AI732" s="34"/>
      <c r="AJ732" s="18"/>
      <c r="AK732" s="48"/>
      <c r="AL732" s="26"/>
      <c r="AM732" s="26"/>
    </row>
    <row r="733">
      <c r="A733" s="51"/>
      <c r="B733" s="51"/>
      <c r="C733" s="52"/>
      <c r="D733" s="51"/>
      <c r="E733" s="53"/>
      <c r="F733" s="54"/>
      <c r="G733" s="51"/>
      <c r="H733" s="51"/>
      <c r="I733" s="55"/>
      <c r="J733" s="56"/>
      <c r="K733" s="46"/>
      <c r="L733" s="46"/>
      <c r="M733" s="47"/>
      <c r="N733" s="46"/>
      <c r="O733" s="57"/>
      <c r="P733" s="46"/>
      <c r="Q733" s="46"/>
      <c r="R733" s="57"/>
      <c r="S733" s="7"/>
      <c r="T733" s="54"/>
      <c r="U733" s="58"/>
      <c r="V733" s="47"/>
      <c r="W733" s="18"/>
      <c r="X733" s="46"/>
      <c r="Y733" s="9"/>
      <c r="Z733" s="46"/>
      <c r="AA733" s="7"/>
      <c r="AB733" s="46"/>
      <c r="AC733" s="47"/>
      <c r="AD733" s="7"/>
      <c r="AE733" s="47"/>
      <c r="AF733" s="18"/>
      <c r="AG733" s="26"/>
      <c r="AH733" s="34"/>
      <c r="AI733" s="34"/>
      <c r="AJ733" s="18"/>
      <c r="AK733" s="48"/>
      <c r="AL733" s="26"/>
      <c r="AM733" s="26"/>
    </row>
    <row r="734">
      <c r="A734" s="51"/>
      <c r="B734" s="51"/>
      <c r="C734" s="52"/>
      <c r="D734" s="51"/>
      <c r="E734" s="53"/>
      <c r="F734" s="54"/>
      <c r="G734" s="51"/>
      <c r="H734" s="51"/>
      <c r="I734" s="55"/>
      <c r="J734" s="56"/>
      <c r="K734" s="46"/>
      <c r="L734" s="46"/>
      <c r="M734" s="47"/>
      <c r="N734" s="46"/>
      <c r="O734" s="57"/>
      <c r="P734" s="46"/>
      <c r="Q734" s="46"/>
      <c r="R734" s="57"/>
      <c r="S734" s="7"/>
      <c r="T734" s="54"/>
      <c r="U734" s="58"/>
      <c r="V734" s="47"/>
      <c r="W734" s="18"/>
      <c r="X734" s="46"/>
      <c r="Y734" s="9"/>
      <c r="Z734" s="46"/>
      <c r="AA734" s="7"/>
      <c r="AB734" s="46"/>
      <c r="AC734" s="47"/>
      <c r="AD734" s="7"/>
      <c r="AE734" s="47"/>
      <c r="AF734" s="18"/>
      <c r="AG734" s="26"/>
      <c r="AH734" s="34"/>
      <c r="AI734" s="34"/>
      <c r="AJ734" s="18"/>
      <c r="AK734" s="48"/>
      <c r="AL734" s="26"/>
      <c r="AM734" s="26"/>
    </row>
    <row r="735">
      <c r="A735" s="51"/>
      <c r="B735" s="51"/>
      <c r="C735" s="52"/>
      <c r="D735" s="51"/>
      <c r="E735" s="53"/>
      <c r="F735" s="54"/>
      <c r="G735" s="51"/>
      <c r="H735" s="51"/>
      <c r="I735" s="55"/>
      <c r="J735" s="56"/>
      <c r="K735" s="46"/>
      <c r="L735" s="46"/>
      <c r="M735" s="47"/>
      <c r="N735" s="46"/>
      <c r="O735" s="57"/>
      <c r="P735" s="46"/>
      <c r="Q735" s="46"/>
      <c r="R735" s="57"/>
      <c r="S735" s="7"/>
      <c r="T735" s="54"/>
      <c r="U735" s="58"/>
      <c r="V735" s="47"/>
      <c r="W735" s="18"/>
      <c r="X735" s="46"/>
      <c r="Y735" s="9"/>
      <c r="Z735" s="46"/>
      <c r="AA735" s="7"/>
      <c r="AB735" s="46"/>
      <c r="AC735" s="47"/>
      <c r="AD735" s="7"/>
      <c r="AE735" s="47"/>
      <c r="AF735" s="18"/>
      <c r="AG735" s="26"/>
      <c r="AH735" s="34"/>
      <c r="AI735" s="34"/>
      <c r="AJ735" s="18"/>
      <c r="AK735" s="48"/>
      <c r="AL735" s="26"/>
      <c r="AM735" s="26"/>
    </row>
    <row r="736">
      <c r="A736" s="51"/>
      <c r="B736" s="51"/>
      <c r="C736" s="52"/>
      <c r="D736" s="51"/>
      <c r="E736" s="53"/>
      <c r="F736" s="54"/>
      <c r="G736" s="51"/>
      <c r="H736" s="51"/>
      <c r="I736" s="55"/>
      <c r="J736" s="56"/>
      <c r="K736" s="46"/>
      <c r="L736" s="46"/>
      <c r="M736" s="47"/>
      <c r="N736" s="46"/>
      <c r="O736" s="57"/>
      <c r="P736" s="46"/>
      <c r="Q736" s="46"/>
      <c r="R736" s="57"/>
      <c r="S736" s="7"/>
      <c r="T736" s="54"/>
      <c r="U736" s="58"/>
      <c r="V736" s="47"/>
      <c r="W736" s="18"/>
      <c r="X736" s="46"/>
      <c r="Y736" s="9"/>
      <c r="Z736" s="46"/>
      <c r="AA736" s="7"/>
      <c r="AB736" s="46"/>
      <c r="AC736" s="47"/>
      <c r="AD736" s="7"/>
      <c r="AE736" s="47"/>
      <c r="AF736" s="18"/>
      <c r="AG736" s="26"/>
      <c r="AH736" s="34"/>
      <c r="AI736" s="34"/>
      <c r="AJ736" s="18"/>
      <c r="AK736" s="48"/>
      <c r="AL736" s="26"/>
      <c r="AM736" s="26"/>
    </row>
    <row r="737">
      <c r="A737" s="51"/>
      <c r="B737" s="51"/>
      <c r="C737" s="52"/>
      <c r="D737" s="51"/>
      <c r="E737" s="53"/>
      <c r="F737" s="54"/>
      <c r="G737" s="51"/>
      <c r="H737" s="51"/>
      <c r="I737" s="55"/>
      <c r="J737" s="56"/>
      <c r="K737" s="46"/>
      <c r="L737" s="46"/>
      <c r="M737" s="47"/>
      <c r="N737" s="46"/>
      <c r="O737" s="57"/>
      <c r="P737" s="46"/>
      <c r="Q737" s="46"/>
      <c r="R737" s="57"/>
      <c r="S737" s="7"/>
      <c r="T737" s="54"/>
      <c r="U737" s="58"/>
      <c r="V737" s="47"/>
      <c r="W737" s="18"/>
      <c r="X737" s="46"/>
      <c r="Y737" s="9"/>
      <c r="Z737" s="46"/>
      <c r="AA737" s="7"/>
      <c r="AB737" s="46"/>
      <c r="AC737" s="47"/>
      <c r="AD737" s="7"/>
      <c r="AE737" s="47"/>
      <c r="AF737" s="18"/>
      <c r="AG737" s="26"/>
      <c r="AH737" s="34"/>
      <c r="AI737" s="34"/>
      <c r="AJ737" s="18"/>
      <c r="AK737" s="48"/>
      <c r="AL737" s="26"/>
      <c r="AM737" s="26"/>
    </row>
    <row r="738">
      <c r="A738" s="51"/>
      <c r="B738" s="51"/>
      <c r="C738" s="52"/>
      <c r="D738" s="51"/>
      <c r="E738" s="53"/>
      <c r="F738" s="54"/>
      <c r="G738" s="51"/>
      <c r="H738" s="51"/>
      <c r="I738" s="55"/>
      <c r="J738" s="56"/>
      <c r="K738" s="46"/>
      <c r="L738" s="46"/>
      <c r="M738" s="47"/>
      <c r="N738" s="46"/>
      <c r="O738" s="57"/>
      <c r="P738" s="46"/>
      <c r="Q738" s="46"/>
      <c r="R738" s="57"/>
      <c r="S738" s="7"/>
      <c r="T738" s="54"/>
      <c r="U738" s="58"/>
      <c r="V738" s="47"/>
      <c r="W738" s="18"/>
      <c r="X738" s="46"/>
      <c r="Y738" s="9"/>
      <c r="Z738" s="46"/>
      <c r="AA738" s="7"/>
      <c r="AB738" s="46"/>
      <c r="AC738" s="47"/>
      <c r="AD738" s="7"/>
      <c r="AE738" s="47"/>
      <c r="AF738" s="18"/>
      <c r="AG738" s="26"/>
      <c r="AH738" s="34"/>
      <c r="AI738" s="34"/>
      <c r="AJ738" s="18"/>
      <c r="AK738" s="48"/>
      <c r="AL738" s="26"/>
      <c r="AM738" s="26"/>
    </row>
    <row r="739">
      <c r="A739" s="51"/>
      <c r="B739" s="51"/>
      <c r="C739" s="52"/>
      <c r="D739" s="51"/>
      <c r="E739" s="53"/>
      <c r="F739" s="54"/>
      <c r="G739" s="51"/>
      <c r="H739" s="51"/>
      <c r="I739" s="55"/>
      <c r="J739" s="56"/>
      <c r="K739" s="46"/>
      <c r="L739" s="46"/>
      <c r="M739" s="47"/>
      <c r="N739" s="46"/>
      <c r="O739" s="57"/>
      <c r="P739" s="46"/>
      <c r="Q739" s="46"/>
      <c r="R739" s="57"/>
      <c r="S739" s="7"/>
      <c r="T739" s="54"/>
      <c r="U739" s="58"/>
      <c r="V739" s="47"/>
      <c r="W739" s="18"/>
      <c r="X739" s="46"/>
      <c r="Y739" s="9"/>
      <c r="Z739" s="46"/>
      <c r="AA739" s="7"/>
      <c r="AB739" s="46"/>
      <c r="AC739" s="47"/>
      <c r="AD739" s="7"/>
      <c r="AE739" s="47"/>
      <c r="AF739" s="18"/>
      <c r="AG739" s="26"/>
      <c r="AH739" s="34"/>
      <c r="AI739" s="34"/>
      <c r="AJ739" s="18"/>
      <c r="AK739" s="48"/>
      <c r="AL739" s="26"/>
      <c r="AM739" s="26"/>
    </row>
    <row r="740">
      <c r="A740" s="51"/>
      <c r="B740" s="51"/>
      <c r="C740" s="52"/>
      <c r="D740" s="51"/>
      <c r="E740" s="53"/>
      <c r="F740" s="54"/>
      <c r="G740" s="51"/>
      <c r="H740" s="51"/>
      <c r="I740" s="55"/>
      <c r="J740" s="56"/>
      <c r="K740" s="46"/>
      <c r="L740" s="46"/>
      <c r="M740" s="47"/>
      <c r="N740" s="46"/>
      <c r="O740" s="57"/>
      <c r="P740" s="46"/>
      <c r="Q740" s="46"/>
      <c r="R740" s="57"/>
      <c r="S740" s="7"/>
      <c r="T740" s="54"/>
      <c r="U740" s="58"/>
      <c r="V740" s="47"/>
      <c r="W740" s="18"/>
      <c r="X740" s="46"/>
      <c r="Y740" s="9"/>
      <c r="Z740" s="46"/>
      <c r="AA740" s="7"/>
      <c r="AB740" s="46"/>
      <c r="AC740" s="47"/>
      <c r="AD740" s="7"/>
      <c r="AE740" s="47"/>
      <c r="AF740" s="18"/>
      <c r="AG740" s="26"/>
      <c r="AH740" s="34"/>
      <c r="AI740" s="34"/>
      <c r="AJ740" s="18"/>
      <c r="AK740" s="48"/>
      <c r="AL740" s="26"/>
      <c r="AM740" s="26"/>
    </row>
    <row r="741">
      <c r="A741" s="51"/>
      <c r="B741" s="51"/>
      <c r="C741" s="52"/>
      <c r="D741" s="51"/>
      <c r="E741" s="53"/>
      <c r="F741" s="54"/>
      <c r="G741" s="51"/>
      <c r="H741" s="51"/>
      <c r="I741" s="55"/>
      <c r="J741" s="56"/>
      <c r="K741" s="46"/>
      <c r="L741" s="46"/>
      <c r="M741" s="47"/>
      <c r="N741" s="46"/>
      <c r="O741" s="57"/>
      <c r="P741" s="46"/>
      <c r="Q741" s="46"/>
      <c r="R741" s="57"/>
      <c r="S741" s="7"/>
      <c r="T741" s="54"/>
      <c r="U741" s="58"/>
      <c r="V741" s="47"/>
      <c r="W741" s="18"/>
      <c r="X741" s="46"/>
      <c r="Y741" s="9"/>
      <c r="Z741" s="46"/>
      <c r="AA741" s="7"/>
      <c r="AB741" s="46"/>
      <c r="AC741" s="47"/>
      <c r="AD741" s="7"/>
      <c r="AE741" s="47"/>
      <c r="AF741" s="18"/>
      <c r="AG741" s="26"/>
      <c r="AH741" s="34"/>
      <c r="AI741" s="34"/>
      <c r="AJ741" s="18"/>
      <c r="AK741" s="48"/>
      <c r="AL741" s="26"/>
      <c r="AM741" s="26"/>
    </row>
    <row r="742">
      <c r="A742" s="51"/>
      <c r="B742" s="51"/>
      <c r="C742" s="52"/>
      <c r="D742" s="51"/>
      <c r="E742" s="53"/>
      <c r="F742" s="54"/>
      <c r="G742" s="51"/>
      <c r="H742" s="51"/>
      <c r="I742" s="55"/>
      <c r="J742" s="56"/>
      <c r="K742" s="46"/>
      <c r="L742" s="46"/>
      <c r="M742" s="47"/>
      <c r="N742" s="46"/>
      <c r="O742" s="57"/>
      <c r="P742" s="46"/>
      <c r="Q742" s="46"/>
      <c r="R742" s="57"/>
      <c r="S742" s="7"/>
      <c r="T742" s="54"/>
      <c r="U742" s="58"/>
      <c r="V742" s="47"/>
      <c r="W742" s="18"/>
      <c r="X742" s="46"/>
      <c r="Y742" s="9"/>
      <c r="Z742" s="46"/>
      <c r="AA742" s="7"/>
      <c r="AB742" s="46"/>
      <c r="AC742" s="47"/>
      <c r="AD742" s="7"/>
      <c r="AE742" s="47"/>
      <c r="AF742" s="18"/>
      <c r="AG742" s="26"/>
      <c r="AH742" s="34"/>
      <c r="AI742" s="34"/>
      <c r="AJ742" s="18"/>
      <c r="AK742" s="48"/>
      <c r="AL742" s="26"/>
      <c r="AM742" s="26"/>
    </row>
    <row r="743">
      <c r="A743" s="51"/>
      <c r="B743" s="51"/>
      <c r="C743" s="52"/>
      <c r="D743" s="51"/>
      <c r="E743" s="53"/>
      <c r="F743" s="54"/>
      <c r="G743" s="51"/>
      <c r="H743" s="51"/>
      <c r="I743" s="55"/>
      <c r="J743" s="56"/>
      <c r="K743" s="46"/>
      <c r="L743" s="46"/>
      <c r="M743" s="47"/>
      <c r="N743" s="46"/>
      <c r="O743" s="57"/>
      <c r="P743" s="46"/>
      <c r="Q743" s="46"/>
      <c r="R743" s="57"/>
      <c r="S743" s="7"/>
      <c r="T743" s="54"/>
      <c r="U743" s="58"/>
      <c r="V743" s="47"/>
      <c r="W743" s="18"/>
      <c r="X743" s="46"/>
      <c r="Y743" s="9"/>
      <c r="Z743" s="46"/>
      <c r="AA743" s="7"/>
      <c r="AB743" s="46"/>
      <c r="AC743" s="47"/>
      <c r="AD743" s="7"/>
      <c r="AE743" s="47"/>
      <c r="AF743" s="18"/>
      <c r="AG743" s="26"/>
      <c r="AH743" s="34"/>
      <c r="AI743" s="34"/>
      <c r="AJ743" s="18"/>
      <c r="AK743" s="48"/>
      <c r="AL743" s="26"/>
      <c r="AM743" s="26"/>
    </row>
    <row r="744">
      <c r="A744" s="51"/>
      <c r="B744" s="51"/>
      <c r="C744" s="52"/>
      <c r="D744" s="51"/>
      <c r="E744" s="53"/>
      <c r="F744" s="54"/>
      <c r="G744" s="51"/>
      <c r="H744" s="51"/>
      <c r="I744" s="55"/>
      <c r="J744" s="56"/>
      <c r="K744" s="46"/>
      <c r="L744" s="46"/>
      <c r="M744" s="47"/>
      <c r="N744" s="46"/>
      <c r="O744" s="57"/>
      <c r="P744" s="46"/>
      <c r="Q744" s="46"/>
      <c r="R744" s="57"/>
      <c r="S744" s="7"/>
      <c r="T744" s="54"/>
      <c r="U744" s="58"/>
      <c r="V744" s="47"/>
      <c r="W744" s="18"/>
      <c r="X744" s="46"/>
      <c r="Y744" s="9"/>
      <c r="Z744" s="46"/>
      <c r="AA744" s="7"/>
      <c r="AB744" s="46"/>
      <c r="AC744" s="47"/>
      <c r="AD744" s="7"/>
      <c r="AE744" s="47"/>
      <c r="AF744" s="18"/>
      <c r="AG744" s="26"/>
      <c r="AH744" s="34"/>
      <c r="AI744" s="34"/>
      <c r="AJ744" s="18"/>
      <c r="AK744" s="48"/>
      <c r="AL744" s="26"/>
      <c r="AM744" s="26"/>
    </row>
    <row r="745">
      <c r="A745" s="51"/>
      <c r="B745" s="51"/>
      <c r="C745" s="52"/>
      <c r="D745" s="51"/>
      <c r="E745" s="53"/>
      <c r="F745" s="54"/>
      <c r="G745" s="51"/>
      <c r="H745" s="51"/>
      <c r="I745" s="55"/>
      <c r="J745" s="56"/>
      <c r="K745" s="46"/>
      <c r="L745" s="46"/>
      <c r="M745" s="47"/>
      <c r="N745" s="46"/>
      <c r="O745" s="57"/>
      <c r="P745" s="46"/>
      <c r="Q745" s="46"/>
      <c r="R745" s="57"/>
      <c r="S745" s="7"/>
      <c r="T745" s="54"/>
      <c r="U745" s="58"/>
      <c r="V745" s="47"/>
      <c r="W745" s="18"/>
      <c r="X745" s="46"/>
      <c r="Y745" s="9"/>
      <c r="Z745" s="46"/>
      <c r="AA745" s="7"/>
      <c r="AB745" s="46"/>
      <c r="AC745" s="47"/>
      <c r="AD745" s="7"/>
      <c r="AE745" s="47"/>
      <c r="AF745" s="18"/>
      <c r="AG745" s="26"/>
      <c r="AH745" s="34"/>
      <c r="AI745" s="34"/>
      <c r="AJ745" s="18"/>
      <c r="AK745" s="48"/>
      <c r="AL745" s="26"/>
      <c r="AM745" s="26"/>
    </row>
    <row r="746">
      <c r="A746" s="51"/>
      <c r="B746" s="51"/>
      <c r="C746" s="52"/>
      <c r="D746" s="51"/>
      <c r="E746" s="53"/>
      <c r="F746" s="54"/>
      <c r="G746" s="51"/>
      <c r="H746" s="51"/>
      <c r="I746" s="55"/>
      <c r="J746" s="56"/>
      <c r="K746" s="46"/>
      <c r="L746" s="46"/>
      <c r="M746" s="47"/>
      <c r="N746" s="46"/>
      <c r="O746" s="57"/>
      <c r="P746" s="46"/>
      <c r="Q746" s="46"/>
      <c r="R746" s="57"/>
      <c r="S746" s="7"/>
      <c r="T746" s="54"/>
      <c r="U746" s="58"/>
      <c r="V746" s="47"/>
      <c r="W746" s="18"/>
      <c r="X746" s="46"/>
      <c r="Y746" s="9"/>
      <c r="Z746" s="46"/>
      <c r="AA746" s="7"/>
      <c r="AB746" s="46"/>
      <c r="AC746" s="47"/>
      <c r="AD746" s="7"/>
      <c r="AE746" s="47"/>
      <c r="AF746" s="18"/>
      <c r="AG746" s="26"/>
      <c r="AH746" s="34"/>
      <c r="AI746" s="34"/>
      <c r="AJ746" s="18"/>
      <c r="AK746" s="48"/>
      <c r="AL746" s="26"/>
      <c r="AM746" s="26"/>
    </row>
    <row r="747">
      <c r="A747" s="51"/>
      <c r="B747" s="51"/>
      <c r="C747" s="52"/>
      <c r="D747" s="51"/>
      <c r="E747" s="53"/>
      <c r="F747" s="54"/>
      <c r="G747" s="51"/>
      <c r="H747" s="51"/>
      <c r="I747" s="55"/>
      <c r="J747" s="56"/>
      <c r="K747" s="46"/>
      <c r="L747" s="46"/>
      <c r="M747" s="47"/>
      <c r="N747" s="46"/>
      <c r="O747" s="57"/>
      <c r="P747" s="46"/>
      <c r="Q747" s="46"/>
      <c r="R747" s="57"/>
      <c r="S747" s="7"/>
      <c r="T747" s="54"/>
      <c r="U747" s="58"/>
      <c r="V747" s="47"/>
      <c r="W747" s="18"/>
      <c r="X747" s="46"/>
      <c r="Y747" s="9"/>
      <c r="Z747" s="46"/>
      <c r="AA747" s="7"/>
      <c r="AB747" s="46"/>
      <c r="AC747" s="47"/>
      <c r="AD747" s="7"/>
      <c r="AE747" s="47"/>
      <c r="AF747" s="18"/>
      <c r="AG747" s="26"/>
      <c r="AH747" s="34"/>
      <c r="AI747" s="34"/>
      <c r="AJ747" s="18"/>
      <c r="AK747" s="48"/>
      <c r="AL747" s="26"/>
      <c r="AM747" s="26"/>
    </row>
    <row r="748">
      <c r="A748" s="51"/>
      <c r="B748" s="51"/>
      <c r="C748" s="52"/>
      <c r="D748" s="51"/>
      <c r="E748" s="53"/>
      <c r="F748" s="54"/>
      <c r="G748" s="51"/>
      <c r="H748" s="51"/>
      <c r="I748" s="55"/>
      <c r="J748" s="56"/>
      <c r="K748" s="46"/>
      <c r="L748" s="46"/>
      <c r="M748" s="47"/>
      <c r="N748" s="46"/>
      <c r="O748" s="57"/>
      <c r="P748" s="46"/>
      <c r="Q748" s="46"/>
      <c r="R748" s="57"/>
      <c r="S748" s="7"/>
      <c r="T748" s="54"/>
      <c r="U748" s="58"/>
      <c r="V748" s="47"/>
      <c r="W748" s="18"/>
      <c r="X748" s="46"/>
      <c r="Y748" s="9"/>
      <c r="Z748" s="46"/>
      <c r="AA748" s="7"/>
      <c r="AB748" s="46"/>
      <c r="AC748" s="47"/>
      <c r="AD748" s="7"/>
      <c r="AE748" s="47"/>
      <c r="AF748" s="18"/>
      <c r="AG748" s="26"/>
      <c r="AH748" s="34"/>
      <c r="AI748" s="34"/>
      <c r="AJ748" s="18"/>
      <c r="AK748" s="48"/>
      <c r="AL748" s="26"/>
      <c r="AM748" s="26"/>
    </row>
    <row r="749">
      <c r="A749" s="51"/>
      <c r="B749" s="51"/>
      <c r="C749" s="52"/>
      <c r="D749" s="51"/>
      <c r="E749" s="53"/>
      <c r="F749" s="54"/>
      <c r="G749" s="51"/>
      <c r="H749" s="51"/>
      <c r="I749" s="55"/>
      <c r="J749" s="56"/>
      <c r="K749" s="46"/>
      <c r="L749" s="46"/>
      <c r="M749" s="47"/>
      <c r="N749" s="46"/>
      <c r="O749" s="57"/>
      <c r="P749" s="46"/>
      <c r="Q749" s="46"/>
      <c r="R749" s="57"/>
      <c r="S749" s="7"/>
      <c r="T749" s="54"/>
      <c r="U749" s="58"/>
      <c r="V749" s="47"/>
      <c r="W749" s="18"/>
      <c r="X749" s="46"/>
      <c r="Y749" s="9"/>
      <c r="Z749" s="46"/>
      <c r="AA749" s="7"/>
      <c r="AB749" s="46"/>
      <c r="AC749" s="47"/>
      <c r="AD749" s="7"/>
      <c r="AE749" s="47"/>
      <c r="AF749" s="18"/>
      <c r="AG749" s="26"/>
      <c r="AH749" s="34"/>
      <c r="AI749" s="34"/>
      <c r="AJ749" s="18"/>
      <c r="AK749" s="48"/>
      <c r="AL749" s="26"/>
      <c r="AM749" s="26"/>
    </row>
    <row r="750">
      <c r="A750" s="51"/>
      <c r="B750" s="51"/>
      <c r="C750" s="52"/>
      <c r="D750" s="51"/>
      <c r="E750" s="53"/>
      <c r="F750" s="54"/>
      <c r="G750" s="51"/>
      <c r="H750" s="51"/>
      <c r="I750" s="55"/>
      <c r="J750" s="56"/>
      <c r="K750" s="46"/>
      <c r="L750" s="46"/>
      <c r="M750" s="47"/>
      <c r="N750" s="46"/>
      <c r="O750" s="57"/>
      <c r="P750" s="46"/>
      <c r="Q750" s="46"/>
      <c r="R750" s="57"/>
      <c r="S750" s="7"/>
      <c r="T750" s="54"/>
      <c r="U750" s="58"/>
      <c r="V750" s="47"/>
      <c r="W750" s="18"/>
      <c r="X750" s="46"/>
      <c r="Y750" s="9"/>
      <c r="Z750" s="46"/>
      <c r="AA750" s="7"/>
      <c r="AB750" s="46"/>
      <c r="AC750" s="47"/>
      <c r="AD750" s="7"/>
      <c r="AE750" s="47"/>
      <c r="AF750" s="18"/>
      <c r="AG750" s="26"/>
      <c r="AH750" s="34"/>
      <c r="AI750" s="34"/>
      <c r="AJ750" s="18"/>
      <c r="AK750" s="48"/>
      <c r="AL750" s="26"/>
      <c r="AM750" s="26"/>
    </row>
    <row r="751">
      <c r="A751" s="51"/>
      <c r="B751" s="51"/>
      <c r="C751" s="52"/>
      <c r="D751" s="51"/>
      <c r="E751" s="53"/>
      <c r="F751" s="54"/>
      <c r="G751" s="51"/>
      <c r="H751" s="51"/>
      <c r="I751" s="55"/>
      <c r="J751" s="56"/>
      <c r="K751" s="46"/>
      <c r="L751" s="46"/>
      <c r="M751" s="47"/>
      <c r="N751" s="46"/>
      <c r="O751" s="57"/>
      <c r="P751" s="46"/>
      <c r="Q751" s="46"/>
      <c r="R751" s="57"/>
      <c r="S751" s="7"/>
      <c r="T751" s="54"/>
      <c r="U751" s="58"/>
      <c r="V751" s="47"/>
      <c r="W751" s="18"/>
      <c r="X751" s="46"/>
      <c r="Y751" s="9"/>
      <c r="Z751" s="46"/>
      <c r="AA751" s="7"/>
      <c r="AB751" s="46"/>
      <c r="AC751" s="47"/>
      <c r="AD751" s="7"/>
      <c r="AE751" s="47"/>
      <c r="AF751" s="18"/>
      <c r="AG751" s="26"/>
      <c r="AH751" s="34"/>
      <c r="AI751" s="34"/>
      <c r="AJ751" s="18"/>
      <c r="AK751" s="48"/>
      <c r="AL751" s="26"/>
      <c r="AM751" s="26"/>
    </row>
    <row r="752">
      <c r="A752" s="51"/>
      <c r="B752" s="51"/>
      <c r="C752" s="52"/>
      <c r="D752" s="51"/>
      <c r="E752" s="53"/>
      <c r="F752" s="54"/>
      <c r="G752" s="51"/>
      <c r="H752" s="51"/>
      <c r="I752" s="55"/>
      <c r="J752" s="56"/>
      <c r="K752" s="46"/>
      <c r="L752" s="46"/>
      <c r="M752" s="47"/>
      <c r="N752" s="46"/>
      <c r="O752" s="57"/>
      <c r="P752" s="46"/>
      <c r="Q752" s="46"/>
      <c r="R752" s="57"/>
      <c r="S752" s="7"/>
      <c r="T752" s="54"/>
      <c r="U752" s="58"/>
      <c r="V752" s="47"/>
      <c r="W752" s="18"/>
      <c r="X752" s="46"/>
      <c r="Y752" s="9"/>
      <c r="Z752" s="46"/>
      <c r="AA752" s="7"/>
      <c r="AB752" s="46"/>
      <c r="AC752" s="47"/>
      <c r="AD752" s="7"/>
      <c r="AE752" s="47"/>
      <c r="AF752" s="18"/>
      <c r="AG752" s="26"/>
      <c r="AH752" s="34"/>
      <c r="AI752" s="34"/>
      <c r="AJ752" s="18"/>
      <c r="AK752" s="48"/>
      <c r="AL752" s="26"/>
      <c r="AM752" s="26"/>
    </row>
    <row r="753">
      <c r="A753" s="51"/>
      <c r="B753" s="51"/>
      <c r="C753" s="52"/>
      <c r="D753" s="51"/>
      <c r="E753" s="53"/>
      <c r="F753" s="54"/>
      <c r="G753" s="51"/>
      <c r="H753" s="51"/>
      <c r="I753" s="55"/>
      <c r="J753" s="56"/>
      <c r="K753" s="46"/>
      <c r="L753" s="46"/>
      <c r="M753" s="47"/>
      <c r="N753" s="46"/>
      <c r="O753" s="57"/>
      <c r="P753" s="46"/>
      <c r="Q753" s="46"/>
      <c r="R753" s="57"/>
      <c r="S753" s="7"/>
      <c r="T753" s="54"/>
      <c r="U753" s="58"/>
      <c r="V753" s="47"/>
      <c r="W753" s="18"/>
      <c r="X753" s="46"/>
      <c r="Y753" s="9"/>
      <c r="Z753" s="46"/>
      <c r="AA753" s="7"/>
      <c r="AB753" s="46"/>
      <c r="AC753" s="47"/>
      <c r="AD753" s="7"/>
      <c r="AE753" s="47"/>
      <c r="AF753" s="18"/>
      <c r="AG753" s="26"/>
      <c r="AH753" s="34"/>
      <c r="AI753" s="34"/>
      <c r="AJ753" s="18"/>
      <c r="AK753" s="48"/>
      <c r="AL753" s="26"/>
      <c r="AM753" s="26"/>
    </row>
    <row r="754">
      <c r="A754" s="51"/>
      <c r="B754" s="51"/>
      <c r="C754" s="52"/>
      <c r="D754" s="51"/>
      <c r="E754" s="53"/>
      <c r="F754" s="54"/>
      <c r="G754" s="51"/>
      <c r="H754" s="51"/>
      <c r="I754" s="55"/>
      <c r="J754" s="56"/>
      <c r="K754" s="46"/>
      <c r="L754" s="46"/>
      <c r="M754" s="47"/>
      <c r="N754" s="46"/>
      <c r="O754" s="57"/>
      <c r="P754" s="46"/>
      <c r="Q754" s="46"/>
      <c r="R754" s="57"/>
      <c r="S754" s="7"/>
      <c r="T754" s="54"/>
      <c r="U754" s="58"/>
      <c r="V754" s="47"/>
      <c r="W754" s="18"/>
      <c r="X754" s="46"/>
      <c r="Y754" s="9"/>
      <c r="Z754" s="46"/>
      <c r="AA754" s="7"/>
      <c r="AB754" s="46"/>
      <c r="AC754" s="47"/>
      <c r="AD754" s="7"/>
      <c r="AE754" s="47"/>
      <c r="AF754" s="18"/>
      <c r="AG754" s="26"/>
      <c r="AH754" s="34"/>
      <c r="AI754" s="34"/>
      <c r="AJ754" s="18"/>
      <c r="AK754" s="48"/>
      <c r="AL754" s="26"/>
      <c r="AM754" s="26"/>
    </row>
    <row r="755">
      <c r="A755" s="51"/>
      <c r="B755" s="51"/>
      <c r="C755" s="52"/>
      <c r="D755" s="51"/>
      <c r="E755" s="53"/>
      <c r="F755" s="54"/>
      <c r="G755" s="51"/>
      <c r="H755" s="51"/>
      <c r="I755" s="55"/>
      <c r="J755" s="56"/>
      <c r="K755" s="46"/>
      <c r="L755" s="46"/>
      <c r="M755" s="47"/>
      <c r="N755" s="46"/>
      <c r="O755" s="57"/>
      <c r="P755" s="46"/>
      <c r="Q755" s="46"/>
      <c r="R755" s="57"/>
      <c r="S755" s="7"/>
      <c r="T755" s="54"/>
      <c r="U755" s="58"/>
      <c r="V755" s="47"/>
      <c r="W755" s="18"/>
      <c r="X755" s="46"/>
      <c r="Y755" s="9"/>
      <c r="Z755" s="46"/>
      <c r="AA755" s="7"/>
      <c r="AB755" s="46"/>
      <c r="AC755" s="47"/>
      <c r="AD755" s="7"/>
      <c r="AE755" s="47"/>
      <c r="AF755" s="18"/>
      <c r="AG755" s="26"/>
      <c r="AH755" s="34"/>
      <c r="AI755" s="34"/>
      <c r="AJ755" s="18"/>
      <c r="AK755" s="48"/>
      <c r="AL755" s="26"/>
      <c r="AM755" s="26"/>
    </row>
    <row r="756">
      <c r="A756" s="51"/>
      <c r="B756" s="51"/>
      <c r="C756" s="52"/>
      <c r="D756" s="51"/>
      <c r="E756" s="53"/>
      <c r="F756" s="54"/>
      <c r="G756" s="51"/>
      <c r="H756" s="51"/>
      <c r="I756" s="55"/>
      <c r="J756" s="56"/>
      <c r="K756" s="46"/>
      <c r="L756" s="46"/>
      <c r="M756" s="47"/>
      <c r="N756" s="46"/>
      <c r="O756" s="57"/>
      <c r="P756" s="46"/>
      <c r="Q756" s="46"/>
      <c r="R756" s="57"/>
      <c r="S756" s="7"/>
      <c r="T756" s="54"/>
      <c r="U756" s="58"/>
      <c r="V756" s="47"/>
      <c r="W756" s="18"/>
      <c r="X756" s="46"/>
      <c r="Y756" s="9"/>
      <c r="Z756" s="46"/>
      <c r="AA756" s="7"/>
      <c r="AB756" s="46"/>
      <c r="AC756" s="47"/>
      <c r="AD756" s="7"/>
      <c r="AE756" s="47"/>
      <c r="AF756" s="18"/>
      <c r="AG756" s="26"/>
      <c r="AH756" s="34"/>
      <c r="AI756" s="34"/>
      <c r="AJ756" s="18"/>
      <c r="AK756" s="48"/>
      <c r="AL756" s="26"/>
      <c r="AM756" s="26"/>
    </row>
    <row r="757">
      <c r="A757" s="51"/>
      <c r="B757" s="51"/>
      <c r="C757" s="52"/>
      <c r="D757" s="51"/>
      <c r="E757" s="53"/>
      <c r="F757" s="54"/>
      <c r="G757" s="51"/>
      <c r="H757" s="51"/>
      <c r="I757" s="55"/>
      <c r="J757" s="56"/>
      <c r="K757" s="46"/>
      <c r="L757" s="46"/>
      <c r="M757" s="47"/>
      <c r="N757" s="46"/>
      <c r="O757" s="57"/>
      <c r="P757" s="46"/>
      <c r="Q757" s="46"/>
      <c r="R757" s="57"/>
      <c r="S757" s="7"/>
      <c r="T757" s="54"/>
      <c r="U757" s="58"/>
      <c r="V757" s="47"/>
      <c r="W757" s="18"/>
      <c r="X757" s="46"/>
      <c r="Y757" s="9"/>
      <c r="Z757" s="46"/>
      <c r="AA757" s="7"/>
      <c r="AB757" s="46"/>
      <c r="AC757" s="47"/>
      <c r="AD757" s="7"/>
      <c r="AE757" s="47"/>
      <c r="AF757" s="18"/>
      <c r="AG757" s="26"/>
      <c r="AH757" s="34"/>
      <c r="AI757" s="34"/>
      <c r="AJ757" s="18"/>
      <c r="AK757" s="48"/>
      <c r="AL757" s="26"/>
      <c r="AM757" s="26"/>
    </row>
    <row r="758">
      <c r="A758" s="51"/>
      <c r="B758" s="51"/>
      <c r="C758" s="52"/>
      <c r="D758" s="51"/>
      <c r="E758" s="53"/>
      <c r="F758" s="54"/>
      <c r="G758" s="51"/>
      <c r="H758" s="51"/>
      <c r="I758" s="55"/>
      <c r="J758" s="56"/>
      <c r="K758" s="46"/>
      <c r="L758" s="46"/>
      <c r="M758" s="47"/>
      <c r="N758" s="46"/>
      <c r="O758" s="57"/>
      <c r="P758" s="46"/>
      <c r="Q758" s="46"/>
      <c r="R758" s="57"/>
      <c r="S758" s="7"/>
      <c r="T758" s="54"/>
      <c r="U758" s="58"/>
      <c r="V758" s="47"/>
      <c r="W758" s="18"/>
      <c r="X758" s="46"/>
      <c r="Y758" s="9"/>
      <c r="Z758" s="46"/>
      <c r="AA758" s="7"/>
      <c r="AB758" s="46"/>
      <c r="AC758" s="47"/>
      <c r="AD758" s="7"/>
      <c r="AE758" s="47"/>
      <c r="AF758" s="18"/>
      <c r="AG758" s="26"/>
      <c r="AH758" s="34"/>
      <c r="AI758" s="34"/>
      <c r="AJ758" s="18"/>
      <c r="AK758" s="48"/>
      <c r="AL758" s="26"/>
      <c r="AM758" s="26"/>
    </row>
    <row r="759">
      <c r="A759" s="51"/>
      <c r="B759" s="51"/>
      <c r="C759" s="52"/>
      <c r="D759" s="51"/>
      <c r="E759" s="53"/>
      <c r="F759" s="54"/>
      <c r="G759" s="51"/>
      <c r="H759" s="51"/>
      <c r="I759" s="55"/>
      <c r="J759" s="56"/>
      <c r="K759" s="46"/>
      <c r="L759" s="46"/>
      <c r="M759" s="47"/>
      <c r="N759" s="46"/>
      <c r="O759" s="57"/>
      <c r="P759" s="46"/>
      <c r="Q759" s="46"/>
      <c r="R759" s="57"/>
      <c r="S759" s="7"/>
      <c r="T759" s="54"/>
      <c r="U759" s="58"/>
      <c r="V759" s="47"/>
      <c r="W759" s="18"/>
      <c r="X759" s="46"/>
      <c r="Y759" s="9"/>
      <c r="Z759" s="46"/>
      <c r="AA759" s="7"/>
      <c r="AB759" s="46"/>
      <c r="AC759" s="47"/>
      <c r="AD759" s="7"/>
      <c r="AE759" s="47"/>
      <c r="AF759" s="18"/>
      <c r="AG759" s="26"/>
      <c r="AH759" s="34"/>
      <c r="AI759" s="34"/>
      <c r="AJ759" s="18"/>
      <c r="AK759" s="48"/>
      <c r="AL759" s="26"/>
      <c r="AM759" s="26"/>
    </row>
    <row r="760">
      <c r="A760" s="51"/>
      <c r="B760" s="51"/>
      <c r="C760" s="52"/>
      <c r="D760" s="51"/>
      <c r="E760" s="53"/>
      <c r="F760" s="54"/>
      <c r="G760" s="51"/>
      <c r="H760" s="51"/>
      <c r="I760" s="55"/>
      <c r="J760" s="56"/>
      <c r="K760" s="46"/>
      <c r="L760" s="46"/>
      <c r="M760" s="47"/>
      <c r="N760" s="46"/>
      <c r="O760" s="57"/>
      <c r="P760" s="46"/>
      <c r="Q760" s="46"/>
      <c r="R760" s="57"/>
      <c r="S760" s="7"/>
      <c r="T760" s="54"/>
      <c r="U760" s="58"/>
      <c r="V760" s="47"/>
      <c r="W760" s="18"/>
      <c r="X760" s="46"/>
      <c r="Y760" s="9"/>
      <c r="Z760" s="46"/>
      <c r="AA760" s="7"/>
      <c r="AB760" s="46"/>
      <c r="AC760" s="47"/>
      <c r="AD760" s="7"/>
      <c r="AE760" s="47"/>
      <c r="AF760" s="18"/>
      <c r="AG760" s="26"/>
      <c r="AH760" s="34"/>
      <c r="AI760" s="34"/>
      <c r="AJ760" s="18"/>
      <c r="AK760" s="48"/>
      <c r="AL760" s="26"/>
      <c r="AM760" s="26"/>
    </row>
    <row r="761">
      <c r="A761" s="51"/>
      <c r="B761" s="51"/>
      <c r="C761" s="52"/>
      <c r="D761" s="51"/>
      <c r="E761" s="53"/>
      <c r="F761" s="54"/>
      <c r="G761" s="51"/>
      <c r="H761" s="51"/>
      <c r="I761" s="55"/>
      <c r="J761" s="56"/>
      <c r="K761" s="46"/>
      <c r="L761" s="46"/>
      <c r="M761" s="47"/>
      <c r="N761" s="46"/>
      <c r="O761" s="57"/>
      <c r="P761" s="46"/>
      <c r="Q761" s="46"/>
      <c r="R761" s="57"/>
      <c r="S761" s="7"/>
      <c r="T761" s="54"/>
      <c r="U761" s="58"/>
      <c r="V761" s="47"/>
      <c r="W761" s="18"/>
      <c r="X761" s="46"/>
      <c r="Y761" s="9"/>
      <c r="Z761" s="46"/>
      <c r="AA761" s="7"/>
      <c r="AB761" s="46"/>
      <c r="AC761" s="47"/>
      <c r="AD761" s="7"/>
      <c r="AE761" s="47"/>
      <c r="AF761" s="18"/>
      <c r="AG761" s="26"/>
      <c r="AH761" s="34"/>
      <c r="AI761" s="34"/>
      <c r="AJ761" s="18"/>
      <c r="AK761" s="48"/>
      <c r="AL761" s="26"/>
      <c r="AM761" s="26"/>
    </row>
    <row r="762">
      <c r="A762" s="51"/>
      <c r="B762" s="51"/>
      <c r="C762" s="52"/>
      <c r="D762" s="51"/>
      <c r="E762" s="53"/>
      <c r="F762" s="54"/>
      <c r="G762" s="51"/>
      <c r="H762" s="51"/>
      <c r="I762" s="55"/>
      <c r="J762" s="56"/>
      <c r="K762" s="46"/>
      <c r="L762" s="46"/>
      <c r="M762" s="47"/>
      <c r="N762" s="46"/>
      <c r="O762" s="57"/>
      <c r="P762" s="46"/>
      <c r="Q762" s="46"/>
      <c r="R762" s="57"/>
      <c r="S762" s="7"/>
      <c r="T762" s="54"/>
      <c r="U762" s="58"/>
      <c r="V762" s="47"/>
      <c r="W762" s="18"/>
      <c r="X762" s="46"/>
      <c r="Y762" s="9"/>
      <c r="Z762" s="46"/>
      <c r="AA762" s="7"/>
      <c r="AB762" s="46"/>
      <c r="AC762" s="47"/>
      <c r="AD762" s="7"/>
      <c r="AE762" s="47"/>
      <c r="AF762" s="18"/>
      <c r="AG762" s="26"/>
      <c r="AH762" s="34"/>
      <c r="AI762" s="34"/>
      <c r="AJ762" s="18"/>
      <c r="AK762" s="48"/>
      <c r="AL762" s="26"/>
      <c r="AM762" s="26"/>
    </row>
    <row r="763">
      <c r="A763" s="51"/>
      <c r="B763" s="51"/>
      <c r="C763" s="52"/>
      <c r="D763" s="51"/>
      <c r="E763" s="53"/>
      <c r="F763" s="54"/>
      <c r="G763" s="51"/>
      <c r="H763" s="51"/>
      <c r="I763" s="55"/>
      <c r="J763" s="56"/>
      <c r="K763" s="46"/>
      <c r="L763" s="46"/>
      <c r="M763" s="47"/>
      <c r="N763" s="46"/>
      <c r="O763" s="57"/>
      <c r="P763" s="46"/>
      <c r="Q763" s="46"/>
      <c r="R763" s="57"/>
      <c r="S763" s="7"/>
      <c r="T763" s="54"/>
      <c r="U763" s="58"/>
      <c r="V763" s="47"/>
      <c r="W763" s="18"/>
      <c r="X763" s="46"/>
      <c r="Y763" s="9"/>
      <c r="Z763" s="46"/>
      <c r="AA763" s="7"/>
      <c r="AB763" s="46"/>
      <c r="AC763" s="47"/>
      <c r="AD763" s="7"/>
      <c r="AE763" s="47"/>
      <c r="AF763" s="18"/>
      <c r="AG763" s="26"/>
      <c r="AH763" s="34"/>
      <c r="AI763" s="34"/>
      <c r="AJ763" s="18"/>
      <c r="AK763" s="48"/>
      <c r="AL763" s="26"/>
      <c r="AM763" s="26"/>
    </row>
    <row r="764">
      <c r="A764" s="51"/>
      <c r="B764" s="51"/>
      <c r="C764" s="52"/>
      <c r="D764" s="51"/>
      <c r="E764" s="53"/>
      <c r="F764" s="54"/>
      <c r="G764" s="51"/>
      <c r="H764" s="51"/>
      <c r="I764" s="55"/>
      <c r="J764" s="56"/>
      <c r="K764" s="46"/>
      <c r="L764" s="46"/>
      <c r="M764" s="47"/>
      <c r="N764" s="46"/>
      <c r="O764" s="57"/>
      <c r="P764" s="46"/>
      <c r="Q764" s="46"/>
      <c r="R764" s="57"/>
      <c r="S764" s="7"/>
      <c r="T764" s="54"/>
      <c r="U764" s="58"/>
      <c r="V764" s="47"/>
      <c r="W764" s="18"/>
      <c r="X764" s="46"/>
      <c r="Y764" s="9"/>
      <c r="Z764" s="46"/>
      <c r="AA764" s="7"/>
      <c r="AB764" s="46"/>
      <c r="AC764" s="47"/>
      <c r="AD764" s="7"/>
      <c r="AE764" s="47"/>
      <c r="AF764" s="18"/>
      <c r="AG764" s="26"/>
      <c r="AH764" s="34"/>
      <c r="AI764" s="34"/>
      <c r="AJ764" s="18"/>
      <c r="AK764" s="48"/>
      <c r="AL764" s="26"/>
      <c r="AM764" s="26"/>
    </row>
    <row r="765">
      <c r="A765" s="51"/>
      <c r="B765" s="51"/>
      <c r="C765" s="52"/>
      <c r="D765" s="51"/>
      <c r="E765" s="53"/>
      <c r="F765" s="54"/>
      <c r="G765" s="51"/>
      <c r="H765" s="51"/>
      <c r="I765" s="55"/>
      <c r="J765" s="56"/>
      <c r="K765" s="46"/>
      <c r="L765" s="46"/>
      <c r="M765" s="47"/>
      <c r="N765" s="46"/>
      <c r="O765" s="57"/>
      <c r="P765" s="46"/>
      <c r="Q765" s="46"/>
      <c r="R765" s="57"/>
      <c r="S765" s="7"/>
      <c r="T765" s="54"/>
      <c r="U765" s="58"/>
      <c r="V765" s="47"/>
      <c r="W765" s="18"/>
      <c r="X765" s="46"/>
      <c r="Y765" s="9"/>
      <c r="Z765" s="46"/>
      <c r="AA765" s="7"/>
      <c r="AB765" s="46"/>
      <c r="AC765" s="47"/>
      <c r="AD765" s="7"/>
      <c r="AE765" s="47"/>
      <c r="AF765" s="18"/>
      <c r="AG765" s="26"/>
      <c r="AH765" s="34"/>
      <c r="AI765" s="34"/>
      <c r="AJ765" s="18"/>
      <c r="AK765" s="48"/>
      <c r="AL765" s="26"/>
      <c r="AM765" s="26"/>
    </row>
    <row r="766">
      <c r="A766" s="51"/>
      <c r="B766" s="51"/>
      <c r="C766" s="52"/>
      <c r="D766" s="51"/>
      <c r="E766" s="53"/>
      <c r="F766" s="54"/>
      <c r="G766" s="51"/>
      <c r="H766" s="51"/>
      <c r="I766" s="55"/>
      <c r="J766" s="56"/>
      <c r="K766" s="46"/>
      <c r="L766" s="46"/>
      <c r="M766" s="47"/>
      <c r="N766" s="46"/>
      <c r="O766" s="57"/>
      <c r="P766" s="46"/>
      <c r="Q766" s="46"/>
      <c r="R766" s="57"/>
      <c r="S766" s="7"/>
      <c r="T766" s="54"/>
      <c r="U766" s="58"/>
      <c r="V766" s="47"/>
      <c r="W766" s="18"/>
      <c r="X766" s="46"/>
      <c r="Y766" s="9"/>
      <c r="Z766" s="46"/>
      <c r="AA766" s="7"/>
      <c r="AB766" s="46"/>
      <c r="AC766" s="47"/>
      <c r="AD766" s="7"/>
      <c r="AE766" s="47"/>
      <c r="AF766" s="18"/>
      <c r="AG766" s="26"/>
      <c r="AH766" s="34"/>
      <c r="AI766" s="34"/>
      <c r="AJ766" s="18"/>
      <c r="AK766" s="48"/>
      <c r="AL766" s="26"/>
      <c r="AM766" s="26"/>
    </row>
    <row r="767">
      <c r="A767" s="51"/>
      <c r="B767" s="51"/>
      <c r="C767" s="52"/>
      <c r="D767" s="51"/>
      <c r="E767" s="53"/>
      <c r="F767" s="54"/>
      <c r="G767" s="51"/>
      <c r="H767" s="51"/>
      <c r="I767" s="55"/>
      <c r="J767" s="56"/>
      <c r="K767" s="46"/>
      <c r="L767" s="46"/>
      <c r="M767" s="47"/>
      <c r="N767" s="46"/>
      <c r="O767" s="57"/>
      <c r="P767" s="46"/>
      <c r="Q767" s="46"/>
      <c r="R767" s="57"/>
      <c r="S767" s="7"/>
      <c r="T767" s="54"/>
      <c r="U767" s="58"/>
      <c r="V767" s="47"/>
      <c r="W767" s="18"/>
      <c r="X767" s="46"/>
      <c r="Y767" s="9"/>
      <c r="Z767" s="46"/>
      <c r="AA767" s="7"/>
      <c r="AB767" s="46"/>
      <c r="AC767" s="47"/>
      <c r="AD767" s="7"/>
      <c r="AE767" s="47"/>
      <c r="AF767" s="18"/>
      <c r="AG767" s="26"/>
      <c r="AH767" s="34"/>
      <c r="AI767" s="34"/>
      <c r="AJ767" s="18"/>
      <c r="AK767" s="48"/>
      <c r="AL767" s="26"/>
      <c r="AM767" s="26"/>
    </row>
    <row r="768">
      <c r="A768" s="51"/>
      <c r="B768" s="51"/>
      <c r="C768" s="52"/>
      <c r="D768" s="51"/>
      <c r="E768" s="53"/>
      <c r="F768" s="54"/>
      <c r="G768" s="51"/>
      <c r="H768" s="51"/>
      <c r="I768" s="55"/>
      <c r="J768" s="56"/>
      <c r="K768" s="46"/>
      <c r="L768" s="46"/>
      <c r="M768" s="47"/>
      <c r="N768" s="46"/>
      <c r="O768" s="57"/>
      <c r="P768" s="46"/>
      <c r="Q768" s="46"/>
      <c r="R768" s="57"/>
      <c r="S768" s="7"/>
      <c r="T768" s="54"/>
      <c r="U768" s="58"/>
      <c r="V768" s="47"/>
      <c r="W768" s="18"/>
      <c r="X768" s="46"/>
      <c r="Y768" s="9"/>
      <c r="Z768" s="46"/>
      <c r="AA768" s="7"/>
      <c r="AB768" s="46"/>
      <c r="AC768" s="47"/>
      <c r="AD768" s="7"/>
      <c r="AE768" s="47"/>
      <c r="AF768" s="18"/>
      <c r="AG768" s="26"/>
      <c r="AH768" s="34"/>
      <c r="AI768" s="34"/>
      <c r="AJ768" s="18"/>
      <c r="AK768" s="48"/>
      <c r="AL768" s="26"/>
      <c r="AM768" s="26"/>
    </row>
    <row r="769">
      <c r="A769" s="51"/>
      <c r="B769" s="51"/>
      <c r="C769" s="52"/>
      <c r="D769" s="51"/>
      <c r="E769" s="53"/>
      <c r="F769" s="54"/>
      <c r="G769" s="51"/>
      <c r="H769" s="51"/>
      <c r="I769" s="55"/>
      <c r="J769" s="56"/>
      <c r="K769" s="46"/>
      <c r="L769" s="46"/>
      <c r="M769" s="47"/>
      <c r="N769" s="46"/>
      <c r="O769" s="57"/>
      <c r="P769" s="46"/>
      <c r="Q769" s="46"/>
      <c r="R769" s="57"/>
      <c r="S769" s="7"/>
      <c r="T769" s="54"/>
      <c r="U769" s="58"/>
      <c r="V769" s="47"/>
      <c r="W769" s="18"/>
      <c r="X769" s="46"/>
      <c r="Y769" s="9"/>
      <c r="Z769" s="46"/>
      <c r="AA769" s="7"/>
      <c r="AB769" s="46"/>
      <c r="AC769" s="47"/>
      <c r="AD769" s="7"/>
      <c r="AE769" s="47"/>
      <c r="AF769" s="18"/>
      <c r="AG769" s="26"/>
      <c r="AH769" s="34"/>
      <c r="AI769" s="34"/>
      <c r="AJ769" s="18"/>
      <c r="AK769" s="48"/>
      <c r="AL769" s="26"/>
      <c r="AM769" s="26"/>
    </row>
    <row r="770">
      <c r="A770" s="51"/>
      <c r="B770" s="51"/>
      <c r="C770" s="52"/>
      <c r="D770" s="51"/>
      <c r="E770" s="53"/>
      <c r="F770" s="54"/>
      <c r="G770" s="51"/>
      <c r="H770" s="51"/>
      <c r="I770" s="55"/>
      <c r="J770" s="56"/>
      <c r="K770" s="46"/>
      <c r="L770" s="46"/>
      <c r="M770" s="47"/>
      <c r="N770" s="46"/>
      <c r="O770" s="57"/>
      <c r="P770" s="46"/>
      <c r="Q770" s="46"/>
      <c r="R770" s="57"/>
      <c r="S770" s="7"/>
      <c r="T770" s="54"/>
      <c r="U770" s="58"/>
      <c r="V770" s="47"/>
      <c r="W770" s="18"/>
      <c r="X770" s="46"/>
      <c r="Y770" s="9"/>
      <c r="Z770" s="46"/>
      <c r="AA770" s="7"/>
      <c r="AB770" s="46"/>
      <c r="AC770" s="47"/>
      <c r="AD770" s="7"/>
      <c r="AE770" s="47"/>
      <c r="AF770" s="18"/>
      <c r="AG770" s="26"/>
      <c r="AH770" s="34"/>
      <c r="AI770" s="34"/>
      <c r="AJ770" s="18"/>
      <c r="AK770" s="48"/>
      <c r="AL770" s="26"/>
      <c r="AM770" s="26"/>
    </row>
    <row r="771">
      <c r="A771" s="51"/>
      <c r="B771" s="51"/>
      <c r="C771" s="52"/>
      <c r="D771" s="51"/>
      <c r="E771" s="53"/>
      <c r="F771" s="54"/>
      <c r="G771" s="51"/>
      <c r="H771" s="51"/>
      <c r="I771" s="55"/>
      <c r="J771" s="56"/>
      <c r="K771" s="46"/>
      <c r="L771" s="46"/>
      <c r="M771" s="47"/>
      <c r="N771" s="46"/>
      <c r="O771" s="57"/>
      <c r="P771" s="46"/>
      <c r="Q771" s="46"/>
      <c r="R771" s="57"/>
      <c r="S771" s="7"/>
      <c r="T771" s="54"/>
      <c r="U771" s="58"/>
      <c r="V771" s="47"/>
      <c r="W771" s="18"/>
      <c r="X771" s="46"/>
      <c r="Y771" s="9"/>
      <c r="Z771" s="46"/>
      <c r="AA771" s="7"/>
      <c r="AB771" s="46"/>
      <c r="AC771" s="47"/>
      <c r="AD771" s="7"/>
      <c r="AE771" s="47"/>
      <c r="AF771" s="18"/>
      <c r="AG771" s="26"/>
      <c r="AH771" s="34"/>
      <c r="AI771" s="34"/>
      <c r="AJ771" s="18"/>
      <c r="AK771" s="48"/>
      <c r="AL771" s="26"/>
      <c r="AM771" s="26"/>
    </row>
    <row r="772">
      <c r="A772" s="51"/>
      <c r="B772" s="51"/>
      <c r="C772" s="52"/>
      <c r="D772" s="51"/>
      <c r="E772" s="53"/>
      <c r="F772" s="54"/>
      <c r="G772" s="51"/>
      <c r="H772" s="51"/>
      <c r="I772" s="55"/>
      <c r="J772" s="56"/>
      <c r="K772" s="46"/>
      <c r="L772" s="46"/>
      <c r="M772" s="47"/>
      <c r="N772" s="46"/>
      <c r="O772" s="57"/>
      <c r="P772" s="46"/>
      <c r="Q772" s="46"/>
      <c r="R772" s="57"/>
      <c r="S772" s="7"/>
      <c r="T772" s="54"/>
      <c r="U772" s="58"/>
      <c r="V772" s="47"/>
      <c r="W772" s="18"/>
      <c r="X772" s="46"/>
      <c r="Y772" s="9"/>
      <c r="Z772" s="46"/>
      <c r="AA772" s="7"/>
      <c r="AB772" s="46"/>
      <c r="AC772" s="47"/>
      <c r="AD772" s="7"/>
      <c r="AE772" s="47"/>
      <c r="AF772" s="18"/>
      <c r="AG772" s="26"/>
      <c r="AH772" s="34"/>
      <c r="AI772" s="34"/>
      <c r="AJ772" s="18"/>
      <c r="AK772" s="48"/>
      <c r="AL772" s="26"/>
      <c r="AM772" s="26"/>
    </row>
    <row r="773">
      <c r="A773" s="51"/>
      <c r="B773" s="51"/>
      <c r="C773" s="52"/>
      <c r="D773" s="51"/>
      <c r="E773" s="53"/>
      <c r="F773" s="54"/>
      <c r="G773" s="51"/>
      <c r="H773" s="51"/>
      <c r="I773" s="55"/>
      <c r="J773" s="56"/>
      <c r="K773" s="46"/>
      <c r="L773" s="46"/>
      <c r="M773" s="47"/>
      <c r="N773" s="46"/>
      <c r="O773" s="57"/>
      <c r="P773" s="46"/>
      <c r="Q773" s="46"/>
      <c r="R773" s="57"/>
      <c r="S773" s="7"/>
      <c r="T773" s="54"/>
      <c r="U773" s="58"/>
      <c r="V773" s="47"/>
      <c r="W773" s="18"/>
      <c r="X773" s="46"/>
      <c r="Y773" s="9"/>
      <c r="Z773" s="46"/>
      <c r="AA773" s="7"/>
      <c r="AB773" s="46"/>
      <c r="AC773" s="47"/>
      <c r="AD773" s="7"/>
      <c r="AE773" s="47"/>
      <c r="AF773" s="18"/>
      <c r="AG773" s="26"/>
      <c r="AH773" s="34"/>
      <c r="AI773" s="34"/>
      <c r="AJ773" s="18"/>
      <c r="AK773" s="48"/>
      <c r="AL773" s="26"/>
      <c r="AM773" s="26"/>
    </row>
    <row r="774">
      <c r="A774" s="51"/>
      <c r="B774" s="51"/>
      <c r="C774" s="52"/>
      <c r="D774" s="51"/>
      <c r="E774" s="53"/>
      <c r="F774" s="54"/>
      <c r="G774" s="51"/>
      <c r="H774" s="51"/>
      <c r="I774" s="55"/>
      <c r="J774" s="56"/>
      <c r="K774" s="46"/>
      <c r="L774" s="46"/>
      <c r="M774" s="47"/>
      <c r="N774" s="46"/>
      <c r="O774" s="57"/>
      <c r="P774" s="46"/>
      <c r="Q774" s="46"/>
      <c r="R774" s="57"/>
      <c r="S774" s="7"/>
      <c r="T774" s="54"/>
      <c r="U774" s="58"/>
      <c r="V774" s="47"/>
      <c r="W774" s="18"/>
      <c r="X774" s="46"/>
      <c r="Y774" s="9"/>
      <c r="Z774" s="46"/>
      <c r="AA774" s="7"/>
      <c r="AB774" s="46"/>
      <c r="AC774" s="47"/>
      <c r="AD774" s="7"/>
      <c r="AE774" s="47"/>
      <c r="AF774" s="18"/>
      <c r="AG774" s="26"/>
      <c r="AH774" s="34"/>
      <c r="AI774" s="34"/>
      <c r="AJ774" s="18"/>
      <c r="AK774" s="48"/>
      <c r="AL774" s="26"/>
      <c r="AM774" s="26"/>
    </row>
    <row r="775">
      <c r="A775" s="51"/>
      <c r="B775" s="51"/>
      <c r="C775" s="52"/>
      <c r="D775" s="51"/>
      <c r="E775" s="53"/>
      <c r="F775" s="54"/>
      <c r="G775" s="51"/>
      <c r="H775" s="51"/>
      <c r="I775" s="55"/>
      <c r="J775" s="56"/>
      <c r="K775" s="46"/>
      <c r="L775" s="46"/>
      <c r="M775" s="47"/>
      <c r="N775" s="46"/>
      <c r="O775" s="57"/>
      <c r="P775" s="46"/>
      <c r="Q775" s="46"/>
      <c r="R775" s="57"/>
      <c r="S775" s="7"/>
      <c r="T775" s="54"/>
      <c r="U775" s="58"/>
      <c r="V775" s="47"/>
      <c r="W775" s="18"/>
      <c r="X775" s="46"/>
      <c r="Y775" s="9"/>
      <c r="Z775" s="46"/>
      <c r="AA775" s="7"/>
      <c r="AB775" s="46"/>
      <c r="AC775" s="47"/>
      <c r="AD775" s="7"/>
      <c r="AE775" s="47"/>
      <c r="AF775" s="18"/>
      <c r="AG775" s="26"/>
      <c r="AH775" s="34"/>
      <c r="AI775" s="34"/>
      <c r="AJ775" s="18"/>
      <c r="AK775" s="48"/>
      <c r="AL775" s="26"/>
      <c r="AM775" s="26"/>
    </row>
    <row r="776">
      <c r="A776" s="51"/>
      <c r="B776" s="51"/>
      <c r="C776" s="52"/>
      <c r="D776" s="51"/>
      <c r="E776" s="53"/>
      <c r="F776" s="54"/>
      <c r="G776" s="51"/>
      <c r="H776" s="51"/>
      <c r="I776" s="55"/>
      <c r="J776" s="56"/>
      <c r="K776" s="46"/>
      <c r="L776" s="46"/>
      <c r="M776" s="47"/>
      <c r="N776" s="46"/>
      <c r="O776" s="57"/>
      <c r="P776" s="46"/>
      <c r="Q776" s="46"/>
      <c r="R776" s="57"/>
      <c r="S776" s="7"/>
      <c r="T776" s="54"/>
      <c r="U776" s="58"/>
      <c r="V776" s="47"/>
      <c r="W776" s="18"/>
      <c r="X776" s="46"/>
      <c r="Y776" s="9"/>
      <c r="Z776" s="46"/>
      <c r="AA776" s="7"/>
      <c r="AB776" s="46"/>
      <c r="AC776" s="47"/>
      <c r="AD776" s="7"/>
      <c r="AE776" s="47"/>
      <c r="AF776" s="18"/>
      <c r="AG776" s="26"/>
      <c r="AH776" s="34"/>
      <c r="AI776" s="34"/>
      <c r="AJ776" s="18"/>
      <c r="AK776" s="48"/>
      <c r="AL776" s="26"/>
      <c r="AM776" s="26"/>
    </row>
    <row r="777">
      <c r="A777" s="51"/>
      <c r="B777" s="51"/>
      <c r="C777" s="52"/>
      <c r="D777" s="51"/>
      <c r="E777" s="53"/>
      <c r="F777" s="54"/>
      <c r="G777" s="51"/>
      <c r="H777" s="51"/>
      <c r="I777" s="55"/>
      <c r="J777" s="56"/>
      <c r="K777" s="46"/>
      <c r="L777" s="46"/>
      <c r="M777" s="47"/>
      <c r="N777" s="46"/>
      <c r="O777" s="57"/>
      <c r="P777" s="46"/>
      <c r="Q777" s="46"/>
      <c r="R777" s="57"/>
      <c r="S777" s="7"/>
      <c r="T777" s="54"/>
      <c r="U777" s="58"/>
      <c r="V777" s="47"/>
      <c r="W777" s="18"/>
      <c r="X777" s="46"/>
      <c r="Y777" s="9"/>
      <c r="Z777" s="46"/>
      <c r="AA777" s="7"/>
      <c r="AB777" s="46"/>
      <c r="AC777" s="47"/>
      <c r="AD777" s="7"/>
      <c r="AE777" s="47"/>
      <c r="AF777" s="18"/>
      <c r="AG777" s="26"/>
      <c r="AH777" s="34"/>
      <c r="AI777" s="34"/>
      <c r="AJ777" s="18"/>
      <c r="AK777" s="48"/>
      <c r="AL777" s="26"/>
      <c r="AM777" s="26"/>
    </row>
    <row r="778">
      <c r="A778" s="51"/>
      <c r="B778" s="51"/>
      <c r="C778" s="52"/>
      <c r="D778" s="51"/>
      <c r="E778" s="53"/>
      <c r="F778" s="54"/>
      <c r="G778" s="51"/>
      <c r="H778" s="51"/>
      <c r="I778" s="55"/>
      <c r="J778" s="56"/>
      <c r="K778" s="46"/>
      <c r="L778" s="46"/>
      <c r="M778" s="47"/>
      <c r="N778" s="46"/>
      <c r="O778" s="57"/>
      <c r="P778" s="46"/>
      <c r="Q778" s="46"/>
      <c r="R778" s="57"/>
      <c r="S778" s="7"/>
      <c r="T778" s="54"/>
      <c r="U778" s="58"/>
      <c r="V778" s="47"/>
      <c r="W778" s="18"/>
      <c r="X778" s="46"/>
      <c r="Y778" s="9"/>
      <c r="Z778" s="46"/>
      <c r="AA778" s="7"/>
      <c r="AB778" s="46"/>
      <c r="AC778" s="47"/>
      <c r="AD778" s="7"/>
      <c r="AE778" s="47"/>
      <c r="AF778" s="18"/>
      <c r="AG778" s="26"/>
      <c r="AH778" s="34"/>
      <c r="AI778" s="34"/>
      <c r="AJ778" s="18"/>
      <c r="AK778" s="48"/>
      <c r="AL778" s="26"/>
      <c r="AM778" s="26"/>
    </row>
    <row r="779">
      <c r="A779" s="51"/>
      <c r="B779" s="51"/>
      <c r="C779" s="52"/>
      <c r="D779" s="51"/>
      <c r="E779" s="53"/>
      <c r="F779" s="54"/>
      <c r="G779" s="51"/>
      <c r="H779" s="51"/>
      <c r="I779" s="55"/>
      <c r="J779" s="56"/>
      <c r="K779" s="46"/>
      <c r="L779" s="46"/>
      <c r="M779" s="47"/>
      <c r="N779" s="46"/>
      <c r="O779" s="57"/>
      <c r="P779" s="46"/>
      <c r="Q779" s="46"/>
      <c r="R779" s="57"/>
      <c r="S779" s="7"/>
      <c r="T779" s="54"/>
      <c r="U779" s="58"/>
      <c r="V779" s="47"/>
      <c r="W779" s="18"/>
      <c r="X779" s="46"/>
      <c r="Y779" s="9"/>
      <c r="Z779" s="46"/>
      <c r="AA779" s="7"/>
      <c r="AB779" s="46"/>
      <c r="AC779" s="47"/>
      <c r="AD779" s="7"/>
      <c r="AE779" s="47"/>
      <c r="AF779" s="18"/>
      <c r="AG779" s="26"/>
      <c r="AH779" s="34"/>
      <c r="AI779" s="34"/>
      <c r="AJ779" s="18"/>
      <c r="AK779" s="48"/>
      <c r="AL779" s="26"/>
      <c r="AM779" s="26"/>
    </row>
    <row r="780">
      <c r="A780" s="51"/>
      <c r="B780" s="51"/>
      <c r="C780" s="52"/>
      <c r="D780" s="51"/>
      <c r="E780" s="53"/>
      <c r="F780" s="54"/>
      <c r="G780" s="51"/>
      <c r="H780" s="51"/>
      <c r="I780" s="55"/>
      <c r="J780" s="56"/>
      <c r="K780" s="46"/>
      <c r="L780" s="46"/>
      <c r="M780" s="47"/>
      <c r="N780" s="46"/>
      <c r="O780" s="57"/>
      <c r="P780" s="46"/>
      <c r="Q780" s="46"/>
      <c r="R780" s="57"/>
      <c r="S780" s="7"/>
      <c r="T780" s="54"/>
      <c r="U780" s="58"/>
      <c r="V780" s="47"/>
      <c r="W780" s="18"/>
      <c r="X780" s="46"/>
      <c r="Y780" s="9"/>
      <c r="Z780" s="46"/>
      <c r="AA780" s="7"/>
      <c r="AB780" s="46"/>
      <c r="AC780" s="47"/>
      <c r="AD780" s="7"/>
      <c r="AE780" s="47"/>
      <c r="AF780" s="18"/>
      <c r="AG780" s="26"/>
      <c r="AH780" s="34"/>
      <c r="AI780" s="34"/>
      <c r="AJ780" s="18"/>
      <c r="AK780" s="48"/>
      <c r="AL780" s="26"/>
      <c r="AM780" s="26"/>
    </row>
    <row r="781">
      <c r="A781" s="51"/>
      <c r="B781" s="51"/>
      <c r="C781" s="52"/>
      <c r="D781" s="51"/>
      <c r="E781" s="53"/>
      <c r="F781" s="54"/>
      <c r="G781" s="51"/>
      <c r="H781" s="51"/>
      <c r="I781" s="55"/>
      <c r="J781" s="56"/>
      <c r="K781" s="46"/>
      <c r="L781" s="46"/>
      <c r="M781" s="47"/>
      <c r="N781" s="46"/>
      <c r="O781" s="57"/>
      <c r="P781" s="46"/>
      <c r="Q781" s="46"/>
      <c r="R781" s="57"/>
      <c r="S781" s="7"/>
      <c r="T781" s="54"/>
      <c r="U781" s="58"/>
      <c r="V781" s="47"/>
      <c r="W781" s="18"/>
      <c r="X781" s="46"/>
      <c r="Y781" s="9"/>
      <c r="Z781" s="46"/>
      <c r="AA781" s="7"/>
      <c r="AB781" s="46"/>
      <c r="AC781" s="47"/>
      <c r="AD781" s="7"/>
      <c r="AE781" s="47"/>
      <c r="AF781" s="18"/>
      <c r="AG781" s="26"/>
      <c r="AH781" s="34"/>
      <c r="AI781" s="34"/>
      <c r="AJ781" s="18"/>
      <c r="AK781" s="48"/>
      <c r="AL781" s="26"/>
      <c r="AM781" s="26"/>
    </row>
    <row r="782">
      <c r="A782" s="51"/>
      <c r="B782" s="51"/>
      <c r="C782" s="52"/>
      <c r="D782" s="51"/>
      <c r="E782" s="53"/>
      <c r="F782" s="54"/>
      <c r="G782" s="51"/>
      <c r="H782" s="51"/>
      <c r="I782" s="55"/>
      <c r="J782" s="56"/>
      <c r="K782" s="46"/>
      <c r="L782" s="46"/>
      <c r="M782" s="47"/>
      <c r="N782" s="46"/>
      <c r="O782" s="57"/>
      <c r="P782" s="46"/>
      <c r="Q782" s="46"/>
      <c r="R782" s="57"/>
      <c r="S782" s="7"/>
      <c r="T782" s="54"/>
      <c r="U782" s="58"/>
      <c r="V782" s="47"/>
      <c r="W782" s="18"/>
      <c r="X782" s="46"/>
      <c r="Y782" s="9"/>
      <c r="Z782" s="46"/>
      <c r="AA782" s="7"/>
      <c r="AB782" s="46"/>
      <c r="AC782" s="47"/>
      <c r="AD782" s="7"/>
      <c r="AE782" s="47"/>
      <c r="AF782" s="18"/>
      <c r="AG782" s="26"/>
      <c r="AH782" s="34"/>
      <c r="AI782" s="34"/>
      <c r="AJ782" s="18"/>
      <c r="AK782" s="48"/>
      <c r="AL782" s="26"/>
      <c r="AM782" s="26"/>
    </row>
    <row r="783">
      <c r="A783" s="51"/>
      <c r="B783" s="51"/>
      <c r="C783" s="52"/>
      <c r="D783" s="51"/>
      <c r="E783" s="53"/>
      <c r="F783" s="54"/>
      <c r="G783" s="51"/>
      <c r="H783" s="51"/>
      <c r="I783" s="55"/>
      <c r="J783" s="56"/>
      <c r="K783" s="46"/>
      <c r="L783" s="46"/>
      <c r="M783" s="47"/>
      <c r="N783" s="46"/>
      <c r="O783" s="57"/>
      <c r="P783" s="46"/>
      <c r="Q783" s="46"/>
      <c r="R783" s="57"/>
      <c r="S783" s="7"/>
      <c r="T783" s="54"/>
      <c r="U783" s="58"/>
      <c r="V783" s="47"/>
      <c r="W783" s="18"/>
      <c r="X783" s="46"/>
      <c r="Y783" s="9"/>
      <c r="Z783" s="46"/>
      <c r="AA783" s="7"/>
      <c r="AB783" s="46"/>
      <c r="AC783" s="47"/>
      <c r="AD783" s="7"/>
      <c r="AE783" s="47"/>
      <c r="AF783" s="18"/>
      <c r="AG783" s="26"/>
      <c r="AH783" s="34"/>
      <c r="AI783" s="34"/>
      <c r="AJ783" s="18"/>
      <c r="AK783" s="48"/>
      <c r="AL783" s="26"/>
      <c r="AM783" s="26"/>
    </row>
    <row r="784">
      <c r="A784" s="51"/>
      <c r="B784" s="51"/>
      <c r="C784" s="52"/>
      <c r="D784" s="51"/>
      <c r="E784" s="53"/>
      <c r="F784" s="54"/>
      <c r="G784" s="51"/>
      <c r="H784" s="51"/>
      <c r="I784" s="55"/>
      <c r="J784" s="56"/>
      <c r="K784" s="46"/>
      <c r="L784" s="46"/>
      <c r="M784" s="47"/>
      <c r="N784" s="46"/>
      <c r="O784" s="57"/>
      <c r="P784" s="46"/>
      <c r="Q784" s="46"/>
      <c r="R784" s="57"/>
      <c r="S784" s="7"/>
      <c r="T784" s="54"/>
      <c r="U784" s="58"/>
      <c r="V784" s="47"/>
      <c r="W784" s="18"/>
      <c r="X784" s="46"/>
      <c r="Y784" s="9"/>
      <c r="Z784" s="46"/>
      <c r="AA784" s="7"/>
      <c r="AB784" s="46"/>
      <c r="AC784" s="47"/>
      <c r="AD784" s="7"/>
      <c r="AE784" s="47"/>
      <c r="AF784" s="18"/>
      <c r="AG784" s="26"/>
      <c r="AH784" s="34"/>
      <c r="AI784" s="34"/>
      <c r="AJ784" s="18"/>
      <c r="AK784" s="48"/>
      <c r="AL784" s="26"/>
      <c r="AM784" s="26"/>
    </row>
    <row r="785">
      <c r="A785" s="51"/>
      <c r="B785" s="51"/>
      <c r="C785" s="52"/>
      <c r="D785" s="51"/>
      <c r="E785" s="53"/>
      <c r="F785" s="54"/>
      <c r="G785" s="51"/>
      <c r="H785" s="51"/>
      <c r="I785" s="55"/>
      <c r="J785" s="56"/>
      <c r="K785" s="46"/>
      <c r="L785" s="46"/>
      <c r="M785" s="47"/>
      <c r="N785" s="46"/>
      <c r="O785" s="57"/>
      <c r="P785" s="46"/>
      <c r="Q785" s="46"/>
      <c r="R785" s="57"/>
      <c r="S785" s="7"/>
      <c r="T785" s="54"/>
      <c r="U785" s="58"/>
      <c r="V785" s="47"/>
      <c r="W785" s="18"/>
      <c r="X785" s="46"/>
      <c r="Y785" s="9"/>
      <c r="Z785" s="46"/>
      <c r="AA785" s="7"/>
      <c r="AB785" s="46"/>
      <c r="AC785" s="47"/>
      <c r="AD785" s="7"/>
      <c r="AE785" s="47"/>
      <c r="AF785" s="18"/>
      <c r="AG785" s="26"/>
      <c r="AH785" s="34"/>
      <c r="AI785" s="34"/>
      <c r="AJ785" s="18"/>
      <c r="AK785" s="48"/>
      <c r="AL785" s="26"/>
      <c r="AM785" s="26"/>
    </row>
    <row r="786">
      <c r="A786" s="51"/>
      <c r="B786" s="51"/>
      <c r="C786" s="52"/>
      <c r="D786" s="51"/>
      <c r="E786" s="53"/>
      <c r="F786" s="54"/>
      <c r="G786" s="51"/>
      <c r="H786" s="51"/>
      <c r="I786" s="55"/>
      <c r="J786" s="56"/>
      <c r="K786" s="46"/>
      <c r="L786" s="46"/>
      <c r="M786" s="47"/>
      <c r="N786" s="46"/>
      <c r="O786" s="57"/>
      <c r="P786" s="46"/>
      <c r="Q786" s="46"/>
      <c r="R786" s="57"/>
      <c r="S786" s="7"/>
      <c r="T786" s="54"/>
      <c r="U786" s="58"/>
      <c r="V786" s="47"/>
      <c r="W786" s="18"/>
      <c r="X786" s="46"/>
      <c r="Y786" s="9"/>
      <c r="Z786" s="46"/>
      <c r="AA786" s="7"/>
      <c r="AB786" s="46"/>
      <c r="AC786" s="47"/>
      <c r="AD786" s="7"/>
      <c r="AE786" s="47"/>
      <c r="AF786" s="18"/>
      <c r="AG786" s="26"/>
      <c r="AH786" s="34"/>
      <c r="AI786" s="34"/>
      <c r="AJ786" s="18"/>
      <c r="AK786" s="48"/>
      <c r="AL786" s="26"/>
      <c r="AM786" s="26"/>
    </row>
    <row r="787">
      <c r="A787" s="51"/>
      <c r="B787" s="51"/>
      <c r="C787" s="52"/>
      <c r="D787" s="51"/>
      <c r="E787" s="53"/>
      <c r="F787" s="54"/>
      <c r="G787" s="51"/>
      <c r="H787" s="51"/>
      <c r="I787" s="55"/>
      <c r="J787" s="56"/>
      <c r="K787" s="46"/>
      <c r="L787" s="46"/>
      <c r="M787" s="47"/>
      <c r="N787" s="46"/>
      <c r="O787" s="57"/>
      <c r="P787" s="46"/>
      <c r="Q787" s="46"/>
      <c r="R787" s="57"/>
      <c r="S787" s="7"/>
      <c r="T787" s="54"/>
      <c r="U787" s="58"/>
      <c r="V787" s="47"/>
      <c r="W787" s="18"/>
      <c r="X787" s="46"/>
      <c r="Y787" s="9"/>
      <c r="Z787" s="46"/>
      <c r="AA787" s="7"/>
      <c r="AB787" s="46"/>
      <c r="AC787" s="47"/>
      <c r="AD787" s="7"/>
      <c r="AE787" s="47"/>
      <c r="AF787" s="18"/>
      <c r="AG787" s="26"/>
      <c r="AH787" s="34"/>
      <c r="AI787" s="34"/>
      <c r="AJ787" s="18"/>
      <c r="AK787" s="48"/>
      <c r="AL787" s="26"/>
      <c r="AM787" s="26"/>
    </row>
    <row r="788">
      <c r="A788" s="51"/>
      <c r="B788" s="51"/>
      <c r="C788" s="52"/>
      <c r="D788" s="51"/>
      <c r="E788" s="53"/>
      <c r="F788" s="54"/>
      <c r="G788" s="51"/>
      <c r="H788" s="51"/>
      <c r="I788" s="55"/>
      <c r="J788" s="56"/>
      <c r="K788" s="46"/>
      <c r="L788" s="46"/>
      <c r="M788" s="47"/>
      <c r="N788" s="46"/>
      <c r="O788" s="57"/>
      <c r="P788" s="46"/>
      <c r="Q788" s="46"/>
      <c r="R788" s="57"/>
      <c r="S788" s="7"/>
      <c r="T788" s="54"/>
      <c r="U788" s="58"/>
      <c r="V788" s="47"/>
      <c r="W788" s="18"/>
      <c r="X788" s="46"/>
      <c r="Y788" s="9"/>
      <c r="Z788" s="46"/>
      <c r="AA788" s="7"/>
      <c r="AB788" s="46"/>
      <c r="AC788" s="47"/>
      <c r="AD788" s="7"/>
      <c r="AE788" s="47"/>
      <c r="AF788" s="18"/>
      <c r="AG788" s="26"/>
      <c r="AH788" s="34"/>
      <c r="AI788" s="34"/>
      <c r="AJ788" s="18"/>
      <c r="AK788" s="48"/>
      <c r="AL788" s="26"/>
      <c r="AM788" s="26"/>
    </row>
    <row r="789">
      <c r="A789" s="51"/>
      <c r="B789" s="51"/>
      <c r="C789" s="52"/>
      <c r="D789" s="51"/>
      <c r="E789" s="53"/>
      <c r="F789" s="54"/>
      <c r="G789" s="51"/>
      <c r="H789" s="51"/>
      <c r="I789" s="55"/>
      <c r="J789" s="56"/>
      <c r="K789" s="46"/>
      <c r="L789" s="46"/>
      <c r="M789" s="47"/>
      <c r="N789" s="46"/>
      <c r="O789" s="57"/>
      <c r="P789" s="46"/>
      <c r="Q789" s="46"/>
      <c r="R789" s="57"/>
      <c r="S789" s="7"/>
      <c r="T789" s="54"/>
      <c r="U789" s="58"/>
      <c r="V789" s="47"/>
      <c r="W789" s="18"/>
      <c r="X789" s="46"/>
      <c r="Y789" s="9"/>
      <c r="Z789" s="46"/>
      <c r="AA789" s="7"/>
      <c r="AB789" s="46"/>
      <c r="AC789" s="47"/>
      <c r="AD789" s="7"/>
      <c r="AE789" s="47"/>
      <c r="AF789" s="18"/>
      <c r="AG789" s="26"/>
      <c r="AH789" s="34"/>
      <c r="AI789" s="34"/>
      <c r="AJ789" s="18"/>
      <c r="AK789" s="48"/>
      <c r="AL789" s="26"/>
      <c r="AM789" s="26"/>
    </row>
    <row r="790">
      <c r="A790" s="51"/>
      <c r="B790" s="51"/>
      <c r="C790" s="52"/>
      <c r="D790" s="51"/>
      <c r="E790" s="53"/>
      <c r="F790" s="54"/>
      <c r="G790" s="51"/>
      <c r="H790" s="51"/>
      <c r="I790" s="55"/>
      <c r="J790" s="56"/>
      <c r="K790" s="46"/>
      <c r="L790" s="46"/>
      <c r="M790" s="47"/>
      <c r="N790" s="46"/>
      <c r="O790" s="57"/>
      <c r="P790" s="46"/>
      <c r="Q790" s="46"/>
      <c r="R790" s="57"/>
      <c r="S790" s="7"/>
      <c r="T790" s="54"/>
      <c r="U790" s="58"/>
      <c r="V790" s="47"/>
      <c r="W790" s="18"/>
      <c r="X790" s="46"/>
      <c r="Y790" s="9"/>
      <c r="Z790" s="46"/>
      <c r="AA790" s="7"/>
      <c r="AB790" s="46"/>
      <c r="AC790" s="47"/>
      <c r="AD790" s="7"/>
      <c r="AE790" s="47"/>
      <c r="AF790" s="18"/>
      <c r="AG790" s="26"/>
      <c r="AH790" s="34"/>
      <c r="AI790" s="34"/>
      <c r="AJ790" s="18"/>
      <c r="AK790" s="48"/>
      <c r="AL790" s="26"/>
      <c r="AM790" s="26"/>
    </row>
    <row r="791">
      <c r="A791" s="51"/>
      <c r="B791" s="51"/>
      <c r="C791" s="52"/>
      <c r="D791" s="51"/>
      <c r="E791" s="53"/>
      <c r="F791" s="54"/>
      <c r="G791" s="51"/>
      <c r="H791" s="51"/>
      <c r="I791" s="55"/>
      <c r="J791" s="56"/>
      <c r="K791" s="46"/>
      <c r="L791" s="46"/>
      <c r="M791" s="47"/>
      <c r="N791" s="46"/>
      <c r="O791" s="57"/>
      <c r="P791" s="46"/>
      <c r="Q791" s="46"/>
      <c r="R791" s="57"/>
      <c r="S791" s="7"/>
      <c r="T791" s="54"/>
      <c r="U791" s="58"/>
      <c r="V791" s="47"/>
      <c r="W791" s="18"/>
      <c r="X791" s="46"/>
      <c r="Y791" s="9"/>
      <c r="Z791" s="46"/>
      <c r="AA791" s="7"/>
      <c r="AB791" s="46"/>
      <c r="AC791" s="47"/>
      <c r="AD791" s="7"/>
      <c r="AE791" s="47"/>
      <c r="AF791" s="18"/>
      <c r="AG791" s="26"/>
      <c r="AH791" s="34"/>
      <c r="AI791" s="34"/>
      <c r="AJ791" s="18"/>
      <c r="AK791" s="48"/>
      <c r="AL791" s="26"/>
      <c r="AM791" s="26"/>
    </row>
    <row r="792">
      <c r="A792" s="51"/>
      <c r="B792" s="51"/>
      <c r="C792" s="52"/>
      <c r="D792" s="51"/>
      <c r="E792" s="53"/>
      <c r="F792" s="54"/>
      <c r="G792" s="51"/>
      <c r="H792" s="51"/>
      <c r="I792" s="55"/>
      <c r="J792" s="56"/>
      <c r="K792" s="46"/>
      <c r="L792" s="46"/>
      <c r="M792" s="47"/>
      <c r="N792" s="46"/>
      <c r="O792" s="57"/>
      <c r="P792" s="46"/>
      <c r="Q792" s="46"/>
      <c r="R792" s="57"/>
      <c r="S792" s="7"/>
      <c r="T792" s="54"/>
      <c r="U792" s="58"/>
      <c r="V792" s="47"/>
      <c r="W792" s="18"/>
      <c r="X792" s="46"/>
      <c r="Y792" s="9"/>
      <c r="Z792" s="46"/>
      <c r="AA792" s="7"/>
      <c r="AB792" s="46"/>
      <c r="AC792" s="47"/>
      <c r="AD792" s="7"/>
      <c r="AE792" s="47"/>
      <c r="AF792" s="18"/>
      <c r="AG792" s="26"/>
      <c r="AH792" s="34"/>
      <c r="AI792" s="34"/>
      <c r="AJ792" s="18"/>
      <c r="AK792" s="48"/>
      <c r="AL792" s="26"/>
      <c r="AM792" s="26"/>
    </row>
    <row r="793">
      <c r="A793" s="51"/>
      <c r="B793" s="51"/>
      <c r="C793" s="52"/>
      <c r="D793" s="51"/>
      <c r="E793" s="53"/>
      <c r="F793" s="54"/>
      <c r="G793" s="51"/>
      <c r="H793" s="51"/>
      <c r="I793" s="55"/>
      <c r="J793" s="56"/>
      <c r="K793" s="46"/>
      <c r="L793" s="46"/>
      <c r="M793" s="47"/>
      <c r="N793" s="46"/>
      <c r="O793" s="57"/>
      <c r="P793" s="46"/>
      <c r="Q793" s="46"/>
      <c r="R793" s="57"/>
      <c r="S793" s="7"/>
      <c r="T793" s="54"/>
      <c r="U793" s="58"/>
      <c r="V793" s="47"/>
      <c r="W793" s="18"/>
      <c r="X793" s="46"/>
      <c r="Y793" s="9"/>
      <c r="Z793" s="46"/>
      <c r="AA793" s="7"/>
      <c r="AB793" s="46"/>
      <c r="AC793" s="47"/>
      <c r="AD793" s="7"/>
      <c r="AE793" s="47"/>
      <c r="AF793" s="18"/>
      <c r="AG793" s="26"/>
      <c r="AH793" s="34"/>
      <c r="AI793" s="34"/>
      <c r="AJ793" s="18"/>
      <c r="AK793" s="48"/>
      <c r="AL793" s="26"/>
      <c r="AM793" s="26"/>
    </row>
    <row r="794">
      <c r="A794" s="51"/>
      <c r="B794" s="51"/>
      <c r="C794" s="52"/>
      <c r="D794" s="51"/>
      <c r="E794" s="53"/>
      <c r="F794" s="54"/>
      <c r="G794" s="51"/>
      <c r="H794" s="51"/>
      <c r="I794" s="55"/>
      <c r="J794" s="56"/>
      <c r="K794" s="46"/>
      <c r="L794" s="46"/>
      <c r="M794" s="47"/>
      <c r="N794" s="46"/>
      <c r="O794" s="57"/>
      <c r="P794" s="46"/>
      <c r="Q794" s="46"/>
      <c r="R794" s="57"/>
      <c r="S794" s="7"/>
      <c r="T794" s="54"/>
      <c r="U794" s="58"/>
      <c r="V794" s="47"/>
      <c r="W794" s="18"/>
      <c r="X794" s="46"/>
      <c r="Y794" s="9"/>
      <c r="Z794" s="46"/>
      <c r="AA794" s="7"/>
      <c r="AB794" s="46"/>
      <c r="AC794" s="47"/>
      <c r="AD794" s="7"/>
      <c r="AE794" s="47"/>
      <c r="AF794" s="18"/>
      <c r="AG794" s="26"/>
      <c r="AH794" s="34"/>
      <c r="AI794" s="34"/>
      <c r="AJ794" s="18"/>
      <c r="AK794" s="48"/>
      <c r="AL794" s="26"/>
      <c r="AM794" s="26"/>
    </row>
    <row r="795">
      <c r="A795" s="51"/>
      <c r="B795" s="51"/>
      <c r="C795" s="52"/>
      <c r="D795" s="51"/>
      <c r="E795" s="53"/>
      <c r="F795" s="54"/>
      <c r="G795" s="51"/>
      <c r="H795" s="51"/>
      <c r="I795" s="55"/>
      <c r="J795" s="56"/>
      <c r="K795" s="46"/>
      <c r="L795" s="46"/>
      <c r="M795" s="47"/>
      <c r="N795" s="46"/>
      <c r="O795" s="57"/>
      <c r="P795" s="46"/>
      <c r="Q795" s="46"/>
      <c r="R795" s="57"/>
      <c r="S795" s="7"/>
      <c r="T795" s="54"/>
      <c r="U795" s="58"/>
      <c r="V795" s="47"/>
      <c r="W795" s="18"/>
      <c r="X795" s="46"/>
      <c r="Y795" s="9"/>
      <c r="Z795" s="46"/>
      <c r="AA795" s="7"/>
      <c r="AB795" s="46"/>
      <c r="AC795" s="47"/>
      <c r="AD795" s="7"/>
      <c r="AE795" s="47"/>
      <c r="AF795" s="18"/>
      <c r="AG795" s="26"/>
      <c r="AH795" s="34"/>
      <c r="AI795" s="34"/>
      <c r="AJ795" s="18"/>
      <c r="AK795" s="48"/>
      <c r="AL795" s="26"/>
      <c r="AM795" s="26"/>
    </row>
    <row r="796">
      <c r="A796" s="51"/>
      <c r="B796" s="51"/>
      <c r="C796" s="52"/>
      <c r="D796" s="51"/>
      <c r="E796" s="53"/>
      <c r="F796" s="54"/>
      <c r="G796" s="51"/>
      <c r="H796" s="51"/>
      <c r="I796" s="55"/>
      <c r="J796" s="56"/>
      <c r="K796" s="46"/>
      <c r="L796" s="46"/>
      <c r="M796" s="47"/>
      <c r="N796" s="46"/>
      <c r="O796" s="57"/>
      <c r="P796" s="46"/>
      <c r="Q796" s="46"/>
      <c r="R796" s="57"/>
      <c r="S796" s="7"/>
      <c r="T796" s="54"/>
      <c r="U796" s="58"/>
      <c r="V796" s="47"/>
      <c r="W796" s="18"/>
      <c r="X796" s="46"/>
      <c r="Y796" s="9"/>
      <c r="Z796" s="46"/>
      <c r="AA796" s="7"/>
      <c r="AB796" s="46"/>
      <c r="AC796" s="47"/>
      <c r="AD796" s="7"/>
      <c r="AE796" s="47"/>
      <c r="AF796" s="18"/>
      <c r="AG796" s="26"/>
      <c r="AH796" s="34"/>
      <c r="AI796" s="34"/>
      <c r="AJ796" s="18"/>
      <c r="AK796" s="48"/>
      <c r="AL796" s="26"/>
      <c r="AM796" s="26"/>
    </row>
    <row r="797">
      <c r="A797" s="51"/>
      <c r="B797" s="51"/>
      <c r="C797" s="52"/>
      <c r="D797" s="51"/>
      <c r="E797" s="53"/>
      <c r="F797" s="54"/>
      <c r="G797" s="51"/>
      <c r="H797" s="51"/>
      <c r="I797" s="55"/>
      <c r="J797" s="56"/>
      <c r="K797" s="46"/>
      <c r="L797" s="46"/>
      <c r="M797" s="47"/>
      <c r="N797" s="46"/>
      <c r="O797" s="57"/>
      <c r="P797" s="46"/>
      <c r="Q797" s="46"/>
      <c r="R797" s="57"/>
      <c r="S797" s="7"/>
      <c r="T797" s="54"/>
      <c r="U797" s="58"/>
      <c r="V797" s="47"/>
      <c r="W797" s="18"/>
      <c r="X797" s="46"/>
      <c r="Y797" s="9"/>
      <c r="Z797" s="46"/>
      <c r="AA797" s="7"/>
      <c r="AB797" s="46"/>
      <c r="AC797" s="47"/>
      <c r="AD797" s="7"/>
      <c r="AE797" s="47"/>
      <c r="AF797" s="18"/>
      <c r="AG797" s="26"/>
      <c r="AH797" s="34"/>
      <c r="AI797" s="34"/>
      <c r="AJ797" s="18"/>
      <c r="AK797" s="48"/>
      <c r="AL797" s="26"/>
      <c r="AM797" s="26"/>
    </row>
    <row r="798">
      <c r="A798" s="51"/>
      <c r="B798" s="51"/>
      <c r="C798" s="52"/>
      <c r="D798" s="51"/>
      <c r="E798" s="53"/>
      <c r="F798" s="54"/>
      <c r="G798" s="51"/>
      <c r="H798" s="51"/>
      <c r="I798" s="55"/>
      <c r="J798" s="56"/>
      <c r="K798" s="46"/>
      <c r="L798" s="46"/>
      <c r="M798" s="47"/>
      <c r="N798" s="46"/>
      <c r="O798" s="57"/>
      <c r="P798" s="46"/>
      <c r="Q798" s="46"/>
      <c r="R798" s="57"/>
      <c r="S798" s="7"/>
      <c r="T798" s="54"/>
      <c r="U798" s="58"/>
      <c r="V798" s="47"/>
      <c r="W798" s="18"/>
      <c r="X798" s="46"/>
      <c r="Y798" s="9"/>
      <c r="Z798" s="46"/>
      <c r="AA798" s="7"/>
      <c r="AB798" s="46"/>
      <c r="AC798" s="47"/>
      <c r="AD798" s="7"/>
      <c r="AE798" s="47"/>
      <c r="AF798" s="18"/>
      <c r="AG798" s="26"/>
      <c r="AH798" s="34"/>
      <c r="AI798" s="34"/>
      <c r="AJ798" s="18"/>
      <c r="AK798" s="48"/>
      <c r="AL798" s="26"/>
      <c r="AM798" s="26"/>
    </row>
    <row r="799">
      <c r="A799" s="51"/>
      <c r="B799" s="51"/>
      <c r="C799" s="52"/>
      <c r="D799" s="51"/>
      <c r="E799" s="53"/>
      <c r="F799" s="54"/>
      <c r="G799" s="51"/>
      <c r="H799" s="51"/>
      <c r="I799" s="55"/>
      <c r="J799" s="56"/>
      <c r="K799" s="46"/>
      <c r="L799" s="46"/>
      <c r="M799" s="47"/>
      <c r="N799" s="46"/>
      <c r="O799" s="57"/>
      <c r="P799" s="46"/>
      <c r="Q799" s="46"/>
      <c r="R799" s="57"/>
      <c r="S799" s="7"/>
      <c r="T799" s="54"/>
      <c r="U799" s="58"/>
      <c r="V799" s="47"/>
      <c r="W799" s="18"/>
      <c r="X799" s="46"/>
      <c r="Y799" s="9"/>
      <c r="Z799" s="46"/>
      <c r="AA799" s="7"/>
      <c r="AB799" s="46"/>
      <c r="AC799" s="47"/>
      <c r="AD799" s="7"/>
      <c r="AE799" s="47"/>
      <c r="AF799" s="18"/>
      <c r="AG799" s="26"/>
      <c r="AH799" s="34"/>
      <c r="AI799" s="34"/>
      <c r="AJ799" s="18"/>
      <c r="AK799" s="48"/>
      <c r="AL799" s="26"/>
      <c r="AM799" s="26"/>
    </row>
    <row r="800">
      <c r="A800" s="51"/>
      <c r="B800" s="51"/>
      <c r="C800" s="52"/>
      <c r="D800" s="51"/>
      <c r="E800" s="53"/>
      <c r="F800" s="54"/>
      <c r="G800" s="51"/>
      <c r="H800" s="51"/>
      <c r="I800" s="55"/>
      <c r="J800" s="56"/>
      <c r="K800" s="46"/>
      <c r="L800" s="46"/>
      <c r="M800" s="47"/>
      <c r="N800" s="46"/>
      <c r="O800" s="57"/>
      <c r="P800" s="46"/>
      <c r="Q800" s="46"/>
      <c r="R800" s="57"/>
      <c r="S800" s="7"/>
      <c r="T800" s="54"/>
      <c r="U800" s="58"/>
      <c r="V800" s="47"/>
      <c r="W800" s="18"/>
      <c r="X800" s="46"/>
      <c r="Y800" s="9"/>
      <c r="Z800" s="46"/>
      <c r="AA800" s="7"/>
      <c r="AB800" s="46"/>
      <c r="AC800" s="47"/>
      <c r="AD800" s="7"/>
      <c r="AE800" s="47"/>
      <c r="AF800" s="18"/>
      <c r="AG800" s="26"/>
      <c r="AH800" s="34"/>
      <c r="AI800" s="34"/>
      <c r="AJ800" s="18"/>
      <c r="AK800" s="48"/>
      <c r="AL800" s="26"/>
      <c r="AM800" s="26"/>
    </row>
    <row r="801">
      <c r="A801" s="51"/>
      <c r="B801" s="51"/>
      <c r="C801" s="52"/>
      <c r="D801" s="51"/>
      <c r="E801" s="53"/>
      <c r="F801" s="54"/>
      <c r="G801" s="51"/>
      <c r="H801" s="51"/>
      <c r="I801" s="55"/>
      <c r="J801" s="56"/>
      <c r="K801" s="46"/>
      <c r="L801" s="46"/>
      <c r="M801" s="47"/>
      <c r="N801" s="46"/>
      <c r="O801" s="57"/>
      <c r="P801" s="46"/>
      <c r="Q801" s="46"/>
      <c r="R801" s="57"/>
      <c r="S801" s="7"/>
      <c r="T801" s="54"/>
      <c r="U801" s="58"/>
      <c r="V801" s="47"/>
      <c r="W801" s="18"/>
      <c r="X801" s="46"/>
      <c r="Y801" s="9"/>
      <c r="Z801" s="46"/>
      <c r="AA801" s="7"/>
      <c r="AB801" s="46"/>
      <c r="AC801" s="47"/>
      <c r="AD801" s="7"/>
      <c r="AE801" s="47"/>
      <c r="AF801" s="18"/>
      <c r="AG801" s="26"/>
      <c r="AH801" s="34"/>
      <c r="AI801" s="34"/>
      <c r="AJ801" s="18"/>
      <c r="AK801" s="48"/>
      <c r="AL801" s="26"/>
      <c r="AM801" s="26"/>
    </row>
    <row r="802">
      <c r="A802" s="51"/>
      <c r="B802" s="51"/>
      <c r="C802" s="52"/>
      <c r="D802" s="51"/>
      <c r="E802" s="53"/>
      <c r="F802" s="54"/>
      <c r="G802" s="51"/>
      <c r="H802" s="51"/>
      <c r="I802" s="55"/>
      <c r="J802" s="56"/>
      <c r="K802" s="46"/>
      <c r="L802" s="46"/>
      <c r="M802" s="47"/>
      <c r="N802" s="46"/>
      <c r="O802" s="57"/>
      <c r="P802" s="46"/>
      <c r="Q802" s="46"/>
      <c r="R802" s="57"/>
      <c r="S802" s="7"/>
      <c r="T802" s="54"/>
      <c r="U802" s="58"/>
      <c r="V802" s="47"/>
      <c r="W802" s="18"/>
      <c r="X802" s="46"/>
      <c r="Y802" s="9"/>
      <c r="Z802" s="46"/>
      <c r="AA802" s="7"/>
      <c r="AB802" s="46"/>
      <c r="AC802" s="47"/>
      <c r="AD802" s="7"/>
      <c r="AE802" s="47"/>
      <c r="AF802" s="18"/>
      <c r="AG802" s="26"/>
      <c r="AH802" s="34"/>
      <c r="AI802" s="34"/>
      <c r="AJ802" s="18"/>
      <c r="AK802" s="48"/>
      <c r="AL802" s="26"/>
      <c r="AM802" s="26"/>
    </row>
    <row r="803">
      <c r="A803" s="51"/>
      <c r="B803" s="51"/>
      <c r="C803" s="52"/>
      <c r="D803" s="51"/>
      <c r="E803" s="53"/>
      <c r="F803" s="54"/>
      <c r="G803" s="51"/>
      <c r="H803" s="51"/>
      <c r="I803" s="55"/>
      <c r="J803" s="56"/>
      <c r="K803" s="46"/>
      <c r="L803" s="46"/>
      <c r="M803" s="47"/>
      <c r="N803" s="46"/>
      <c r="O803" s="57"/>
      <c r="P803" s="46"/>
      <c r="Q803" s="46"/>
      <c r="R803" s="57"/>
      <c r="S803" s="7"/>
      <c r="T803" s="54"/>
      <c r="U803" s="58"/>
      <c r="V803" s="47"/>
      <c r="W803" s="18"/>
      <c r="X803" s="46"/>
      <c r="Y803" s="9"/>
      <c r="Z803" s="46"/>
      <c r="AA803" s="7"/>
      <c r="AB803" s="46"/>
      <c r="AC803" s="47"/>
      <c r="AD803" s="7"/>
      <c r="AE803" s="47"/>
      <c r="AF803" s="18"/>
      <c r="AG803" s="26"/>
      <c r="AH803" s="34"/>
      <c r="AI803" s="34"/>
      <c r="AJ803" s="18"/>
      <c r="AK803" s="48"/>
      <c r="AL803" s="26"/>
      <c r="AM803" s="26"/>
    </row>
    <row r="804">
      <c r="A804" s="51"/>
      <c r="B804" s="51"/>
      <c r="C804" s="52"/>
      <c r="D804" s="51"/>
      <c r="E804" s="53"/>
      <c r="F804" s="54"/>
      <c r="G804" s="51"/>
      <c r="H804" s="51"/>
      <c r="I804" s="55"/>
      <c r="J804" s="56"/>
      <c r="K804" s="46"/>
      <c r="L804" s="46"/>
      <c r="M804" s="47"/>
      <c r="N804" s="46"/>
      <c r="O804" s="57"/>
      <c r="P804" s="46"/>
      <c r="Q804" s="46"/>
      <c r="R804" s="57"/>
      <c r="S804" s="7"/>
      <c r="T804" s="54"/>
      <c r="U804" s="58"/>
      <c r="V804" s="47"/>
      <c r="W804" s="18"/>
      <c r="X804" s="46"/>
      <c r="Y804" s="9"/>
      <c r="Z804" s="46"/>
      <c r="AA804" s="7"/>
      <c r="AB804" s="46"/>
      <c r="AC804" s="47"/>
      <c r="AD804" s="7"/>
      <c r="AE804" s="47"/>
      <c r="AF804" s="18"/>
      <c r="AG804" s="26"/>
      <c r="AH804" s="34"/>
      <c r="AI804" s="34"/>
      <c r="AJ804" s="18"/>
      <c r="AK804" s="48"/>
      <c r="AL804" s="26"/>
      <c r="AM804" s="26"/>
    </row>
    <row r="805">
      <c r="A805" s="51"/>
      <c r="B805" s="51"/>
      <c r="C805" s="52"/>
      <c r="D805" s="51"/>
      <c r="E805" s="53"/>
      <c r="F805" s="54"/>
      <c r="G805" s="51"/>
      <c r="H805" s="51"/>
      <c r="I805" s="55"/>
      <c r="J805" s="56"/>
      <c r="K805" s="46"/>
      <c r="L805" s="46"/>
      <c r="M805" s="47"/>
      <c r="N805" s="46"/>
      <c r="O805" s="57"/>
      <c r="P805" s="46"/>
      <c r="Q805" s="46"/>
      <c r="R805" s="57"/>
      <c r="S805" s="7"/>
      <c r="T805" s="54"/>
      <c r="U805" s="58"/>
      <c r="V805" s="47"/>
      <c r="W805" s="18"/>
      <c r="X805" s="46"/>
      <c r="Y805" s="9"/>
      <c r="Z805" s="46"/>
      <c r="AA805" s="7"/>
      <c r="AB805" s="46"/>
      <c r="AC805" s="47"/>
      <c r="AD805" s="7"/>
      <c r="AE805" s="47"/>
      <c r="AF805" s="18"/>
      <c r="AG805" s="26"/>
      <c r="AH805" s="34"/>
      <c r="AI805" s="34"/>
      <c r="AJ805" s="18"/>
      <c r="AK805" s="48"/>
      <c r="AL805" s="26"/>
      <c r="AM805" s="26"/>
    </row>
    <row r="806">
      <c r="A806" s="51"/>
      <c r="B806" s="51"/>
      <c r="C806" s="52"/>
      <c r="D806" s="51"/>
      <c r="E806" s="53"/>
      <c r="F806" s="54"/>
      <c r="G806" s="51"/>
      <c r="H806" s="51"/>
      <c r="I806" s="55"/>
      <c r="J806" s="56"/>
      <c r="K806" s="46"/>
      <c r="L806" s="46"/>
      <c r="M806" s="47"/>
      <c r="N806" s="46"/>
      <c r="O806" s="57"/>
      <c r="P806" s="46"/>
      <c r="Q806" s="46"/>
      <c r="R806" s="57"/>
      <c r="S806" s="7"/>
      <c r="T806" s="54"/>
      <c r="U806" s="58"/>
      <c r="V806" s="47"/>
      <c r="W806" s="18"/>
      <c r="X806" s="46"/>
      <c r="Y806" s="9"/>
      <c r="Z806" s="46"/>
      <c r="AA806" s="7"/>
      <c r="AB806" s="46"/>
      <c r="AC806" s="47"/>
      <c r="AD806" s="7"/>
      <c r="AE806" s="47"/>
      <c r="AF806" s="18"/>
      <c r="AG806" s="26"/>
      <c r="AH806" s="34"/>
      <c r="AI806" s="34"/>
      <c r="AJ806" s="18"/>
      <c r="AK806" s="48"/>
      <c r="AL806" s="26"/>
      <c r="AM806" s="26"/>
    </row>
    <row r="807">
      <c r="A807" s="51"/>
      <c r="B807" s="51"/>
      <c r="C807" s="52"/>
      <c r="D807" s="51"/>
      <c r="E807" s="53"/>
      <c r="F807" s="54"/>
      <c r="G807" s="51"/>
      <c r="H807" s="51"/>
      <c r="I807" s="55"/>
      <c r="J807" s="56"/>
      <c r="K807" s="46"/>
      <c r="L807" s="46"/>
      <c r="M807" s="47"/>
      <c r="N807" s="46"/>
      <c r="O807" s="57"/>
      <c r="P807" s="46"/>
      <c r="Q807" s="46"/>
      <c r="R807" s="57"/>
      <c r="S807" s="7"/>
      <c r="T807" s="54"/>
      <c r="U807" s="58"/>
      <c r="V807" s="47"/>
      <c r="W807" s="18"/>
      <c r="X807" s="46"/>
      <c r="Y807" s="9"/>
      <c r="Z807" s="46"/>
      <c r="AA807" s="7"/>
      <c r="AB807" s="46"/>
      <c r="AC807" s="47"/>
      <c r="AD807" s="7"/>
      <c r="AE807" s="47"/>
      <c r="AF807" s="18"/>
      <c r="AG807" s="26"/>
      <c r="AH807" s="34"/>
      <c r="AI807" s="34"/>
      <c r="AJ807" s="18"/>
      <c r="AK807" s="48"/>
      <c r="AL807" s="26"/>
      <c r="AM807" s="26"/>
    </row>
    <row r="808">
      <c r="A808" s="51"/>
      <c r="B808" s="51"/>
      <c r="C808" s="52"/>
      <c r="D808" s="51"/>
      <c r="E808" s="53"/>
      <c r="F808" s="54"/>
      <c r="G808" s="51"/>
      <c r="H808" s="51"/>
      <c r="I808" s="55"/>
      <c r="J808" s="56"/>
      <c r="K808" s="46"/>
      <c r="L808" s="46"/>
      <c r="M808" s="47"/>
      <c r="N808" s="46"/>
      <c r="O808" s="57"/>
      <c r="P808" s="46"/>
      <c r="Q808" s="46"/>
      <c r="R808" s="57"/>
      <c r="S808" s="7"/>
      <c r="T808" s="54"/>
      <c r="U808" s="58"/>
      <c r="V808" s="47"/>
      <c r="W808" s="18"/>
      <c r="X808" s="46"/>
      <c r="Y808" s="9"/>
      <c r="Z808" s="46"/>
      <c r="AA808" s="7"/>
      <c r="AB808" s="46"/>
      <c r="AC808" s="47"/>
      <c r="AD808" s="7"/>
      <c r="AE808" s="47"/>
      <c r="AF808" s="18"/>
      <c r="AG808" s="26"/>
      <c r="AH808" s="34"/>
      <c r="AI808" s="34"/>
      <c r="AJ808" s="18"/>
      <c r="AK808" s="48"/>
      <c r="AL808" s="26"/>
      <c r="AM808" s="26"/>
    </row>
    <row r="809">
      <c r="A809" s="51"/>
      <c r="B809" s="51"/>
      <c r="C809" s="52"/>
      <c r="D809" s="51"/>
      <c r="E809" s="53"/>
      <c r="F809" s="54"/>
      <c r="G809" s="51"/>
      <c r="H809" s="51"/>
      <c r="I809" s="55"/>
      <c r="J809" s="56"/>
      <c r="K809" s="46"/>
      <c r="L809" s="46"/>
      <c r="M809" s="47"/>
      <c r="N809" s="46"/>
      <c r="O809" s="57"/>
      <c r="P809" s="46"/>
      <c r="Q809" s="46"/>
      <c r="R809" s="57"/>
      <c r="S809" s="7"/>
      <c r="T809" s="54"/>
      <c r="U809" s="58"/>
      <c r="V809" s="47"/>
      <c r="W809" s="18"/>
      <c r="X809" s="46"/>
      <c r="Y809" s="9"/>
      <c r="Z809" s="46"/>
      <c r="AA809" s="7"/>
      <c r="AB809" s="46"/>
      <c r="AC809" s="47"/>
      <c r="AD809" s="7"/>
      <c r="AE809" s="47"/>
      <c r="AF809" s="18"/>
      <c r="AG809" s="26"/>
      <c r="AH809" s="34"/>
      <c r="AI809" s="34"/>
      <c r="AJ809" s="18"/>
      <c r="AK809" s="48"/>
      <c r="AL809" s="26"/>
      <c r="AM809" s="26"/>
    </row>
    <row r="810">
      <c r="A810" s="51"/>
      <c r="B810" s="51"/>
      <c r="C810" s="52"/>
      <c r="D810" s="51"/>
      <c r="E810" s="53"/>
      <c r="F810" s="54"/>
      <c r="G810" s="51"/>
      <c r="H810" s="51"/>
      <c r="I810" s="55"/>
      <c r="J810" s="56"/>
      <c r="K810" s="46"/>
      <c r="L810" s="46"/>
      <c r="M810" s="47"/>
      <c r="N810" s="46"/>
      <c r="O810" s="57"/>
      <c r="P810" s="46"/>
      <c r="Q810" s="46"/>
      <c r="R810" s="57"/>
      <c r="S810" s="7"/>
      <c r="T810" s="54"/>
      <c r="U810" s="58"/>
      <c r="V810" s="47"/>
      <c r="W810" s="18"/>
      <c r="X810" s="46"/>
      <c r="Y810" s="9"/>
      <c r="Z810" s="46"/>
      <c r="AA810" s="7"/>
      <c r="AB810" s="46"/>
      <c r="AC810" s="47"/>
      <c r="AD810" s="7"/>
      <c r="AE810" s="47"/>
      <c r="AF810" s="18"/>
      <c r="AG810" s="26"/>
      <c r="AH810" s="34"/>
      <c r="AI810" s="34"/>
      <c r="AJ810" s="18"/>
      <c r="AK810" s="48"/>
      <c r="AL810" s="26"/>
      <c r="AM810" s="26"/>
    </row>
    <row r="811">
      <c r="A811" s="51"/>
      <c r="B811" s="51"/>
      <c r="C811" s="52"/>
      <c r="D811" s="51"/>
      <c r="E811" s="53"/>
      <c r="F811" s="54"/>
      <c r="G811" s="51"/>
      <c r="H811" s="51"/>
      <c r="I811" s="55"/>
      <c r="J811" s="56"/>
      <c r="K811" s="46"/>
      <c r="L811" s="46"/>
      <c r="M811" s="47"/>
      <c r="N811" s="46"/>
      <c r="O811" s="57"/>
      <c r="P811" s="46"/>
      <c r="Q811" s="46"/>
      <c r="R811" s="57"/>
      <c r="S811" s="7"/>
      <c r="T811" s="54"/>
      <c r="U811" s="58"/>
      <c r="V811" s="47"/>
      <c r="W811" s="18"/>
      <c r="X811" s="46"/>
      <c r="Y811" s="9"/>
      <c r="Z811" s="46"/>
      <c r="AA811" s="7"/>
      <c r="AB811" s="46"/>
      <c r="AC811" s="47"/>
      <c r="AD811" s="7"/>
      <c r="AE811" s="47"/>
      <c r="AF811" s="18"/>
      <c r="AG811" s="26"/>
      <c r="AH811" s="34"/>
      <c r="AI811" s="34"/>
      <c r="AJ811" s="18"/>
      <c r="AK811" s="48"/>
      <c r="AL811" s="26"/>
      <c r="AM811" s="26"/>
    </row>
    <row r="812">
      <c r="A812" s="51"/>
      <c r="B812" s="51"/>
      <c r="C812" s="52"/>
      <c r="D812" s="51"/>
      <c r="E812" s="53"/>
      <c r="F812" s="54"/>
      <c r="G812" s="51"/>
      <c r="H812" s="51"/>
      <c r="I812" s="55"/>
      <c r="J812" s="56"/>
      <c r="K812" s="46"/>
      <c r="L812" s="46"/>
      <c r="M812" s="47"/>
      <c r="N812" s="46"/>
      <c r="O812" s="57"/>
      <c r="P812" s="46"/>
      <c r="Q812" s="46"/>
      <c r="R812" s="57"/>
      <c r="S812" s="7"/>
      <c r="T812" s="54"/>
      <c r="U812" s="58"/>
      <c r="V812" s="47"/>
      <c r="W812" s="18"/>
      <c r="X812" s="46"/>
      <c r="Y812" s="9"/>
      <c r="Z812" s="46"/>
      <c r="AA812" s="7"/>
      <c r="AB812" s="46"/>
      <c r="AC812" s="47"/>
      <c r="AD812" s="7"/>
      <c r="AE812" s="47"/>
      <c r="AF812" s="18"/>
      <c r="AG812" s="26"/>
      <c r="AH812" s="34"/>
      <c r="AI812" s="34"/>
      <c r="AJ812" s="18"/>
      <c r="AK812" s="48"/>
      <c r="AL812" s="26"/>
      <c r="AM812" s="26"/>
    </row>
    <row r="813">
      <c r="A813" s="51"/>
      <c r="B813" s="51"/>
      <c r="C813" s="52"/>
      <c r="D813" s="51"/>
      <c r="E813" s="53"/>
      <c r="F813" s="54"/>
      <c r="G813" s="51"/>
      <c r="H813" s="51"/>
      <c r="I813" s="55"/>
      <c r="J813" s="56"/>
      <c r="K813" s="46"/>
      <c r="L813" s="46"/>
      <c r="M813" s="47"/>
      <c r="N813" s="46"/>
      <c r="O813" s="57"/>
      <c r="P813" s="46"/>
      <c r="Q813" s="46"/>
      <c r="R813" s="57"/>
      <c r="S813" s="7"/>
      <c r="T813" s="54"/>
      <c r="U813" s="58"/>
      <c r="V813" s="47"/>
      <c r="W813" s="18"/>
      <c r="X813" s="46"/>
      <c r="Y813" s="9"/>
      <c r="Z813" s="46"/>
      <c r="AA813" s="7"/>
      <c r="AB813" s="46"/>
      <c r="AC813" s="47"/>
      <c r="AD813" s="7"/>
      <c r="AE813" s="47"/>
      <c r="AF813" s="18"/>
      <c r="AG813" s="26"/>
      <c r="AH813" s="34"/>
      <c r="AI813" s="34"/>
      <c r="AJ813" s="18"/>
      <c r="AK813" s="48"/>
      <c r="AL813" s="26"/>
      <c r="AM813" s="26"/>
    </row>
    <row r="814">
      <c r="A814" s="51"/>
      <c r="B814" s="51"/>
      <c r="C814" s="52"/>
      <c r="D814" s="51"/>
      <c r="E814" s="53"/>
      <c r="F814" s="54"/>
      <c r="G814" s="51"/>
      <c r="H814" s="51"/>
      <c r="I814" s="55"/>
      <c r="J814" s="56"/>
      <c r="K814" s="46"/>
      <c r="L814" s="46"/>
      <c r="M814" s="47"/>
      <c r="N814" s="46"/>
      <c r="O814" s="57"/>
      <c r="P814" s="46"/>
      <c r="Q814" s="46"/>
      <c r="R814" s="57"/>
      <c r="S814" s="7"/>
      <c r="T814" s="54"/>
      <c r="U814" s="58"/>
      <c r="V814" s="47"/>
      <c r="W814" s="18"/>
      <c r="X814" s="46"/>
      <c r="Y814" s="9"/>
      <c r="Z814" s="46"/>
      <c r="AA814" s="7"/>
      <c r="AB814" s="46"/>
      <c r="AC814" s="47"/>
      <c r="AD814" s="7"/>
      <c r="AE814" s="47"/>
      <c r="AF814" s="18"/>
      <c r="AG814" s="26"/>
      <c r="AH814" s="34"/>
      <c r="AI814" s="34"/>
      <c r="AJ814" s="18"/>
      <c r="AK814" s="48"/>
      <c r="AL814" s="26"/>
      <c r="AM814" s="26"/>
    </row>
    <row r="815">
      <c r="A815" s="51"/>
      <c r="B815" s="51"/>
      <c r="C815" s="52"/>
      <c r="D815" s="51"/>
      <c r="E815" s="53"/>
      <c r="F815" s="54"/>
      <c r="G815" s="51"/>
      <c r="H815" s="51"/>
      <c r="I815" s="55"/>
      <c r="J815" s="56"/>
      <c r="K815" s="46"/>
      <c r="L815" s="46"/>
      <c r="M815" s="47"/>
      <c r="N815" s="46"/>
      <c r="O815" s="57"/>
      <c r="P815" s="46"/>
      <c r="Q815" s="46"/>
      <c r="R815" s="57"/>
      <c r="S815" s="7"/>
      <c r="T815" s="54"/>
      <c r="U815" s="58"/>
      <c r="V815" s="47"/>
      <c r="W815" s="18"/>
      <c r="X815" s="46"/>
      <c r="Y815" s="9"/>
      <c r="Z815" s="46"/>
      <c r="AA815" s="7"/>
      <c r="AB815" s="46"/>
      <c r="AC815" s="47"/>
      <c r="AD815" s="7"/>
      <c r="AE815" s="47"/>
      <c r="AF815" s="18"/>
      <c r="AG815" s="26"/>
      <c r="AH815" s="34"/>
      <c r="AI815" s="34"/>
      <c r="AJ815" s="18"/>
      <c r="AK815" s="48"/>
      <c r="AL815" s="26"/>
      <c r="AM815" s="26"/>
    </row>
    <row r="816">
      <c r="A816" s="51"/>
      <c r="B816" s="51"/>
      <c r="C816" s="52"/>
      <c r="D816" s="51"/>
      <c r="E816" s="53"/>
      <c r="F816" s="54"/>
      <c r="G816" s="51"/>
      <c r="H816" s="51"/>
      <c r="I816" s="55"/>
      <c r="J816" s="56"/>
      <c r="K816" s="46"/>
      <c r="L816" s="46"/>
      <c r="M816" s="47"/>
      <c r="N816" s="46"/>
      <c r="O816" s="57"/>
      <c r="P816" s="46"/>
      <c r="Q816" s="46"/>
      <c r="R816" s="57"/>
      <c r="S816" s="7"/>
      <c r="T816" s="54"/>
      <c r="U816" s="58"/>
      <c r="V816" s="47"/>
      <c r="W816" s="18"/>
      <c r="X816" s="46"/>
      <c r="Y816" s="9"/>
      <c r="Z816" s="46"/>
      <c r="AA816" s="7"/>
      <c r="AB816" s="46"/>
      <c r="AC816" s="47"/>
      <c r="AD816" s="7"/>
      <c r="AE816" s="47"/>
      <c r="AF816" s="18"/>
      <c r="AG816" s="26"/>
      <c r="AH816" s="34"/>
      <c r="AI816" s="34"/>
      <c r="AJ816" s="18"/>
      <c r="AK816" s="48"/>
      <c r="AL816" s="26"/>
      <c r="AM816" s="26"/>
    </row>
    <row r="817">
      <c r="A817" s="51"/>
      <c r="B817" s="51"/>
      <c r="C817" s="52"/>
      <c r="D817" s="51"/>
      <c r="E817" s="53"/>
      <c r="F817" s="54"/>
      <c r="G817" s="51"/>
      <c r="H817" s="51"/>
      <c r="I817" s="55"/>
      <c r="J817" s="56"/>
      <c r="K817" s="46"/>
      <c r="L817" s="46"/>
      <c r="M817" s="47"/>
      <c r="N817" s="46"/>
      <c r="O817" s="57"/>
      <c r="P817" s="46"/>
      <c r="Q817" s="46"/>
      <c r="R817" s="57"/>
      <c r="S817" s="7"/>
      <c r="T817" s="54"/>
      <c r="U817" s="58"/>
      <c r="V817" s="47"/>
      <c r="W817" s="18"/>
      <c r="X817" s="46"/>
      <c r="Y817" s="9"/>
      <c r="Z817" s="46"/>
      <c r="AA817" s="7"/>
      <c r="AB817" s="46"/>
      <c r="AC817" s="47"/>
      <c r="AD817" s="7"/>
      <c r="AE817" s="47"/>
      <c r="AF817" s="18"/>
      <c r="AG817" s="26"/>
      <c r="AH817" s="34"/>
      <c r="AI817" s="34"/>
      <c r="AJ817" s="18"/>
      <c r="AK817" s="48"/>
      <c r="AL817" s="26"/>
      <c r="AM817" s="26"/>
    </row>
    <row r="818">
      <c r="A818" s="51"/>
      <c r="B818" s="51"/>
      <c r="C818" s="52"/>
      <c r="D818" s="51"/>
      <c r="E818" s="53"/>
      <c r="F818" s="54"/>
      <c r="G818" s="51"/>
      <c r="H818" s="51"/>
      <c r="I818" s="55"/>
      <c r="J818" s="56"/>
      <c r="K818" s="46"/>
      <c r="L818" s="46"/>
      <c r="M818" s="47"/>
      <c r="N818" s="46"/>
      <c r="O818" s="57"/>
      <c r="P818" s="46"/>
      <c r="Q818" s="46"/>
      <c r="R818" s="57"/>
      <c r="S818" s="7"/>
      <c r="T818" s="54"/>
      <c r="U818" s="58"/>
      <c r="V818" s="47"/>
      <c r="W818" s="18"/>
      <c r="X818" s="46"/>
      <c r="Y818" s="9"/>
      <c r="Z818" s="46"/>
      <c r="AA818" s="7"/>
      <c r="AB818" s="46"/>
      <c r="AC818" s="47"/>
      <c r="AD818" s="7"/>
      <c r="AE818" s="47"/>
      <c r="AF818" s="18"/>
      <c r="AG818" s="26"/>
      <c r="AH818" s="34"/>
      <c r="AI818" s="34"/>
      <c r="AJ818" s="18"/>
      <c r="AK818" s="48"/>
      <c r="AL818" s="26"/>
      <c r="AM818" s="26"/>
    </row>
    <row r="819">
      <c r="A819" s="51"/>
      <c r="B819" s="51"/>
      <c r="C819" s="52"/>
      <c r="D819" s="51"/>
      <c r="E819" s="53"/>
      <c r="F819" s="54"/>
      <c r="G819" s="51"/>
      <c r="H819" s="51"/>
      <c r="I819" s="55"/>
      <c r="J819" s="56"/>
      <c r="K819" s="46"/>
      <c r="L819" s="46"/>
      <c r="M819" s="47"/>
      <c r="N819" s="46"/>
      <c r="O819" s="57"/>
      <c r="P819" s="46"/>
      <c r="Q819" s="46"/>
      <c r="R819" s="57"/>
      <c r="S819" s="7"/>
      <c r="T819" s="54"/>
      <c r="U819" s="58"/>
      <c r="V819" s="47"/>
      <c r="W819" s="18"/>
      <c r="X819" s="46"/>
      <c r="Y819" s="9"/>
      <c r="Z819" s="46"/>
      <c r="AA819" s="7"/>
      <c r="AB819" s="46"/>
      <c r="AC819" s="47"/>
      <c r="AD819" s="7"/>
      <c r="AE819" s="47"/>
      <c r="AF819" s="18"/>
      <c r="AG819" s="26"/>
      <c r="AH819" s="34"/>
      <c r="AI819" s="34"/>
      <c r="AJ819" s="18"/>
      <c r="AK819" s="48"/>
      <c r="AL819" s="26"/>
      <c r="AM819" s="26"/>
    </row>
    <row r="820">
      <c r="A820" s="51"/>
      <c r="B820" s="51"/>
      <c r="C820" s="52"/>
      <c r="D820" s="51"/>
      <c r="E820" s="53"/>
      <c r="F820" s="54"/>
      <c r="G820" s="51"/>
      <c r="H820" s="51"/>
      <c r="I820" s="55"/>
      <c r="J820" s="56"/>
      <c r="K820" s="46"/>
      <c r="L820" s="46"/>
      <c r="M820" s="47"/>
      <c r="N820" s="46"/>
      <c r="O820" s="57"/>
      <c r="P820" s="46"/>
      <c r="Q820" s="46"/>
      <c r="R820" s="57"/>
      <c r="S820" s="7"/>
      <c r="T820" s="54"/>
      <c r="U820" s="58"/>
      <c r="V820" s="47"/>
      <c r="W820" s="18"/>
      <c r="X820" s="46"/>
      <c r="Y820" s="9"/>
      <c r="Z820" s="46"/>
      <c r="AA820" s="7"/>
      <c r="AB820" s="46"/>
      <c r="AC820" s="47"/>
      <c r="AD820" s="7"/>
      <c r="AE820" s="47"/>
      <c r="AF820" s="18"/>
      <c r="AG820" s="26"/>
      <c r="AH820" s="34"/>
      <c r="AI820" s="34"/>
      <c r="AJ820" s="18"/>
      <c r="AK820" s="48"/>
      <c r="AL820" s="26"/>
      <c r="AM820" s="26"/>
    </row>
    <row r="821">
      <c r="A821" s="51"/>
      <c r="B821" s="51"/>
      <c r="C821" s="52"/>
      <c r="D821" s="51"/>
      <c r="E821" s="53"/>
      <c r="F821" s="54"/>
      <c r="G821" s="51"/>
      <c r="H821" s="51"/>
      <c r="I821" s="55"/>
      <c r="J821" s="56"/>
      <c r="K821" s="46"/>
      <c r="L821" s="46"/>
      <c r="M821" s="47"/>
      <c r="N821" s="46"/>
      <c r="O821" s="57"/>
      <c r="P821" s="46"/>
      <c r="Q821" s="46"/>
      <c r="R821" s="57"/>
      <c r="S821" s="7"/>
      <c r="T821" s="54"/>
      <c r="U821" s="58"/>
      <c r="V821" s="47"/>
      <c r="W821" s="18"/>
      <c r="X821" s="46"/>
      <c r="Y821" s="9"/>
      <c r="Z821" s="46"/>
      <c r="AA821" s="7"/>
      <c r="AB821" s="46"/>
      <c r="AC821" s="47"/>
      <c r="AD821" s="7"/>
      <c r="AE821" s="47"/>
      <c r="AF821" s="18"/>
      <c r="AG821" s="26"/>
      <c r="AH821" s="34"/>
      <c r="AI821" s="34"/>
      <c r="AJ821" s="18"/>
      <c r="AK821" s="48"/>
      <c r="AL821" s="26"/>
      <c r="AM821" s="26"/>
    </row>
    <row r="822">
      <c r="A822" s="51"/>
      <c r="B822" s="51"/>
      <c r="C822" s="52"/>
      <c r="D822" s="51"/>
      <c r="E822" s="53"/>
      <c r="F822" s="54"/>
      <c r="G822" s="51"/>
      <c r="H822" s="51"/>
      <c r="I822" s="55"/>
      <c r="J822" s="56"/>
      <c r="K822" s="46"/>
      <c r="L822" s="46"/>
      <c r="M822" s="47"/>
      <c r="N822" s="46"/>
      <c r="O822" s="57"/>
      <c r="P822" s="46"/>
      <c r="Q822" s="46"/>
      <c r="R822" s="57"/>
      <c r="S822" s="7"/>
      <c r="T822" s="54"/>
      <c r="U822" s="58"/>
      <c r="V822" s="47"/>
      <c r="W822" s="18"/>
      <c r="X822" s="46"/>
      <c r="Y822" s="9"/>
      <c r="Z822" s="46"/>
      <c r="AA822" s="7"/>
      <c r="AB822" s="46"/>
      <c r="AC822" s="47"/>
      <c r="AD822" s="7"/>
      <c r="AE822" s="47"/>
      <c r="AF822" s="18"/>
      <c r="AG822" s="26"/>
      <c r="AH822" s="34"/>
      <c r="AI822" s="34"/>
      <c r="AJ822" s="18"/>
      <c r="AK822" s="48"/>
      <c r="AL822" s="26"/>
      <c r="AM822" s="26"/>
    </row>
    <row r="823">
      <c r="A823" s="51"/>
      <c r="B823" s="51"/>
      <c r="C823" s="52"/>
      <c r="D823" s="51"/>
      <c r="E823" s="53"/>
      <c r="F823" s="54"/>
      <c r="G823" s="51"/>
      <c r="H823" s="51"/>
      <c r="I823" s="55"/>
      <c r="J823" s="56"/>
      <c r="K823" s="46"/>
      <c r="L823" s="46"/>
      <c r="M823" s="47"/>
      <c r="N823" s="46"/>
      <c r="O823" s="57"/>
      <c r="P823" s="46"/>
      <c r="Q823" s="46"/>
      <c r="R823" s="57"/>
      <c r="S823" s="7"/>
      <c r="T823" s="54"/>
      <c r="U823" s="58"/>
      <c r="V823" s="47"/>
      <c r="W823" s="18"/>
      <c r="X823" s="46"/>
      <c r="Y823" s="9"/>
      <c r="Z823" s="46"/>
      <c r="AA823" s="7"/>
      <c r="AB823" s="46"/>
      <c r="AC823" s="47"/>
      <c r="AD823" s="7"/>
      <c r="AE823" s="47"/>
      <c r="AF823" s="18"/>
      <c r="AG823" s="26"/>
      <c r="AH823" s="34"/>
      <c r="AI823" s="34"/>
      <c r="AJ823" s="18"/>
      <c r="AK823" s="48"/>
      <c r="AL823" s="26"/>
      <c r="AM823" s="26"/>
    </row>
    <row r="824">
      <c r="A824" s="51"/>
      <c r="B824" s="51"/>
      <c r="C824" s="52"/>
      <c r="D824" s="51"/>
      <c r="E824" s="53"/>
      <c r="F824" s="54"/>
      <c r="G824" s="51"/>
      <c r="H824" s="51"/>
      <c r="I824" s="55"/>
      <c r="J824" s="56"/>
      <c r="K824" s="46"/>
      <c r="L824" s="46"/>
      <c r="M824" s="47"/>
      <c r="N824" s="46"/>
      <c r="O824" s="57"/>
      <c r="P824" s="46"/>
      <c r="Q824" s="46"/>
      <c r="R824" s="57"/>
      <c r="S824" s="7"/>
      <c r="T824" s="54"/>
      <c r="U824" s="58"/>
      <c r="V824" s="47"/>
      <c r="W824" s="18"/>
      <c r="X824" s="46"/>
      <c r="Y824" s="9"/>
      <c r="Z824" s="46"/>
      <c r="AA824" s="7"/>
      <c r="AB824" s="46"/>
      <c r="AC824" s="47"/>
      <c r="AD824" s="7"/>
      <c r="AE824" s="47"/>
      <c r="AF824" s="18"/>
      <c r="AG824" s="26"/>
      <c r="AH824" s="34"/>
      <c r="AI824" s="34"/>
      <c r="AJ824" s="18"/>
      <c r="AK824" s="48"/>
      <c r="AL824" s="26"/>
      <c r="AM824" s="26"/>
    </row>
    <row r="825">
      <c r="A825" s="51"/>
      <c r="B825" s="51"/>
      <c r="C825" s="52"/>
      <c r="D825" s="51"/>
      <c r="E825" s="53"/>
      <c r="F825" s="54"/>
      <c r="G825" s="51"/>
      <c r="H825" s="51"/>
      <c r="I825" s="55"/>
      <c r="J825" s="56"/>
      <c r="K825" s="46"/>
      <c r="L825" s="46"/>
      <c r="M825" s="47"/>
      <c r="N825" s="46"/>
      <c r="O825" s="57"/>
      <c r="P825" s="46"/>
      <c r="Q825" s="46"/>
      <c r="R825" s="57"/>
      <c r="S825" s="7"/>
      <c r="T825" s="54"/>
      <c r="U825" s="58"/>
      <c r="V825" s="47"/>
      <c r="W825" s="18"/>
      <c r="X825" s="46"/>
      <c r="Y825" s="9"/>
      <c r="Z825" s="46"/>
      <c r="AA825" s="7"/>
      <c r="AB825" s="46"/>
      <c r="AC825" s="47"/>
      <c r="AD825" s="7"/>
      <c r="AE825" s="47"/>
      <c r="AF825" s="18"/>
      <c r="AG825" s="26"/>
      <c r="AH825" s="34"/>
      <c r="AI825" s="34"/>
      <c r="AJ825" s="18"/>
      <c r="AK825" s="48"/>
      <c r="AL825" s="26"/>
      <c r="AM825" s="26"/>
    </row>
    <row r="826">
      <c r="A826" s="51"/>
      <c r="B826" s="51"/>
      <c r="C826" s="52"/>
      <c r="D826" s="51"/>
      <c r="E826" s="53"/>
      <c r="F826" s="54"/>
      <c r="G826" s="51"/>
      <c r="H826" s="51"/>
      <c r="I826" s="55"/>
      <c r="J826" s="56"/>
      <c r="K826" s="46"/>
      <c r="L826" s="46"/>
      <c r="M826" s="47"/>
      <c r="N826" s="46"/>
      <c r="O826" s="57"/>
      <c r="P826" s="46"/>
      <c r="Q826" s="46"/>
      <c r="R826" s="57"/>
      <c r="S826" s="7"/>
      <c r="T826" s="54"/>
      <c r="U826" s="58"/>
      <c r="V826" s="47"/>
      <c r="W826" s="18"/>
      <c r="X826" s="46"/>
      <c r="Y826" s="9"/>
      <c r="Z826" s="46"/>
      <c r="AA826" s="7"/>
      <c r="AB826" s="46"/>
      <c r="AC826" s="47"/>
      <c r="AD826" s="7"/>
      <c r="AE826" s="47"/>
      <c r="AF826" s="18"/>
      <c r="AG826" s="26"/>
      <c r="AH826" s="34"/>
      <c r="AI826" s="34"/>
      <c r="AJ826" s="18"/>
      <c r="AK826" s="48"/>
      <c r="AL826" s="26"/>
      <c r="AM826" s="26"/>
    </row>
    <row r="827">
      <c r="A827" s="51"/>
      <c r="B827" s="51"/>
      <c r="C827" s="52"/>
      <c r="D827" s="51"/>
      <c r="E827" s="53"/>
      <c r="F827" s="54"/>
      <c r="G827" s="51"/>
      <c r="H827" s="51"/>
      <c r="I827" s="55"/>
      <c r="J827" s="56"/>
      <c r="K827" s="46"/>
      <c r="L827" s="46"/>
      <c r="M827" s="47"/>
      <c r="N827" s="46"/>
      <c r="O827" s="57"/>
      <c r="P827" s="46"/>
      <c r="Q827" s="46"/>
      <c r="R827" s="57"/>
      <c r="S827" s="7"/>
      <c r="T827" s="54"/>
      <c r="U827" s="58"/>
      <c r="V827" s="47"/>
      <c r="W827" s="18"/>
      <c r="X827" s="46"/>
      <c r="Y827" s="9"/>
      <c r="Z827" s="46"/>
      <c r="AA827" s="7"/>
      <c r="AB827" s="46"/>
      <c r="AC827" s="47"/>
      <c r="AD827" s="7"/>
      <c r="AE827" s="47"/>
      <c r="AF827" s="18"/>
      <c r="AG827" s="26"/>
      <c r="AH827" s="34"/>
      <c r="AI827" s="34"/>
      <c r="AJ827" s="18"/>
      <c r="AK827" s="48"/>
      <c r="AL827" s="26"/>
      <c r="AM827" s="26"/>
    </row>
    <row r="828">
      <c r="A828" s="51"/>
      <c r="B828" s="51"/>
      <c r="C828" s="52"/>
      <c r="D828" s="51"/>
      <c r="E828" s="53"/>
      <c r="F828" s="54"/>
      <c r="G828" s="51"/>
      <c r="H828" s="51"/>
      <c r="I828" s="55"/>
      <c r="J828" s="56"/>
      <c r="K828" s="46"/>
      <c r="L828" s="46"/>
      <c r="M828" s="47"/>
      <c r="N828" s="46"/>
      <c r="O828" s="57"/>
      <c r="P828" s="46"/>
      <c r="Q828" s="46"/>
      <c r="R828" s="57"/>
      <c r="S828" s="7"/>
      <c r="T828" s="54"/>
      <c r="U828" s="58"/>
      <c r="V828" s="47"/>
      <c r="W828" s="18"/>
      <c r="X828" s="46"/>
      <c r="Y828" s="9"/>
      <c r="Z828" s="46"/>
      <c r="AA828" s="7"/>
      <c r="AB828" s="46"/>
      <c r="AC828" s="47"/>
      <c r="AD828" s="7"/>
      <c r="AE828" s="47"/>
      <c r="AF828" s="18"/>
      <c r="AG828" s="26"/>
      <c r="AH828" s="34"/>
      <c r="AI828" s="34"/>
      <c r="AJ828" s="18"/>
      <c r="AK828" s="48"/>
      <c r="AL828" s="26"/>
      <c r="AM828" s="26"/>
    </row>
    <row r="829">
      <c r="A829" s="51"/>
      <c r="B829" s="51"/>
      <c r="C829" s="52"/>
      <c r="D829" s="51"/>
      <c r="E829" s="53"/>
      <c r="F829" s="54"/>
      <c r="G829" s="51"/>
      <c r="H829" s="51"/>
      <c r="I829" s="55"/>
      <c r="J829" s="56"/>
      <c r="K829" s="46"/>
      <c r="L829" s="46"/>
      <c r="M829" s="47"/>
      <c r="N829" s="46"/>
      <c r="O829" s="57"/>
      <c r="P829" s="46"/>
      <c r="Q829" s="46"/>
      <c r="R829" s="57"/>
      <c r="S829" s="7"/>
      <c r="T829" s="54"/>
      <c r="U829" s="58"/>
      <c r="V829" s="47"/>
      <c r="W829" s="18"/>
      <c r="X829" s="46"/>
      <c r="Y829" s="9"/>
      <c r="Z829" s="46"/>
      <c r="AA829" s="7"/>
      <c r="AB829" s="46"/>
      <c r="AC829" s="47"/>
      <c r="AD829" s="7"/>
      <c r="AE829" s="47"/>
      <c r="AF829" s="18"/>
      <c r="AG829" s="26"/>
      <c r="AH829" s="34"/>
      <c r="AI829" s="34"/>
      <c r="AJ829" s="18"/>
      <c r="AK829" s="48"/>
      <c r="AL829" s="26"/>
      <c r="AM829" s="26"/>
    </row>
    <row r="830">
      <c r="A830" s="51"/>
      <c r="B830" s="51"/>
      <c r="C830" s="52"/>
      <c r="D830" s="51"/>
      <c r="E830" s="53"/>
      <c r="F830" s="54"/>
      <c r="G830" s="51"/>
      <c r="H830" s="51"/>
      <c r="I830" s="55"/>
      <c r="J830" s="56"/>
      <c r="K830" s="46"/>
      <c r="L830" s="46"/>
      <c r="M830" s="47"/>
      <c r="N830" s="46"/>
      <c r="O830" s="57"/>
      <c r="P830" s="46"/>
      <c r="Q830" s="46"/>
      <c r="R830" s="57"/>
      <c r="S830" s="7"/>
      <c r="T830" s="54"/>
      <c r="U830" s="58"/>
      <c r="V830" s="47"/>
      <c r="W830" s="18"/>
      <c r="X830" s="46"/>
      <c r="Y830" s="9"/>
      <c r="Z830" s="46"/>
      <c r="AA830" s="7"/>
      <c r="AB830" s="46"/>
      <c r="AC830" s="47"/>
      <c r="AD830" s="7"/>
      <c r="AE830" s="47"/>
      <c r="AF830" s="18"/>
      <c r="AG830" s="26"/>
      <c r="AH830" s="34"/>
      <c r="AI830" s="34"/>
      <c r="AJ830" s="18"/>
      <c r="AK830" s="48"/>
      <c r="AL830" s="26"/>
      <c r="AM830" s="26"/>
    </row>
    <row r="831">
      <c r="A831" s="51"/>
      <c r="B831" s="51"/>
      <c r="C831" s="52"/>
      <c r="D831" s="51"/>
      <c r="E831" s="53"/>
      <c r="F831" s="54"/>
      <c r="G831" s="51"/>
      <c r="H831" s="51"/>
      <c r="I831" s="55"/>
      <c r="J831" s="56"/>
      <c r="K831" s="46"/>
      <c r="L831" s="46"/>
      <c r="M831" s="47"/>
      <c r="N831" s="46"/>
      <c r="O831" s="57"/>
      <c r="P831" s="46"/>
      <c r="Q831" s="46"/>
      <c r="R831" s="57"/>
      <c r="S831" s="7"/>
      <c r="T831" s="54"/>
      <c r="U831" s="58"/>
      <c r="V831" s="47"/>
      <c r="W831" s="18"/>
      <c r="X831" s="46"/>
      <c r="Y831" s="9"/>
      <c r="Z831" s="46"/>
      <c r="AA831" s="7"/>
      <c r="AB831" s="46"/>
      <c r="AC831" s="47"/>
      <c r="AD831" s="7"/>
      <c r="AE831" s="47"/>
      <c r="AF831" s="18"/>
      <c r="AG831" s="26"/>
      <c r="AH831" s="34"/>
      <c r="AI831" s="34"/>
      <c r="AJ831" s="18"/>
      <c r="AK831" s="48"/>
      <c r="AL831" s="26"/>
      <c r="AM831" s="26"/>
    </row>
    <row r="832">
      <c r="A832" s="51"/>
      <c r="B832" s="51"/>
      <c r="C832" s="52"/>
      <c r="D832" s="51"/>
      <c r="E832" s="53"/>
      <c r="F832" s="54"/>
      <c r="G832" s="51"/>
      <c r="H832" s="51"/>
      <c r="I832" s="55"/>
      <c r="J832" s="56"/>
      <c r="K832" s="46"/>
      <c r="L832" s="46"/>
      <c r="M832" s="47"/>
      <c r="N832" s="46"/>
      <c r="O832" s="57"/>
      <c r="P832" s="46"/>
      <c r="Q832" s="46"/>
      <c r="R832" s="57"/>
      <c r="S832" s="7"/>
      <c r="T832" s="54"/>
      <c r="U832" s="58"/>
      <c r="V832" s="47"/>
      <c r="W832" s="18"/>
      <c r="X832" s="46"/>
      <c r="Y832" s="9"/>
      <c r="Z832" s="46"/>
      <c r="AA832" s="7"/>
      <c r="AB832" s="46"/>
      <c r="AC832" s="47"/>
      <c r="AD832" s="7"/>
      <c r="AE832" s="47"/>
      <c r="AF832" s="18"/>
      <c r="AG832" s="26"/>
      <c r="AH832" s="34"/>
      <c r="AI832" s="34"/>
      <c r="AJ832" s="18"/>
      <c r="AK832" s="48"/>
      <c r="AL832" s="26"/>
      <c r="AM832" s="26"/>
    </row>
    <row r="833">
      <c r="A833" s="51"/>
      <c r="B833" s="51"/>
      <c r="C833" s="52"/>
      <c r="D833" s="51"/>
      <c r="E833" s="53"/>
      <c r="F833" s="54"/>
      <c r="G833" s="51"/>
      <c r="H833" s="51"/>
      <c r="I833" s="55"/>
      <c r="J833" s="56"/>
      <c r="K833" s="46"/>
      <c r="L833" s="46"/>
      <c r="M833" s="47"/>
      <c r="N833" s="46"/>
      <c r="O833" s="57"/>
      <c r="P833" s="46"/>
      <c r="Q833" s="46"/>
      <c r="R833" s="57"/>
      <c r="S833" s="7"/>
      <c r="T833" s="54"/>
      <c r="U833" s="58"/>
      <c r="V833" s="47"/>
      <c r="W833" s="18"/>
      <c r="X833" s="46"/>
      <c r="Y833" s="9"/>
      <c r="Z833" s="46"/>
      <c r="AA833" s="7"/>
      <c r="AB833" s="46"/>
      <c r="AC833" s="47"/>
      <c r="AD833" s="7"/>
      <c r="AE833" s="47"/>
      <c r="AF833" s="18"/>
      <c r="AG833" s="26"/>
      <c r="AH833" s="34"/>
      <c r="AI833" s="34"/>
      <c r="AJ833" s="18"/>
      <c r="AK833" s="48"/>
      <c r="AL833" s="26"/>
      <c r="AM833" s="26"/>
    </row>
    <row r="834">
      <c r="A834" s="51"/>
      <c r="B834" s="51"/>
      <c r="C834" s="52"/>
      <c r="D834" s="51"/>
      <c r="E834" s="53"/>
      <c r="F834" s="54"/>
      <c r="G834" s="51"/>
      <c r="H834" s="51"/>
      <c r="I834" s="55"/>
      <c r="J834" s="56"/>
      <c r="K834" s="46"/>
      <c r="L834" s="46"/>
      <c r="M834" s="47"/>
      <c r="N834" s="46"/>
      <c r="O834" s="57"/>
      <c r="P834" s="46"/>
      <c r="Q834" s="46"/>
      <c r="R834" s="57"/>
      <c r="S834" s="7"/>
      <c r="T834" s="54"/>
      <c r="U834" s="58"/>
      <c r="V834" s="47"/>
      <c r="W834" s="18"/>
      <c r="X834" s="46"/>
      <c r="Y834" s="9"/>
      <c r="Z834" s="46"/>
      <c r="AA834" s="7"/>
      <c r="AB834" s="46"/>
      <c r="AC834" s="47"/>
      <c r="AD834" s="7"/>
      <c r="AE834" s="47"/>
      <c r="AF834" s="18"/>
      <c r="AG834" s="26"/>
      <c r="AH834" s="34"/>
      <c r="AI834" s="34"/>
      <c r="AJ834" s="18"/>
      <c r="AK834" s="48"/>
      <c r="AL834" s="26"/>
      <c r="AM834" s="26"/>
    </row>
    <row r="835">
      <c r="A835" s="51"/>
      <c r="B835" s="51"/>
      <c r="C835" s="52"/>
      <c r="D835" s="51"/>
      <c r="E835" s="53"/>
      <c r="F835" s="54"/>
      <c r="G835" s="51"/>
      <c r="H835" s="51"/>
      <c r="I835" s="55"/>
      <c r="J835" s="56"/>
      <c r="K835" s="46"/>
      <c r="L835" s="46"/>
      <c r="M835" s="47"/>
      <c r="N835" s="46"/>
      <c r="O835" s="57"/>
      <c r="P835" s="46"/>
      <c r="Q835" s="46"/>
      <c r="R835" s="57"/>
      <c r="S835" s="7"/>
      <c r="T835" s="54"/>
      <c r="U835" s="58"/>
      <c r="V835" s="47"/>
      <c r="W835" s="18"/>
      <c r="X835" s="46"/>
      <c r="Y835" s="9"/>
      <c r="Z835" s="46"/>
      <c r="AA835" s="7"/>
      <c r="AB835" s="46"/>
      <c r="AC835" s="47"/>
      <c r="AD835" s="7"/>
      <c r="AE835" s="47"/>
      <c r="AF835" s="18"/>
      <c r="AG835" s="26"/>
      <c r="AH835" s="34"/>
      <c r="AI835" s="34"/>
      <c r="AJ835" s="18"/>
      <c r="AK835" s="48"/>
      <c r="AL835" s="26"/>
      <c r="AM835" s="26"/>
    </row>
    <row r="836">
      <c r="A836" s="51"/>
      <c r="B836" s="51"/>
      <c r="C836" s="52"/>
      <c r="D836" s="51"/>
      <c r="E836" s="53"/>
      <c r="F836" s="54"/>
      <c r="G836" s="51"/>
      <c r="H836" s="51"/>
      <c r="I836" s="55"/>
      <c r="J836" s="56"/>
      <c r="K836" s="46"/>
      <c r="L836" s="46"/>
      <c r="M836" s="47"/>
      <c r="N836" s="46"/>
      <c r="O836" s="57"/>
      <c r="P836" s="46"/>
      <c r="Q836" s="46"/>
      <c r="R836" s="57"/>
      <c r="S836" s="7"/>
      <c r="T836" s="54"/>
      <c r="U836" s="58"/>
      <c r="V836" s="47"/>
      <c r="W836" s="18"/>
      <c r="X836" s="46"/>
      <c r="Y836" s="9"/>
      <c r="Z836" s="46"/>
      <c r="AA836" s="7"/>
      <c r="AB836" s="46"/>
      <c r="AC836" s="47"/>
      <c r="AD836" s="7"/>
      <c r="AE836" s="47"/>
      <c r="AF836" s="18"/>
      <c r="AG836" s="26"/>
      <c r="AH836" s="34"/>
      <c r="AI836" s="34"/>
      <c r="AJ836" s="18"/>
      <c r="AK836" s="48"/>
      <c r="AL836" s="26"/>
      <c r="AM836" s="26"/>
    </row>
    <row r="837">
      <c r="A837" s="51"/>
      <c r="B837" s="51"/>
      <c r="C837" s="52"/>
      <c r="D837" s="51"/>
      <c r="E837" s="53"/>
      <c r="F837" s="54"/>
      <c r="G837" s="51"/>
      <c r="H837" s="51"/>
      <c r="I837" s="55"/>
      <c r="J837" s="56"/>
      <c r="K837" s="46"/>
      <c r="L837" s="46"/>
      <c r="M837" s="47"/>
      <c r="N837" s="46"/>
      <c r="O837" s="57"/>
      <c r="P837" s="46"/>
      <c r="Q837" s="46"/>
      <c r="R837" s="57"/>
      <c r="S837" s="7"/>
      <c r="T837" s="54"/>
      <c r="U837" s="58"/>
      <c r="V837" s="47"/>
      <c r="W837" s="18"/>
      <c r="X837" s="46"/>
      <c r="Y837" s="9"/>
      <c r="Z837" s="46"/>
      <c r="AA837" s="7"/>
      <c r="AB837" s="46"/>
      <c r="AC837" s="47"/>
      <c r="AD837" s="7"/>
      <c r="AE837" s="47"/>
      <c r="AF837" s="18"/>
      <c r="AG837" s="26"/>
      <c r="AH837" s="34"/>
      <c r="AI837" s="34"/>
      <c r="AJ837" s="18"/>
      <c r="AK837" s="48"/>
      <c r="AL837" s="26"/>
      <c r="AM837" s="26"/>
    </row>
    <row r="838">
      <c r="A838" s="51"/>
      <c r="B838" s="51"/>
      <c r="C838" s="52"/>
      <c r="D838" s="51"/>
      <c r="E838" s="53"/>
      <c r="F838" s="54"/>
      <c r="G838" s="51"/>
      <c r="H838" s="51"/>
      <c r="I838" s="55"/>
      <c r="J838" s="56"/>
      <c r="K838" s="46"/>
      <c r="L838" s="46"/>
      <c r="M838" s="47"/>
      <c r="N838" s="46"/>
      <c r="O838" s="57"/>
      <c r="P838" s="46"/>
      <c r="Q838" s="46"/>
      <c r="R838" s="57"/>
      <c r="S838" s="7"/>
      <c r="T838" s="54"/>
      <c r="U838" s="58"/>
      <c r="V838" s="47"/>
      <c r="W838" s="18"/>
      <c r="X838" s="46"/>
      <c r="Y838" s="9"/>
      <c r="Z838" s="46"/>
      <c r="AA838" s="7"/>
      <c r="AB838" s="46"/>
      <c r="AC838" s="47"/>
      <c r="AD838" s="7"/>
      <c r="AE838" s="47"/>
      <c r="AF838" s="18"/>
      <c r="AG838" s="26"/>
      <c r="AH838" s="34"/>
      <c r="AI838" s="34"/>
      <c r="AJ838" s="18"/>
      <c r="AK838" s="48"/>
      <c r="AL838" s="26"/>
      <c r="AM838" s="26"/>
    </row>
    <row r="839">
      <c r="A839" s="51"/>
      <c r="B839" s="51"/>
      <c r="C839" s="52"/>
      <c r="D839" s="51"/>
      <c r="E839" s="53"/>
      <c r="F839" s="54"/>
      <c r="G839" s="51"/>
      <c r="H839" s="51"/>
      <c r="I839" s="55"/>
      <c r="J839" s="56"/>
      <c r="K839" s="46"/>
      <c r="L839" s="46"/>
      <c r="M839" s="47"/>
      <c r="N839" s="46"/>
      <c r="O839" s="57"/>
      <c r="P839" s="46"/>
      <c r="Q839" s="46"/>
      <c r="R839" s="57"/>
      <c r="S839" s="7"/>
      <c r="T839" s="54"/>
      <c r="U839" s="58"/>
      <c r="V839" s="47"/>
      <c r="W839" s="18"/>
      <c r="X839" s="46"/>
      <c r="Y839" s="9"/>
      <c r="Z839" s="46"/>
      <c r="AA839" s="7"/>
      <c r="AB839" s="46"/>
      <c r="AC839" s="47"/>
      <c r="AD839" s="7"/>
      <c r="AE839" s="47"/>
      <c r="AF839" s="18"/>
      <c r="AG839" s="26"/>
      <c r="AH839" s="34"/>
      <c r="AI839" s="34"/>
      <c r="AJ839" s="18"/>
      <c r="AK839" s="48"/>
      <c r="AL839" s="26"/>
      <c r="AM839" s="26"/>
    </row>
    <row r="840">
      <c r="A840" s="51"/>
      <c r="B840" s="51"/>
      <c r="C840" s="52"/>
      <c r="D840" s="51"/>
      <c r="E840" s="53"/>
      <c r="F840" s="54"/>
      <c r="G840" s="51"/>
      <c r="H840" s="51"/>
      <c r="I840" s="55"/>
      <c r="J840" s="56"/>
      <c r="K840" s="46"/>
      <c r="L840" s="46"/>
      <c r="M840" s="47"/>
      <c r="N840" s="46"/>
      <c r="O840" s="57"/>
      <c r="P840" s="46"/>
      <c r="Q840" s="46"/>
      <c r="R840" s="57"/>
      <c r="S840" s="7"/>
      <c r="T840" s="54"/>
      <c r="U840" s="58"/>
      <c r="V840" s="47"/>
      <c r="W840" s="18"/>
      <c r="X840" s="46"/>
      <c r="Y840" s="9"/>
      <c r="Z840" s="46"/>
      <c r="AA840" s="7"/>
      <c r="AB840" s="46"/>
      <c r="AC840" s="47"/>
      <c r="AD840" s="7"/>
      <c r="AE840" s="47"/>
      <c r="AF840" s="18"/>
      <c r="AG840" s="26"/>
      <c r="AH840" s="34"/>
      <c r="AI840" s="34"/>
      <c r="AJ840" s="18"/>
      <c r="AK840" s="48"/>
      <c r="AL840" s="26"/>
      <c r="AM840" s="26"/>
    </row>
    <row r="841">
      <c r="A841" s="51"/>
      <c r="B841" s="51"/>
      <c r="C841" s="52"/>
      <c r="D841" s="51"/>
      <c r="E841" s="53"/>
      <c r="F841" s="54"/>
      <c r="G841" s="51"/>
      <c r="H841" s="51"/>
      <c r="I841" s="55"/>
      <c r="J841" s="56"/>
      <c r="K841" s="46"/>
      <c r="L841" s="46"/>
      <c r="M841" s="47"/>
      <c r="N841" s="46"/>
      <c r="O841" s="57"/>
      <c r="P841" s="46"/>
      <c r="Q841" s="46"/>
      <c r="R841" s="57"/>
      <c r="S841" s="7"/>
      <c r="T841" s="54"/>
      <c r="U841" s="58"/>
      <c r="V841" s="47"/>
      <c r="W841" s="18"/>
      <c r="X841" s="46"/>
      <c r="Y841" s="9"/>
      <c r="Z841" s="46"/>
      <c r="AA841" s="7"/>
      <c r="AB841" s="46"/>
      <c r="AC841" s="47"/>
      <c r="AD841" s="7"/>
      <c r="AE841" s="47"/>
      <c r="AF841" s="18"/>
      <c r="AG841" s="26"/>
      <c r="AH841" s="34"/>
      <c r="AI841" s="34"/>
      <c r="AJ841" s="18"/>
      <c r="AK841" s="48"/>
      <c r="AL841" s="26"/>
      <c r="AM841" s="26"/>
    </row>
    <row r="842">
      <c r="A842" s="51"/>
      <c r="B842" s="51"/>
      <c r="C842" s="52"/>
      <c r="D842" s="51"/>
      <c r="E842" s="53"/>
      <c r="F842" s="54"/>
      <c r="G842" s="51"/>
      <c r="H842" s="51"/>
      <c r="I842" s="55"/>
      <c r="J842" s="56"/>
      <c r="K842" s="46"/>
      <c r="L842" s="46"/>
      <c r="M842" s="47"/>
      <c r="N842" s="46"/>
      <c r="O842" s="57"/>
      <c r="P842" s="46"/>
      <c r="Q842" s="46"/>
      <c r="R842" s="57"/>
      <c r="S842" s="7"/>
      <c r="T842" s="54"/>
      <c r="U842" s="58"/>
      <c r="V842" s="47"/>
      <c r="W842" s="18"/>
      <c r="X842" s="46"/>
      <c r="Y842" s="9"/>
      <c r="Z842" s="46"/>
      <c r="AA842" s="7"/>
      <c r="AB842" s="46"/>
      <c r="AC842" s="47"/>
      <c r="AD842" s="7"/>
      <c r="AE842" s="47"/>
      <c r="AF842" s="18"/>
      <c r="AG842" s="26"/>
      <c r="AH842" s="34"/>
      <c r="AI842" s="34"/>
      <c r="AJ842" s="18"/>
      <c r="AK842" s="48"/>
      <c r="AL842" s="26"/>
      <c r="AM842" s="26"/>
    </row>
    <row r="843">
      <c r="A843" s="51"/>
      <c r="B843" s="51"/>
      <c r="C843" s="52"/>
      <c r="D843" s="51"/>
      <c r="E843" s="53"/>
      <c r="F843" s="54"/>
      <c r="G843" s="51"/>
      <c r="H843" s="51"/>
      <c r="I843" s="55"/>
      <c r="J843" s="56"/>
      <c r="K843" s="46"/>
      <c r="L843" s="46"/>
      <c r="M843" s="47"/>
      <c r="N843" s="46"/>
      <c r="O843" s="57"/>
      <c r="P843" s="46"/>
      <c r="Q843" s="46"/>
      <c r="R843" s="57"/>
      <c r="S843" s="7"/>
      <c r="T843" s="54"/>
      <c r="U843" s="58"/>
      <c r="V843" s="47"/>
      <c r="W843" s="18"/>
      <c r="X843" s="46"/>
      <c r="Y843" s="9"/>
      <c r="Z843" s="46"/>
      <c r="AA843" s="7"/>
      <c r="AB843" s="46"/>
      <c r="AC843" s="47"/>
      <c r="AD843" s="7"/>
      <c r="AE843" s="47"/>
      <c r="AF843" s="18"/>
      <c r="AG843" s="26"/>
      <c r="AH843" s="34"/>
      <c r="AI843" s="34"/>
      <c r="AJ843" s="18"/>
      <c r="AK843" s="48"/>
      <c r="AL843" s="26"/>
      <c r="AM843" s="26"/>
    </row>
    <row r="844">
      <c r="A844" s="51"/>
      <c r="B844" s="51"/>
      <c r="C844" s="52"/>
      <c r="D844" s="51"/>
      <c r="E844" s="53"/>
      <c r="F844" s="54"/>
      <c r="G844" s="51"/>
      <c r="H844" s="51"/>
      <c r="I844" s="55"/>
      <c r="J844" s="56"/>
      <c r="K844" s="46"/>
      <c r="L844" s="46"/>
      <c r="M844" s="47"/>
      <c r="N844" s="46"/>
      <c r="O844" s="57"/>
      <c r="P844" s="46"/>
      <c r="Q844" s="46"/>
      <c r="R844" s="57"/>
      <c r="S844" s="7"/>
      <c r="T844" s="54"/>
      <c r="U844" s="58"/>
      <c r="V844" s="47"/>
      <c r="W844" s="18"/>
      <c r="X844" s="46"/>
      <c r="Y844" s="9"/>
      <c r="Z844" s="46"/>
      <c r="AA844" s="7"/>
      <c r="AB844" s="46"/>
      <c r="AC844" s="47"/>
      <c r="AD844" s="7"/>
      <c r="AE844" s="47"/>
      <c r="AF844" s="18"/>
      <c r="AG844" s="26"/>
      <c r="AH844" s="34"/>
      <c r="AI844" s="34"/>
      <c r="AJ844" s="18"/>
      <c r="AK844" s="48"/>
      <c r="AL844" s="26"/>
      <c r="AM844" s="26"/>
    </row>
    <row r="845">
      <c r="A845" s="51"/>
      <c r="B845" s="51"/>
      <c r="C845" s="52"/>
      <c r="D845" s="51"/>
      <c r="E845" s="53"/>
      <c r="F845" s="54"/>
      <c r="G845" s="51"/>
      <c r="H845" s="51"/>
      <c r="I845" s="55"/>
      <c r="J845" s="56"/>
      <c r="K845" s="46"/>
      <c r="L845" s="46"/>
      <c r="M845" s="47"/>
      <c r="N845" s="46"/>
      <c r="O845" s="57"/>
      <c r="P845" s="46"/>
      <c r="Q845" s="46"/>
      <c r="R845" s="57"/>
      <c r="S845" s="7"/>
      <c r="T845" s="54"/>
      <c r="U845" s="58"/>
      <c r="V845" s="47"/>
      <c r="W845" s="18"/>
      <c r="X845" s="46"/>
      <c r="Y845" s="9"/>
      <c r="Z845" s="46"/>
      <c r="AA845" s="7"/>
      <c r="AB845" s="46"/>
      <c r="AC845" s="47"/>
      <c r="AD845" s="7"/>
      <c r="AE845" s="47"/>
      <c r="AF845" s="18"/>
      <c r="AG845" s="26"/>
      <c r="AH845" s="34"/>
      <c r="AI845" s="34"/>
      <c r="AJ845" s="18"/>
      <c r="AK845" s="48"/>
      <c r="AL845" s="26"/>
      <c r="AM845" s="26"/>
    </row>
    <row r="846">
      <c r="A846" s="51"/>
      <c r="B846" s="51"/>
      <c r="C846" s="52"/>
      <c r="D846" s="51"/>
      <c r="E846" s="53"/>
      <c r="F846" s="54"/>
      <c r="G846" s="51"/>
      <c r="H846" s="51"/>
      <c r="I846" s="55"/>
      <c r="J846" s="56"/>
      <c r="K846" s="46"/>
      <c r="L846" s="46"/>
      <c r="M846" s="47"/>
      <c r="N846" s="46"/>
      <c r="O846" s="57"/>
      <c r="P846" s="46"/>
      <c r="Q846" s="46"/>
      <c r="R846" s="57"/>
      <c r="S846" s="7"/>
      <c r="T846" s="54"/>
      <c r="U846" s="58"/>
      <c r="V846" s="47"/>
      <c r="W846" s="18"/>
      <c r="X846" s="46"/>
      <c r="Y846" s="9"/>
      <c r="Z846" s="46"/>
      <c r="AA846" s="7"/>
      <c r="AB846" s="46"/>
      <c r="AC846" s="47"/>
      <c r="AD846" s="7"/>
      <c r="AE846" s="47"/>
      <c r="AF846" s="18"/>
      <c r="AG846" s="26"/>
      <c r="AH846" s="34"/>
      <c r="AI846" s="34"/>
      <c r="AJ846" s="18"/>
      <c r="AK846" s="48"/>
      <c r="AL846" s="26"/>
      <c r="AM846" s="26"/>
    </row>
    <row r="847">
      <c r="A847" s="51"/>
      <c r="B847" s="51"/>
      <c r="C847" s="52"/>
      <c r="D847" s="51"/>
      <c r="E847" s="53"/>
      <c r="F847" s="54"/>
      <c r="G847" s="51"/>
      <c r="H847" s="51"/>
      <c r="I847" s="55"/>
      <c r="J847" s="56"/>
      <c r="K847" s="46"/>
      <c r="L847" s="46"/>
      <c r="M847" s="47"/>
      <c r="N847" s="46"/>
      <c r="O847" s="57"/>
      <c r="P847" s="46"/>
      <c r="Q847" s="46"/>
      <c r="R847" s="57"/>
      <c r="S847" s="7"/>
      <c r="T847" s="54"/>
      <c r="U847" s="58"/>
      <c r="V847" s="47"/>
      <c r="W847" s="18"/>
      <c r="X847" s="46"/>
      <c r="Y847" s="9"/>
      <c r="Z847" s="46"/>
      <c r="AA847" s="7"/>
      <c r="AB847" s="46"/>
      <c r="AC847" s="47"/>
      <c r="AD847" s="7"/>
      <c r="AE847" s="47"/>
      <c r="AF847" s="18"/>
      <c r="AG847" s="26"/>
      <c r="AH847" s="34"/>
      <c r="AI847" s="34"/>
      <c r="AJ847" s="18"/>
      <c r="AK847" s="48"/>
      <c r="AL847" s="26"/>
      <c r="AM847" s="26"/>
    </row>
    <row r="848">
      <c r="A848" s="51"/>
      <c r="B848" s="51"/>
      <c r="C848" s="52"/>
      <c r="D848" s="51"/>
      <c r="E848" s="53"/>
      <c r="F848" s="54"/>
      <c r="G848" s="51"/>
      <c r="H848" s="51"/>
      <c r="I848" s="55"/>
      <c r="J848" s="56"/>
      <c r="K848" s="46"/>
      <c r="L848" s="46"/>
      <c r="M848" s="47"/>
      <c r="N848" s="46"/>
      <c r="O848" s="57"/>
      <c r="P848" s="46"/>
      <c r="Q848" s="46"/>
      <c r="R848" s="57"/>
      <c r="S848" s="7"/>
      <c r="T848" s="54"/>
      <c r="U848" s="58"/>
      <c r="V848" s="47"/>
      <c r="W848" s="18"/>
      <c r="X848" s="46"/>
      <c r="Y848" s="9"/>
      <c r="Z848" s="46"/>
      <c r="AA848" s="7"/>
      <c r="AB848" s="46"/>
      <c r="AC848" s="47"/>
      <c r="AD848" s="7"/>
      <c r="AE848" s="47"/>
      <c r="AF848" s="18"/>
      <c r="AG848" s="26"/>
      <c r="AH848" s="34"/>
      <c r="AI848" s="34"/>
      <c r="AJ848" s="18"/>
      <c r="AK848" s="48"/>
      <c r="AL848" s="26"/>
      <c r="AM848" s="26"/>
    </row>
    <row r="849">
      <c r="A849" s="51"/>
      <c r="B849" s="51"/>
      <c r="C849" s="52"/>
      <c r="D849" s="51"/>
      <c r="E849" s="53"/>
      <c r="F849" s="54"/>
      <c r="G849" s="51"/>
      <c r="H849" s="51"/>
      <c r="I849" s="55"/>
      <c r="J849" s="56"/>
      <c r="K849" s="46"/>
      <c r="L849" s="46"/>
      <c r="M849" s="47"/>
      <c r="N849" s="46"/>
      <c r="O849" s="57"/>
      <c r="P849" s="46"/>
      <c r="Q849" s="46"/>
      <c r="R849" s="57"/>
      <c r="S849" s="7"/>
      <c r="T849" s="54"/>
      <c r="U849" s="58"/>
      <c r="V849" s="47"/>
      <c r="W849" s="18"/>
      <c r="X849" s="46"/>
      <c r="Y849" s="9"/>
      <c r="Z849" s="46"/>
      <c r="AA849" s="7"/>
      <c r="AB849" s="46"/>
      <c r="AC849" s="47"/>
      <c r="AD849" s="7"/>
      <c r="AE849" s="47"/>
      <c r="AF849" s="18"/>
      <c r="AG849" s="26"/>
      <c r="AH849" s="34"/>
      <c r="AI849" s="34"/>
      <c r="AJ849" s="18"/>
      <c r="AK849" s="48"/>
      <c r="AL849" s="26"/>
      <c r="AM849" s="26"/>
    </row>
    <row r="850">
      <c r="A850" s="51"/>
      <c r="B850" s="51"/>
      <c r="C850" s="52"/>
      <c r="D850" s="51"/>
      <c r="E850" s="53"/>
      <c r="F850" s="54"/>
      <c r="G850" s="51"/>
      <c r="H850" s="51"/>
      <c r="I850" s="55"/>
      <c r="J850" s="56"/>
      <c r="K850" s="46"/>
      <c r="L850" s="46"/>
      <c r="M850" s="47"/>
      <c r="N850" s="46"/>
      <c r="O850" s="57"/>
      <c r="P850" s="46"/>
      <c r="Q850" s="46"/>
      <c r="R850" s="57"/>
      <c r="S850" s="7"/>
      <c r="T850" s="54"/>
      <c r="U850" s="58"/>
      <c r="V850" s="47"/>
      <c r="W850" s="18"/>
      <c r="X850" s="46"/>
      <c r="Y850" s="9"/>
      <c r="Z850" s="46"/>
      <c r="AA850" s="7"/>
      <c r="AB850" s="46"/>
      <c r="AC850" s="47"/>
      <c r="AD850" s="7"/>
      <c r="AE850" s="47"/>
      <c r="AF850" s="18"/>
      <c r="AG850" s="26"/>
      <c r="AH850" s="34"/>
      <c r="AI850" s="34"/>
      <c r="AJ850" s="18"/>
      <c r="AK850" s="48"/>
      <c r="AL850" s="26"/>
      <c r="AM850" s="26"/>
    </row>
    <row r="851">
      <c r="A851" s="51"/>
      <c r="B851" s="51"/>
      <c r="C851" s="52"/>
      <c r="D851" s="51"/>
      <c r="E851" s="53"/>
      <c r="F851" s="54"/>
      <c r="G851" s="51"/>
      <c r="H851" s="51"/>
      <c r="I851" s="55"/>
      <c r="J851" s="56"/>
      <c r="K851" s="46"/>
      <c r="L851" s="46"/>
      <c r="M851" s="47"/>
      <c r="N851" s="46"/>
      <c r="O851" s="57"/>
      <c r="P851" s="46"/>
      <c r="Q851" s="46"/>
      <c r="R851" s="57"/>
      <c r="S851" s="7"/>
      <c r="T851" s="54"/>
      <c r="U851" s="58"/>
      <c r="V851" s="47"/>
      <c r="W851" s="18"/>
      <c r="X851" s="46"/>
      <c r="Y851" s="9"/>
      <c r="Z851" s="46"/>
      <c r="AA851" s="7"/>
      <c r="AB851" s="46"/>
      <c r="AC851" s="47"/>
      <c r="AD851" s="7"/>
      <c r="AE851" s="47"/>
      <c r="AF851" s="18"/>
      <c r="AG851" s="26"/>
      <c r="AH851" s="34"/>
      <c r="AI851" s="34"/>
      <c r="AJ851" s="18"/>
      <c r="AK851" s="48"/>
      <c r="AL851" s="26"/>
      <c r="AM851" s="26"/>
    </row>
    <row r="852">
      <c r="A852" s="51"/>
      <c r="B852" s="51"/>
      <c r="C852" s="52"/>
      <c r="D852" s="51"/>
      <c r="E852" s="53"/>
      <c r="F852" s="54"/>
      <c r="G852" s="51"/>
      <c r="H852" s="51"/>
      <c r="I852" s="55"/>
      <c r="J852" s="56"/>
      <c r="K852" s="46"/>
      <c r="L852" s="46"/>
      <c r="M852" s="47"/>
      <c r="N852" s="46"/>
      <c r="O852" s="57"/>
      <c r="P852" s="46"/>
      <c r="Q852" s="46"/>
      <c r="R852" s="57"/>
      <c r="S852" s="7"/>
      <c r="T852" s="54"/>
      <c r="U852" s="58"/>
      <c r="V852" s="47"/>
      <c r="W852" s="18"/>
      <c r="X852" s="46"/>
      <c r="Y852" s="9"/>
      <c r="Z852" s="46"/>
      <c r="AA852" s="7"/>
      <c r="AB852" s="46"/>
      <c r="AC852" s="47"/>
      <c r="AD852" s="7"/>
      <c r="AE852" s="47"/>
      <c r="AF852" s="18"/>
      <c r="AG852" s="26"/>
      <c r="AH852" s="34"/>
      <c r="AI852" s="34"/>
      <c r="AJ852" s="18"/>
      <c r="AK852" s="48"/>
      <c r="AL852" s="26"/>
      <c r="AM852" s="26"/>
    </row>
    <row r="853">
      <c r="A853" s="51"/>
      <c r="B853" s="51"/>
      <c r="C853" s="52"/>
      <c r="D853" s="51"/>
      <c r="E853" s="53"/>
      <c r="F853" s="54"/>
      <c r="G853" s="51"/>
      <c r="H853" s="51"/>
      <c r="I853" s="55"/>
      <c r="J853" s="56"/>
      <c r="K853" s="46"/>
      <c r="L853" s="46"/>
      <c r="M853" s="47"/>
      <c r="N853" s="46"/>
      <c r="O853" s="57"/>
      <c r="P853" s="46"/>
      <c r="Q853" s="46"/>
      <c r="R853" s="57"/>
      <c r="S853" s="7"/>
      <c r="T853" s="54"/>
      <c r="U853" s="58"/>
      <c r="V853" s="47"/>
      <c r="W853" s="18"/>
      <c r="X853" s="46"/>
      <c r="Y853" s="9"/>
      <c r="Z853" s="46"/>
      <c r="AA853" s="7"/>
      <c r="AB853" s="46"/>
      <c r="AC853" s="47"/>
      <c r="AD853" s="7"/>
      <c r="AE853" s="47"/>
      <c r="AF853" s="18"/>
      <c r="AG853" s="26"/>
      <c r="AH853" s="34"/>
      <c r="AI853" s="34"/>
      <c r="AJ853" s="18"/>
      <c r="AK853" s="48"/>
      <c r="AL853" s="26"/>
      <c r="AM853" s="26"/>
    </row>
    <row r="854">
      <c r="A854" s="51"/>
      <c r="B854" s="51"/>
      <c r="C854" s="52"/>
      <c r="D854" s="51"/>
      <c r="E854" s="53"/>
      <c r="F854" s="54"/>
      <c r="G854" s="51"/>
      <c r="H854" s="51"/>
      <c r="I854" s="55"/>
      <c r="J854" s="56"/>
      <c r="K854" s="46"/>
      <c r="L854" s="46"/>
      <c r="M854" s="47"/>
      <c r="N854" s="46"/>
      <c r="O854" s="57"/>
      <c r="P854" s="46"/>
      <c r="Q854" s="46"/>
      <c r="R854" s="57"/>
      <c r="S854" s="7"/>
      <c r="T854" s="54"/>
      <c r="U854" s="58"/>
      <c r="V854" s="47"/>
      <c r="W854" s="18"/>
      <c r="X854" s="46"/>
      <c r="Y854" s="9"/>
      <c r="Z854" s="46"/>
      <c r="AA854" s="7"/>
      <c r="AB854" s="46"/>
      <c r="AC854" s="47"/>
      <c r="AD854" s="7"/>
      <c r="AE854" s="47"/>
      <c r="AF854" s="18"/>
      <c r="AG854" s="26"/>
      <c r="AH854" s="34"/>
      <c r="AI854" s="34"/>
      <c r="AJ854" s="18"/>
      <c r="AK854" s="48"/>
      <c r="AL854" s="26"/>
      <c r="AM854" s="26"/>
    </row>
    <row r="855">
      <c r="A855" s="51"/>
      <c r="B855" s="51"/>
      <c r="C855" s="52"/>
      <c r="D855" s="51"/>
      <c r="E855" s="53"/>
      <c r="F855" s="54"/>
      <c r="G855" s="51"/>
      <c r="H855" s="51"/>
      <c r="I855" s="55"/>
      <c r="J855" s="56"/>
      <c r="K855" s="46"/>
      <c r="L855" s="46"/>
      <c r="M855" s="47"/>
      <c r="N855" s="46"/>
      <c r="O855" s="57"/>
      <c r="P855" s="46"/>
      <c r="Q855" s="46"/>
      <c r="R855" s="57"/>
      <c r="S855" s="7"/>
      <c r="T855" s="54"/>
      <c r="U855" s="58"/>
      <c r="V855" s="47"/>
      <c r="W855" s="18"/>
      <c r="X855" s="46"/>
      <c r="Y855" s="9"/>
      <c r="Z855" s="46"/>
      <c r="AA855" s="7"/>
      <c r="AB855" s="46"/>
      <c r="AC855" s="47"/>
      <c r="AD855" s="7"/>
      <c r="AE855" s="47"/>
      <c r="AF855" s="18"/>
      <c r="AG855" s="26"/>
      <c r="AH855" s="34"/>
      <c r="AI855" s="34"/>
      <c r="AJ855" s="18"/>
      <c r="AK855" s="48"/>
      <c r="AL855" s="26"/>
      <c r="AM855" s="26"/>
    </row>
    <row r="856">
      <c r="A856" s="51"/>
      <c r="B856" s="51"/>
      <c r="C856" s="52"/>
      <c r="D856" s="51"/>
      <c r="E856" s="53"/>
      <c r="F856" s="54"/>
      <c r="G856" s="51"/>
      <c r="H856" s="51"/>
      <c r="I856" s="55"/>
      <c r="J856" s="56"/>
      <c r="K856" s="46"/>
      <c r="L856" s="46"/>
      <c r="M856" s="47"/>
      <c r="N856" s="46"/>
      <c r="O856" s="57"/>
      <c r="P856" s="46"/>
      <c r="Q856" s="46"/>
      <c r="R856" s="57"/>
      <c r="S856" s="7"/>
      <c r="T856" s="54"/>
      <c r="U856" s="58"/>
      <c r="V856" s="47"/>
      <c r="W856" s="18"/>
      <c r="X856" s="46"/>
      <c r="Y856" s="9"/>
      <c r="Z856" s="46"/>
      <c r="AA856" s="7"/>
      <c r="AB856" s="46"/>
      <c r="AC856" s="47"/>
      <c r="AD856" s="7"/>
      <c r="AE856" s="47"/>
      <c r="AF856" s="18"/>
      <c r="AG856" s="26"/>
      <c r="AH856" s="34"/>
      <c r="AI856" s="34"/>
      <c r="AJ856" s="18"/>
      <c r="AK856" s="48"/>
      <c r="AL856" s="26"/>
      <c r="AM856" s="26"/>
    </row>
    <row r="857">
      <c r="A857" s="51"/>
      <c r="B857" s="51"/>
      <c r="C857" s="52"/>
      <c r="D857" s="51"/>
      <c r="E857" s="53"/>
      <c r="F857" s="54"/>
      <c r="G857" s="51"/>
      <c r="H857" s="51"/>
      <c r="I857" s="55"/>
      <c r="J857" s="56"/>
      <c r="K857" s="46"/>
      <c r="L857" s="46"/>
      <c r="M857" s="47"/>
      <c r="N857" s="46"/>
      <c r="O857" s="57"/>
      <c r="P857" s="46"/>
      <c r="Q857" s="46"/>
      <c r="R857" s="57"/>
      <c r="S857" s="7"/>
      <c r="T857" s="54"/>
      <c r="U857" s="58"/>
      <c r="V857" s="47"/>
      <c r="W857" s="18"/>
      <c r="X857" s="46"/>
      <c r="Y857" s="9"/>
      <c r="Z857" s="46"/>
      <c r="AA857" s="7"/>
      <c r="AB857" s="46"/>
      <c r="AC857" s="47"/>
      <c r="AD857" s="7"/>
      <c r="AE857" s="47"/>
      <c r="AF857" s="18"/>
      <c r="AG857" s="26"/>
      <c r="AH857" s="34"/>
      <c r="AI857" s="34"/>
      <c r="AJ857" s="18"/>
      <c r="AK857" s="48"/>
      <c r="AL857" s="26"/>
      <c r="AM857" s="26"/>
    </row>
    <row r="858">
      <c r="A858" s="51"/>
      <c r="B858" s="51"/>
      <c r="C858" s="52"/>
      <c r="D858" s="51"/>
      <c r="E858" s="53"/>
      <c r="F858" s="54"/>
      <c r="G858" s="51"/>
      <c r="H858" s="51"/>
      <c r="I858" s="55"/>
      <c r="J858" s="56"/>
      <c r="K858" s="46"/>
      <c r="L858" s="46"/>
      <c r="M858" s="47"/>
      <c r="N858" s="46"/>
      <c r="O858" s="57"/>
      <c r="P858" s="46"/>
      <c r="Q858" s="46"/>
      <c r="R858" s="57"/>
      <c r="S858" s="7"/>
      <c r="T858" s="54"/>
      <c r="U858" s="58"/>
      <c r="V858" s="47"/>
      <c r="W858" s="18"/>
      <c r="X858" s="46"/>
      <c r="Y858" s="9"/>
      <c r="Z858" s="46"/>
      <c r="AA858" s="7"/>
      <c r="AB858" s="46"/>
      <c r="AC858" s="47"/>
      <c r="AD858" s="7"/>
      <c r="AE858" s="47"/>
      <c r="AF858" s="18"/>
      <c r="AG858" s="26"/>
      <c r="AH858" s="34"/>
      <c r="AI858" s="34"/>
      <c r="AJ858" s="18"/>
      <c r="AK858" s="48"/>
      <c r="AL858" s="26"/>
      <c r="AM858" s="26"/>
    </row>
    <row r="859">
      <c r="A859" s="51"/>
      <c r="B859" s="51"/>
      <c r="C859" s="52"/>
      <c r="D859" s="51"/>
      <c r="E859" s="53"/>
      <c r="F859" s="54"/>
      <c r="G859" s="51"/>
      <c r="H859" s="51"/>
      <c r="I859" s="55"/>
      <c r="J859" s="56"/>
      <c r="K859" s="46"/>
      <c r="L859" s="46"/>
      <c r="M859" s="47"/>
      <c r="N859" s="46"/>
      <c r="O859" s="57"/>
      <c r="P859" s="46"/>
      <c r="Q859" s="46"/>
      <c r="R859" s="57"/>
      <c r="S859" s="7"/>
      <c r="T859" s="54"/>
      <c r="U859" s="58"/>
      <c r="V859" s="47"/>
      <c r="W859" s="18"/>
      <c r="X859" s="46"/>
      <c r="Y859" s="9"/>
      <c r="Z859" s="46"/>
      <c r="AA859" s="7"/>
      <c r="AB859" s="46"/>
      <c r="AC859" s="47"/>
      <c r="AD859" s="7"/>
      <c r="AE859" s="47"/>
      <c r="AF859" s="18"/>
      <c r="AG859" s="26"/>
      <c r="AH859" s="34"/>
      <c r="AI859" s="34"/>
      <c r="AJ859" s="18"/>
      <c r="AK859" s="48"/>
      <c r="AL859" s="26"/>
      <c r="AM859" s="26"/>
    </row>
    <row r="860">
      <c r="A860" s="51"/>
      <c r="B860" s="51"/>
      <c r="C860" s="52"/>
      <c r="D860" s="51"/>
      <c r="E860" s="53"/>
      <c r="F860" s="54"/>
      <c r="G860" s="51"/>
      <c r="H860" s="51"/>
      <c r="I860" s="55"/>
      <c r="J860" s="56"/>
      <c r="K860" s="46"/>
      <c r="L860" s="46"/>
      <c r="M860" s="47"/>
      <c r="N860" s="46"/>
      <c r="O860" s="57"/>
      <c r="P860" s="46"/>
      <c r="Q860" s="46"/>
      <c r="R860" s="57"/>
      <c r="S860" s="7"/>
      <c r="T860" s="54"/>
      <c r="U860" s="58"/>
      <c r="V860" s="47"/>
      <c r="W860" s="18"/>
      <c r="X860" s="46"/>
      <c r="Y860" s="9"/>
      <c r="Z860" s="46"/>
      <c r="AA860" s="7"/>
      <c r="AB860" s="46"/>
      <c r="AC860" s="47"/>
      <c r="AD860" s="7"/>
      <c r="AE860" s="47"/>
      <c r="AF860" s="18"/>
      <c r="AG860" s="26"/>
      <c r="AH860" s="34"/>
      <c r="AI860" s="34"/>
      <c r="AJ860" s="18"/>
      <c r="AK860" s="48"/>
      <c r="AL860" s="26"/>
      <c r="AM860" s="26"/>
    </row>
    <row r="861">
      <c r="A861" s="51"/>
      <c r="B861" s="51"/>
      <c r="C861" s="52"/>
      <c r="D861" s="51"/>
      <c r="E861" s="53"/>
      <c r="F861" s="54"/>
      <c r="G861" s="51"/>
      <c r="H861" s="51"/>
      <c r="I861" s="55"/>
      <c r="J861" s="56"/>
      <c r="K861" s="46"/>
      <c r="L861" s="46"/>
      <c r="M861" s="47"/>
      <c r="N861" s="46"/>
      <c r="O861" s="57"/>
      <c r="P861" s="46"/>
      <c r="Q861" s="46"/>
      <c r="R861" s="57"/>
      <c r="S861" s="7"/>
      <c r="T861" s="54"/>
      <c r="U861" s="58"/>
      <c r="V861" s="47"/>
      <c r="W861" s="18"/>
      <c r="X861" s="46"/>
      <c r="Y861" s="9"/>
      <c r="Z861" s="46"/>
      <c r="AA861" s="7"/>
      <c r="AB861" s="46"/>
      <c r="AC861" s="47"/>
      <c r="AD861" s="7"/>
      <c r="AE861" s="47"/>
      <c r="AF861" s="18"/>
      <c r="AG861" s="26"/>
      <c r="AH861" s="34"/>
      <c r="AI861" s="34"/>
      <c r="AJ861" s="18"/>
      <c r="AK861" s="48"/>
      <c r="AL861" s="26"/>
      <c r="AM861" s="26"/>
    </row>
    <row r="862">
      <c r="A862" s="51"/>
      <c r="B862" s="51"/>
      <c r="C862" s="52"/>
      <c r="D862" s="51"/>
      <c r="E862" s="53"/>
      <c r="F862" s="54"/>
      <c r="G862" s="51"/>
      <c r="H862" s="51"/>
      <c r="I862" s="55"/>
      <c r="J862" s="56"/>
      <c r="K862" s="46"/>
      <c r="L862" s="46"/>
      <c r="M862" s="47"/>
      <c r="N862" s="46"/>
      <c r="O862" s="57"/>
      <c r="P862" s="46"/>
      <c r="Q862" s="46"/>
      <c r="R862" s="57"/>
      <c r="S862" s="7"/>
      <c r="T862" s="54"/>
      <c r="U862" s="58"/>
      <c r="V862" s="47"/>
      <c r="W862" s="18"/>
      <c r="X862" s="46"/>
      <c r="Y862" s="9"/>
      <c r="Z862" s="46"/>
      <c r="AA862" s="7"/>
      <c r="AB862" s="46"/>
      <c r="AC862" s="47"/>
      <c r="AD862" s="7"/>
      <c r="AE862" s="47"/>
      <c r="AF862" s="18"/>
      <c r="AG862" s="26"/>
      <c r="AH862" s="34"/>
      <c r="AI862" s="34"/>
      <c r="AJ862" s="18"/>
      <c r="AK862" s="48"/>
      <c r="AL862" s="26"/>
      <c r="AM862" s="26"/>
    </row>
    <row r="863">
      <c r="A863" s="51"/>
      <c r="B863" s="51"/>
      <c r="C863" s="52"/>
      <c r="D863" s="51"/>
      <c r="E863" s="53"/>
      <c r="F863" s="54"/>
      <c r="G863" s="51"/>
      <c r="H863" s="51"/>
      <c r="I863" s="55"/>
      <c r="J863" s="56"/>
      <c r="K863" s="46"/>
      <c r="L863" s="46"/>
      <c r="M863" s="47"/>
      <c r="N863" s="46"/>
      <c r="O863" s="57"/>
      <c r="P863" s="46"/>
      <c r="Q863" s="46"/>
      <c r="R863" s="57"/>
      <c r="S863" s="7"/>
      <c r="T863" s="54"/>
      <c r="U863" s="58"/>
      <c r="V863" s="47"/>
      <c r="W863" s="18"/>
      <c r="X863" s="46"/>
      <c r="Y863" s="9"/>
      <c r="Z863" s="46"/>
      <c r="AA863" s="7"/>
      <c r="AB863" s="46"/>
      <c r="AC863" s="47"/>
      <c r="AD863" s="7"/>
      <c r="AE863" s="47"/>
      <c r="AF863" s="18"/>
      <c r="AG863" s="26"/>
      <c r="AH863" s="34"/>
      <c r="AI863" s="34"/>
      <c r="AJ863" s="18"/>
      <c r="AK863" s="48"/>
      <c r="AL863" s="26"/>
      <c r="AM863" s="26"/>
    </row>
    <row r="864">
      <c r="A864" s="51"/>
      <c r="B864" s="51"/>
      <c r="C864" s="52"/>
      <c r="D864" s="51"/>
      <c r="E864" s="53"/>
      <c r="F864" s="54"/>
      <c r="G864" s="51"/>
      <c r="H864" s="51"/>
      <c r="I864" s="55"/>
      <c r="J864" s="56"/>
      <c r="K864" s="46"/>
      <c r="L864" s="46"/>
      <c r="M864" s="47"/>
      <c r="N864" s="46"/>
      <c r="O864" s="57"/>
      <c r="P864" s="46"/>
      <c r="Q864" s="46"/>
      <c r="R864" s="57"/>
      <c r="S864" s="7"/>
      <c r="T864" s="54"/>
      <c r="U864" s="58"/>
      <c r="V864" s="47"/>
      <c r="W864" s="18"/>
      <c r="X864" s="46"/>
      <c r="Y864" s="9"/>
      <c r="Z864" s="46"/>
      <c r="AA864" s="7"/>
      <c r="AB864" s="46"/>
      <c r="AC864" s="47"/>
      <c r="AD864" s="7"/>
      <c r="AE864" s="47"/>
      <c r="AF864" s="18"/>
      <c r="AG864" s="26"/>
      <c r="AH864" s="34"/>
      <c r="AI864" s="34"/>
      <c r="AJ864" s="18"/>
      <c r="AK864" s="48"/>
      <c r="AL864" s="26"/>
      <c r="AM864" s="26"/>
    </row>
    <row r="865">
      <c r="A865" s="51"/>
      <c r="B865" s="51"/>
      <c r="C865" s="52"/>
      <c r="D865" s="51"/>
      <c r="E865" s="53"/>
      <c r="F865" s="54"/>
      <c r="G865" s="51"/>
      <c r="H865" s="51"/>
      <c r="I865" s="55"/>
      <c r="J865" s="56"/>
      <c r="K865" s="46"/>
      <c r="L865" s="46"/>
      <c r="M865" s="47"/>
      <c r="N865" s="46"/>
      <c r="O865" s="57"/>
      <c r="P865" s="46"/>
      <c r="Q865" s="46"/>
      <c r="R865" s="57"/>
      <c r="S865" s="7"/>
      <c r="T865" s="54"/>
      <c r="U865" s="58"/>
      <c r="V865" s="47"/>
      <c r="W865" s="18"/>
      <c r="X865" s="46"/>
      <c r="Y865" s="9"/>
      <c r="Z865" s="46"/>
      <c r="AA865" s="7"/>
      <c r="AB865" s="46"/>
      <c r="AC865" s="47"/>
      <c r="AD865" s="7"/>
      <c r="AE865" s="47"/>
      <c r="AF865" s="18"/>
      <c r="AG865" s="26"/>
      <c r="AH865" s="34"/>
      <c r="AI865" s="34"/>
      <c r="AJ865" s="18"/>
      <c r="AK865" s="48"/>
      <c r="AL865" s="26"/>
      <c r="AM865" s="26"/>
    </row>
    <row r="866">
      <c r="A866" s="51"/>
      <c r="B866" s="51"/>
      <c r="C866" s="52"/>
      <c r="D866" s="51"/>
      <c r="E866" s="53"/>
      <c r="F866" s="54"/>
      <c r="G866" s="51"/>
      <c r="H866" s="51"/>
      <c r="I866" s="55"/>
      <c r="J866" s="56"/>
      <c r="K866" s="46"/>
      <c r="L866" s="46"/>
      <c r="M866" s="47"/>
      <c r="N866" s="46"/>
      <c r="O866" s="57"/>
      <c r="P866" s="46"/>
      <c r="Q866" s="46"/>
      <c r="R866" s="57"/>
      <c r="S866" s="7"/>
      <c r="T866" s="54"/>
      <c r="U866" s="58"/>
      <c r="V866" s="47"/>
      <c r="W866" s="18"/>
      <c r="X866" s="46"/>
      <c r="Y866" s="9"/>
      <c r="Z866" s="46"/>
      <c r="AA866" s="7"/>
      <c r="AB866" s="46"/>
      <c r="AC866" s="47"/>
      <c r="AD866" s="7"/>
      <c r="AE866" s="47"/>
      <c r="AF866" s="18"/>
      <c r="AG866" s="26"/>
      <c r="AH866" s="34"/>
      <c r="AI866" s="34"/>
      <c r="AJ866" s="18"/>
      <c r="AK866" s="48"/>
      <c r="AL866" s="26"/>
      <c r="AM866" s="26"/>
    </row>
    <row r="867">
      <c r="A867" s="51"/>
      <c r="B867" s="51"/>
      <c r="C867" s="52"/>
      <c r="D867" s="51"/>
      <c r="E867" s="53"/>
      <c r="F867" s="54"/>
      <c r="G867" s="51"/>
      <c r="H867" s="51"/>
      <c r="I867" s="55"/>
      <c r="J867" s="56"/>
      <c r="K867" s="46"/>
      <c r="L867" s="46"/>
      <c r="M867" s="47"/>
      <c r="N867" s="46"/>
      <c r="O867" s="57"/>
      <c r="P867" s="46"/>
      <c r="Q867" s="46"/>
      <c r="R867" s="57"/>
      <c r="S867" s="7"/>
      <c r="T867" s="54"/>
      <c r="U867" s="58"/>
      <c r="V867" s="47"/>
      <c r="W867" s="18"/>
      <c r="X867" s="46"/>
      <c r="Y867" s="9"/>
      <c r="Z867" s="46"/>
      <c r="AA867" s="7"/>
      <c r="AB867" s="46"/>
      <c r="AC867" s="47"/>
      <c r="AD867" s="7"/>
      <c r="AE867" s="47"/>
      <c r="AF867" s="18"/>
      <c r="AG867" s="26"/>
      <c r="AH867" s="34"/>
      <c r="AI867" s="34"/>
      <c r="AJ867" s="18"/>
      <c r="AK867" s="48"/>
      <c r="AL867" s="26"/>
      <c r="AM867" s="26"/>
    </row>
    <row r="868">
      <c r="A868" s="51"/>
      <c r="B868" s="51"/>
      <c r="C868" s="52"/>
      <c r="D868" s="51"/>
      <c r="E868" s="53"/>
      <c r="F868" s="54"/>
      <c r="G868" s="51"/>
      <c r="H868" s="51"/>
      <c r="I868" s="55"/>
      <c r="J868" s="56"/>
      <c r="K868" s="46"/>
      <c r="L868" s="46"/>
      <c r="M868" s="47"/>
      <c r="N868" s="46"/>
      <c r="O868" s="57"/>
      <c r="P868" s="46"/>
      <c r="Q868" s="46"/>
      <c r="R868" s="57"/>
      <c r="S868" s="7"/>
      <c r="T868" s="54"/>
      <c r="U868" s="58"/>
      <c r="V868" s="47"/>
      <c r="W868" s="18"/>
      <c r="X868" s="46"/>
      <c r="Y868" s="9"/>
      <c r="Z868" s="46"/>
      <c r="AA868" s="7"/>
      <c r="AB868" s="46"/>
      <c r="AC868" s="47"/>
      <c r="AD868" s="7"/>
      <c r="AE868" s="47"/>
      <c r="AF868" s="18"/>
      <c r="AG868" s="26"/>
      <c r="AH868" s="34"/>
      <c r="AI868" s="34"/>
      <c r="AJ868" s="18"/>
      <c r="AK868" s="48"/>
      <c r="AL868" s="26"/>
      <c r="AM868" s="26"/>
    </row>
    <row r="869">
      <c r="A869" s="51"/>
      <c r="B869" s="51"/>
      <c r="C869" s="52"/>
      <c r="D869" s="51"/>
      <c r="E869" s="53"/>
      <c r="F869" s="54"/>
      <c r="G869" s="51"/>
      <c r="H869" s="51"/>
      <c r="I869" s="55"/>
      <c r="J869" s="56"/>
      <c r="K869" s="46"/>
      <c r="L869" s="46"/>
      <c r="M869" s="47"/>
      <c r="N869" s="46"/>
      <c r="O869" s="57"/>
      <c r="P869" s="46"/>
      <c r="Q869" s="46"/>
      <c r="R869" s="57"/>
      <c r="S869" s="7"/>
      <c r="T869" s="54"/>
      <c r="U869" s="58"/>
      <c r="V869" s="47"/>
      <c r="W869" s="18"/>
      <c r="X869" s="46"/>
      <c r="Y869" s="9"/>
      <c r="Z869" s="46"/>
      <c r="AA869" s="7"/>
      <c r="AB869" s="46"/>
      <c r="AC869" s="47"/>
      <c r="AD869" s="7"/>
      <c r="AE869" s="47"/>
      <c r="AF869" s="18"/>
      <c r="AG869" s="26"/>
      <c r="AH869" s="34"/>
      <c r="AI869" s="34"/>
      <c r="AJ869" s="18"/>
      <c r="AK869" s="48"/>
      <c r="AL869" s="26"/>
      <c r="AM869" s="26"/>
    </row>
    <row r="870">
      <c r="A870" s="51"/>
      <c r="B870" s="51"/>
      <c r="C870" s="52"/>
      <c r="D870" s="51"/>
      <c r="E870" s="53"/>
      <c r="F870" s="54"/>
      <c r="G870" s="51"/>
      <c r="H870" s="51"/>
      <c r="I870" s="55"/>
      <c r="J870" s="56"/>
      <c r="K870" s="46"/>
      <c r="L870" s="46"/>
      <c r="M870" s="47"/>
      <c r="N870" s="46"/>
      <c r="O870" s="57"/>
      <c r="P870" s="46"/>
      <c r="Q870" s="46"/>
      <c r="R870" s="57"/>
      <c r="S870" s="7"/>
      <c r="T870" s="54"/>
      <c r="U870" s="58"/>
      <c r="V870" s="47"/>
      <c r="W870" s="18"/>
      <c r="X870" s="46"/>
      <c r="Y870" s="9"/>
      <c r="Z870" s="46"/>
      <c r="AA870" s="7"/>
      <c r="AB870" s="46"/>
      <c r="AC870" s="47"/>
      <c r="AD870" s="7"/>
      <c r="AE870" s="47"/>
      <c r="AF870" s="18"/>
      <c r="AG870" s="26"/>
      <c r="AH870" s="34"/>
      <c r="AI870" s="34"/>
      <c r="AJ870" s="18"/>
      <c r="AK870" s="48"/>
      <c r="AL870" s="26"/>
      <c r="AM870" s="26"/>
    </row>
    <row r="871">
      <c r="A871" s="51"/>
      <c r="B871" s="51"/>
      <c r="C871" s="52"/>
      <c r="D871" s="51"/>
      <c r="E871" s="53"/>
      <c r="F871" s="54"/>
      <c r="G871" s="51"/>
      <c r="H871" s="51"/>
      <c r="I871" s="55"/>
      <c r="J871" s="56"/>
      <c r="K871" s="46"/>
      <c r="L871" s="46"/>
      <c r="M871" s="47"/>
      <c r="N871" s="46"/>
      <c r="O871" s="57"/>
      <c r="P871" s="46"/>
      <c r="Q871" s="46"/>
      <c r="R871" s="57"/>
      <c r="S871" s="7"/>
      <c r="T871" s="54"/>
      <c r="U871" s="58"/>
      <c r="V871" s="47"/>
      <c r="W871" s="18"/>
      <c r="X871" s="46"/>
      <c r="Y871" s="9"/>
      <c r="Z871" s="46"/>
      <c r="AA871" s="7"/>
      <c r="AB871" s="46"/>
      <c r="AC871" s="47"/>
      <c r="AD871" s="7"/>
      <c r="AE871" s="47"/>
      <c r="AF871" s="18"/>
      <c r="AG871" s="26"/>
      <c r="AH871" s="34"/>
      <c r="AI871" s="34"/>
      <c r="AJ871" s="18"/>
      <c r="AK871" s="48"/>
      <c r="AL871" s="26"/>
      <c r="AM871" s="26"/>
    </row>
    <row r="872">
      <c r="A872" s="51"/>
      <c r="B872" s="51"/>
      <c r="C872" s="52"/>
      <c r="D872" s="51"/>
      <c r="E872" s="53"/>
      <c r="F872" s="54"/>
      <c r="G872" s="51"/>
      <c r="H872" s="51"/>
      <c r="I872" s="55"/>
      <c r="J872" s="56"/>
      <c r="K872" s="46"/>
      <c r="L872" s="46"/>
      <c r="M872" s="47"/>
      <c r="N872" s="46"/>
      <c r="O872" s="57"/>
      <c r="P872" s="46"/>
      <c r="Q872" s="46"/>
      <c r="R872" s="57"/>
      <c r="S872" s="7"/>
      <c r="T872" s="54"/>
      <c r="U872" s="58"/>
      <c r="V872" s="47"/>
      <c r="W872" s="18"/>
      <c r="X872" s="46"/>
      <c r="Y872" s="9"/>
      <c r="Z872" s="46"/>
      <c r="AA872" s="7"/>
      <c r="AB872" s="46"/>
      <c r="AC872" s="47"/>
      <c r="AD872" s="7"/>
      <c r="AE872" s="47"/>
      <c r="AF872" s="18"/>
      <c r="AG872" s="26"/>
      <c r="AH872" s="34"/>
      <c r="AI872" s="34"/>
      <c r="AJ872" s="18"/>
      <c r="AK872" s="48"/>
      <c r="AL872" s="26"/>
      <c r="AM872" s="26"/>
    </row>
    <row r="873">
      <c r="A873" s="51"/>
      <c r="B873" s="51"/>
      <c r="C873" s="52"/>
      <c r="D873" s="51"/>
      <c r="E873" s="53"/>
      <c r="F873" s="54"/>
      <c r="G873" s="51"/>
      <c r="H873" s="51"/>
      <c r="I873" s="55"/>
      <c r="J873" s="56"/>
      <c r="K873" s="46"/>
      <c r="L873" s="46"/>
      <c r="M873" s="47"/>
      <c r="N873" s="46"/>
      <c r="O873" s="57"/>
      <c r="P873" s="46"/>
      <c r="Q873" s="46"/>
      <c r="R873" s="57"/>
      <c r="S873" s="7"/>
      <c r="T873" s="54"/>
      <c r="U873" s="58"/>
      <c r="V873" s="47"/>
      <c r="W873" s="18"/>
      <c r="X873" s="46"/>
      <c r="Y873" s="9"/>
      <c r="Z873" s="46"/>
      <c r="AA873" s="7"/>
      <c r="AB873" s="46"/>
      <c r="AC873" s="47"/>
      <c r="AD873" s="7"/>
      <c r="AE873" s="47"/>
      <c r="AF873" s="18"/>
      <c r="AG873" s="26"/>
      <c r="AH873" s="34"/>
      <c r="AI873" s="34"/>
      <c r="AJ873" s="18"/>
      <c r="AK873" s="48"/>
      <c r="AL873" s="26"/>
      <c r="AM873" s="26"/>
    </row>
    <row r="874">
      <c r="A874" s="51"/>
      <c r="B874" s="51"/>
      <c r="C874" s="52"/>
      <c r="D874" s="51"/>
      <c r="E874" s="53"/>
      <c r="F874" s="54"/>
      <c r="G874" s="51"/>
      <c r="H874" s="51"/>
      <c r="I874" s="55"/>
      <c r="J874" s="56"/>
      <c r="K874" s="46"/>
      <c r="L874" s="46"/>
      <c r="M874" s="47"/>
      <c r="N874" s="46"/>
      <c r="O874" s="57"/>
      <c r="P874" s="46"/>
      <c r="Q874" s="46"/>
      <c r="R874" s="57"/>
      <c r="S874" s="7"/>
      <c r="T874" s="54"/>
      <c r="U874" s="58"/>
      <c r="V874" s="47"/>
      <c r="W874" s="18"/>
      <c r="X874" s="46"/>
      <c r="Y874" s="9"/>
      <c r="Z874" s="46"/>
      <c r="AA874" s="7"/>
      <c r="AB874" s="46"/>
      <c r="AC874" s="47"/>
      <c r="AD874" s="7"/>
      <c r="AE874" s="47"/>
      <c r="AF874" s="18"/>
      <c r="AG874" s="26"/>
      <c r="AH874" s="34"/>
      <c r="AI874" s="34"/>
      <c r="AJ874" s="18"/>
      <c r="AK874" s="48"/>
      <c r="AL874" s="26"/>
      <c r="AM874" s="26"/>
    </row>
    <row r="875">
      <c r="A875" s="51"/>
      <c r="B875" s="51"/>
      <c r="C875" s="52"/>
      <c r="D875" s="51"/>
      <c r="E875" s="53"/>
      <c r="F875" s="54"/>
      <c r="G875" s="51"/>
      <c r="H875" s="51"/>
      <c r="I875" s="55"/>
      <c r="J875" s="56"/>
      <c r="K875" s="46"/>
      <c r="L875" s="46"/>
      <c r="M875" s="47"/>
      <c r="N875" s="46"/>
      <c r="O875" s="57"/>
      <c r="P875" s="46"/>
      <c r="Q875" s="46"/>
      <c r="R875" s="57"/>
      <c r="S875" s="7"/>
      <c r="T875" s="54"/>
      <c r="U875" s="58"/>
      <c r="V875" s="47"/>
      <c r="W875" s="18"/>
      <c r="X875" s="46"/>
      <c r="Y875" s="9"/>
      <c r="Z875" s="46"/>
      <c r="AA875" s="7"/>
      <c r="AB875" s="46"/>
      <c r="AC875" s="47"/>
      <c r="AD875" s="7"/>
      <c r="AE875" s="47"/>
      <c r="AF875" s="18"/>
      <c r="AG875" s="26"/>
      <c r="AH875" s="34"/>
      <c r="AI875" s="34"/>
      <c r="AJ875" s="18"/>
      <c r="AK875" s="48"/>
      <c r="AL875" s="26"/>
      <c r="AM875" s="26"/>
    </row>
    <row r="876">
      <c r="A876" s="51"/>
      <c r="B876" s="51"/>
      <c r="C876" s="52"/>
      <c r="D876" s="51"/>
      <c r="E876" s="53"/>
      <c r="F876" s="54"/>
      <c r="G876" s="51"/>
      <c r="H876" s="51"/>
      <c r="I876" s="55"/>
      <c r="J876" s="56"/>
      <c r="K876" s="46"/>
      <c r="L876" s="46"/>
      <c r="M876" s="47"/>
      <c r="N876" s="46"/>
      <c r="O876" s="57"/>
      <c r="P876" s="46"/>
      <c r="Q876" s="46"/>
      <c r="R876" s="57"/>
      <c r="S876" s="7"/>
      <c r="T876" s="54"/>
      <c r="U876" s="58"/>
      <c r="V876" s="47"/>
      <c r="W876" s="18"/>
      <c r="X876" s="46"/>
      <c r="Y876" s="9"/>
      <c r="Z876" s="46"/>
      <c r="AA876" s="7"/>
      <c r="AB876" s="46"/>
      <c r="AC876" s="47"/>
      <c r="AD876" s="7"/>
      <c r="AE876" s="47"/>
      <c r="AF876" s="18"/>
      <c r="AG876" s="26"/>
      <c r="AH876" s="34"/>
      <c r="AI876" s="34"/>
      <c r="AJ876" s="18"/>
      <c r="AK876" s="48"/>
      <c r="AL876" s="26"/>
      <c r="AM876" s="26"/>
    </row>
    <row r="877">
      <c r="A877" s="51"/>
      <c r="B877" s="51"/>
      <c r="C877" s="52"/>
      <c r="D877" s="51"/>
      <c r="E877" s="53"/>
      <c r="F877" s="54"/>
      <c r="G877" s="51"/>
      <c r="H877" s="51"/>
      <c r="I877" s="55"/>
      <c r="J877" s="56"/>
      <c r="K877" s="46"/>
      <c r="L877" s="46"/>
      <c r="M877" s="47"/>
      <c r="N877" s="46"/>
      <c r="O877" s="57"/>
      <c r="P877" s="46"/>
      <c r="Q877" s="46"/>
      <c r="R877" s="57"/>
      <c r="S877" s="7"/>
      <c r="T877" s="54"/>
      <c r="U877" s="58"/>
      <c r="V877" s="47"/>
      <c r="W877" s="18"/>
      <c r="X877" s="46"/>
      <c r="Y877" s="9"/>
      <c r="Z877" s="46"/>
      <c r="AA877" s="7"/>
      <c r="AB877" s="46"/>
      <c r="AC877" s="47"/>
      <c r="AD877" s="7"/>
      <c r="AE877" s="47"/>
      <c r="AF877" s="18"/>
      <c r="AG877" s="26"/>
      <c r="AH877" s="34"/>
      <c r="AI877" s="34"/>
      <c r="AJ877" s="18"/>
      <c r="AK877" s="48"/>
      <c r="AL877" s="26"/>
      <c r="AM877" s="26"/>
    </row>
    <row r="878">
      <c r="A878" s="51"/>
      <c r="B878" s="51"/>
      <c r="C878" s="52"/>
      <c r="D878" s="51"/>
      <c r="E878" s="53"/>
      <c r="F878" s="54"/>
      <c r="G878" s="51"/>
      <c r="H878" s="51"/>
      <c r="I878" s="55"/>
      <c r="J878" s="56"/>
      <c r="K878" s="46"/>
      <c r="L878" s="46"/>
      <c r="M878" s="47"/>
      <c r="N878" s="46"/>
      <c r="O878" s="57"/>
      <c r="P878" s="46"/>
      <c r="Q878" s="46"/>
      <c r="R878" s="57"/>
      <c r="S878" s="7"/>
      <c r="T878" s="54"/>
      <c r="U878" s="58"/>
      <c r="V878" s="47"/>
      <c r="W878" s="18"/>
      <c r="X878" s="46"/>
      <c r="Y878" s="9"/>
      <c r="Z878" s="46"/>
      <c r="AA878" s="7"/>
      <c r="AB878" s="46"/>
      <c r="AC878" s="47"/>
      <c r="AD878" s="7"/>
      <c r="AE878" s="47"/>
      <c r="AF878" s="18"/>
      <c r="AG878" s="26"/>
      <c r="AH878" s="34"/>
      <c r="AI878" s="34"/>
      <c r="AJ878" s="18"/>
      <c r="AK878" s="48"/>
      <c r="AL878" s="26"/>
      <c r="AM878" s="26"/>
    </row>
    <row r="879">
      <c r="A879" s="51"/>
      <c r="B879" s="51"/>
      <c r="C879" s="52"/>
      <c r="D879" s="51"/>
      <c r="E879" s="53"/>
      <c r="F879" s="54"/>
      <c r="G879" s="51"/>
      <c r="H879" s="51"/>
      <c r="I879" s="55"/>
      <c r="J879" s="56"/>
      <c r="K879" s="46"/>
      <c r="L879" s="46"/>
      <c r="M879" s="47"/>
      <c r="N879" s="46"/>
      <c r="O879" s="57"/>
      <c r="P879" s="46"/>
      <c r="Q879" s="46"/>
      <c r="R879" s="57"/>
      <c r="S879" s="7"/>
      <c r="T879" s="54"/>
      <c r="U879" s="58"/>
      <c r="V879" s="47"/>
      <c r="W879" s="18"/>
      <c r="X879" s="46"/>
      <c r="Y879" s="9"/>
      <c r="Z879" s="46"/>
      <c r="AA879" s="7"/>
      <c r="AB879" s="46"/>
      <c r="AC879" s="47"/>
      <c r="AD879" s="7"/>
      <c r="AE879" s="47"/>
      <c r="AF879" s="18"/>
      <c r="AG879" s="26"/>
      <c r="AH879" s="34"/>
      <c r="AI879" s="34"/>
      <c r="AJ879" s="18"/>
      <c r="AK879" s="48"/>
      <c r="AL879" s="26"/>
      <c r="AM879" s="26"/>
    </row>
    <row r="880">
      <c r="A880" s="51"/>
      <c r="B880" s="51"/>
      <c r="C880" s="52"/>
      <c r="D880" s="51"/>
      <c r="E880" s="53"/>
      <c r="F880" s="54"/>
      <c r="G880" s="51"/>
      <c r="H880" s="51"/>
      <c r="I880" s="55"/>
      <c r="J880" s="56"/>
      <c r="K880" s="46"/>
      <c r="L880" s="46"/>
      <c r="M880" s="47"/>
      <c r="N880" s="46"/>
      <c r="O880" s="57"/>
      <c r="P880" s="46"/>
      <c r="Q880" s="46"/>
      <c r="R880" s="57"/>
      <c r="S880" s="7"/>
      <c r="T880" s="54"/>
      <c r="U880" s="58"/>
      <c r="V880" s="47"/>
      <c r="W880" s="18"/>
      <c r="X880" s="46"/>
      <c r="Y880" s="9"/>
      <c r="Z880" s="46"/>
      <c r="AA880" s="7"/>
      <c r="AB880" s="46"/>
      <c r="AC880" s="47"/>
      <c r="AD880" s="7"/>
      <c r="AE880" s="47"/>
      <c r="AF880" s="18"/>
      <c r="AG880" s="26"/>
      <c r="AH880" s="34"/>
      <c r="AI880" s="34"/>
      <c r="AJ880" s="18"/>
      <c r="AK880" s="48"/>
      <c r="AL880" s="26"/>
      <c r="AM880" s="26"/>
    </row>
    <row r="881">
      <c r="A881" s="51"/>
      <c r="B881" s="51"/>
      <c r="C881" s="52"/>
      <c r="D881" s="51"/>
      <c r="E881" s="53"/>
      <c r="F881" s="54"/>
      <c r="G881" s="51"/>
      <c r="H881" s="51"/>
      <c r="I881" s="55"/>
      <c r="J881" s="56"/>
      <c r="K881" s="46"/>
      <c r="L881" s="46"/>
      <c r="M881" s="47"/>
      <c r="N881" s="46"/>
      <c r="O881" s="57"/>
      <c r="P881" s="46"/>
      <c r="Q881" s="46"/>
      <c r="R881" s="57"/>
      <c r="S881" s="7"/>
      <c r="T881" s="54"/>
      <c r="U881" s="58"/>
      <c r="V881" s="47"/>
      <c r="W881" s="18"/>
      <c r="X881" s="46"/>
      <c r="Y881" s="9"/>
      <c r="Z881" s="46"/>
      <c r="AA881" s="7"/>
      <c r="AB881" s="46"/>
      <c r="AC881" s="47"/>
      <c r="AD881" s="7"/>
      <c r="AE881" s="47"/>
      <c r="AF881" s="18"/>
      <c r="AG881" s="26"/>
      <c r="AH881" s="34"/>
      <c r="AI881" s="34"/>
      <c r="AJ881" s="18"/>
      <c r="AK881" s="48"/>
      <c r="AL881" s="26"/>
      <c r="AM881" s="26"/>
    </row>
    <row r="882">
      <c r="A882" s="51"/>
      <c r="B882" s="51"/>
      <c r="C882" s="52"/>
      <c r="D882" s="51"/>
      <c r="E882" s="53"/>
      <c r="F882" s="54"/>
      <c r="G882" s="51"/>
      <c r="H882" s="51"/>
      <c r="I882" s="55"/>
      <c r="J882" s="56"/>
      <c r="K882" s="46"/>
      <c r="L882" s="46"/>
      <c r="M882" s="47"/>
      <c r="N882" s="46"/>
      <c r="O882" s="57"/>
      <c r="P882" s="46"/>
      <c r="Q882" s="46"/>
      <c r="R882" s="57"/>
      <c r="S882" s="7"/>
      <c r="T882" s="54"/>
      <c r="U882" s="58"/>
      <c r="V882" s="47"/>
      <c r="W882" s="18"/>
      <c r="X882" s="46"/>
      <c r="Y882" s="9"/>
      <c r="Z882" s="46"/>
      <c r="AA882" s="7"/>
      <c r="AB882" s="46"/>
      <c r="AC882" s="47"/>
      <c r="AD882" s="7"/>
      <c r="AE882" s="47"/>
      <c r="AF882" s="18"/>
      <c r="AG882" s="26"/>
      <c r="AH882" s="34"/>
      <c r="AI882" s="34"/>
      <c r="AJ882" s="18"/>
      <c r="AK882" s="48"/>
      <c r="AL882" s="26"/>
      <c r="AM882" s="26"/>
    </row>
    <row r="883">
      <c r="A883" s="51"/>
      <c r="B883" s="51"/>
      <c r="C883" s="52"/>
      <c r="D883" s="51"/>
      <c r="E883" s="53"/>
      <c r="F883" s="54"/>
      <c r="G883" s="51"/>
      <c r="H883" s="51"/>
      <c r="I883" s="55"/>
      <c r="J883" s="56"/>
      <c r="K883" s="46"/>
      <c r="L883" s="46"/>
      <c r="M883" s="47"/>
      <c r="N883" s="46"/>
      <c r="O883" s="57"/>
      <c r="P883" s="46"/>
      <c r="Q883" s="46"/>
      <c r="R883" s="57"/>
      <c r="S883" s="7"/>
      <c r="T883" s="54"/>
      <c r="U883" s="58"/>
      <c r="V883" s="47"/>
      <c r="W883" s="18"/>
      <c r="X883" s="46"/>
      <c r="Y883" s="9"/>
      <c r="Z883" s="46"/>
      <c r="AA883" s="7"/>
      <c r="AB883" s="46"/>
      <c r="AC883" s="47"/>
      <c r="AD883" s="7"/>
      <c r="AE883" s="47"/>
      <c r="AF883" s="18"/>
      <c r="AG883" s="26"/>
      <c r="AH883" s="34"/>
      <c r="AI883" s="34"/>
      <c r="AJ883" s="18"/>
      <c r="AK883" s="48"/>
      <c r="AL883" s="26"/>
      <c r="AM883" s="26"/>
    </row>
    <row r="884">
      <c r="A884" s="51"/>
      <c r="B884" s="51"/>
      <c r="C884" s="52"/>
      <c r="D884" s="51"/>
      <c r="E884" s="53"/>
      <c r="F884" s="54"/>
      <c r="G884" s="51"/>
      <c r="H884" s="51"/>
      <c r="I884" s="55"/>
      <c r="J884" s="56"/>
      <c r="K884" s="46"/>
      <c r="L884" s="46"/>
      <c r="M884" s="47"/>
      <c r="N884" s="46"/>
      <c r="O884" s="57"/>
      <c r="P884" s="46"/>
      <c r="Q884" s="46"/>
      <c r="R884" s="57"/>
      <c r="S884" s="7"/>
      <c r="T884" s="54"/>
      <c r="U884" s="58"/>
      <c r="V884" s="47"/>
      <c r="W884" s="18"/>
      <c r="X884" s="46"/>
      <c r="Y884" s="9"/>
      <c r="Z884" s="46"/>
      <c r="AA884" s="7"/>
      <c r="AB884" s="46"/>
      <c r="AC884" s="47"/>
      <c r="AD884" s="7"/>
      <c r="AE884" s="47"/>
      <c r="AF884" s="18"/>
      <c r="AG884" s="26"/>
      <c r="AH884" s="34"/>
      <c r="AI884" s="34"/>
      <c r="AJ884" s="18"/>
      <c r="AK884" s="48"/>
      <c r="AL884" s="26"/>
      <c r="AM884" s="26"/>
    </row>
    <row r="885">
      <c r="A885" s="51"/>
      <c r="B885" s="51"/>
      <c r="C885" s="52"/>
      <c r="D885" s="51"/>
      <c r="E885" s="53"/>
      <c r="F885" s="54"/>
      <c r="G885" s="51"/>
      <c r="H885" s="51"/>
      <c r="I885" s="55"/>
      <c r="J885" s="56"/>
      <c r="K885" s="46"/>
      <c r="L885" s="46"/>
      <c r="M885" s="47"/>
      <c r="N885" s="46"/>
      <c r="O885" s="57"/>
      <c r="P885" s="46"/>
      <c r="Q885" s="46"/>
      <c r="R885" s="57"/>
      <c r="S885" s="7"/>
      <c r="T885" s="54"/>
      <c r="U885" s="58"/>
      <c r="V885" s="47"/>
      <c r="W885" s="18"/>
      <c r="X885" s="46"/>
      <c r="Y885" s="9"/>
      <c r="Z885" s="46"/>
      <c r="AA885" s="7"/>
      <c r="AB885" s="46"/>
      <c r="AC885" s="47"/>
      <c r="AD885" s="7"/>
      <c r="AE885" s="47"/>
      <c r="AF885" s="18"/>
      <c r="AG885" s="26"/>
      <c r="AH885" s="34"/>
      <c r="AI885" s="34"/>
      <c r="AJ885" s="18"/>
      <c r="AK885" s="48"/>
      <c r="AL885" s="26"/>
      <c r="AM885" s="26"/>
    </row>
    <row r="886">
      <c r="A886" s="51"/>
      <c r="B886" s="51"/>
      <c r="C886" s="52"/>
      <c r="D886" s="51"/>
      <c r="E886" s="53"/>
      <c r="F886" s="54"/>
      <c r="G886" s="51"/>
      <c r="H886" s="51"/>
      <c r="I886" s="55"/>
      <c r="J886" s="56"/>
      <c r="K886" s="46"/>
      <c r="L886" s="46"/>
      <c r="M886" s="47"/>
      <c r="N886" s="46"/>
      <c r="O886" s="57"/>
      <c r="P886" s="46"/>
      <c r="Q886" s="46"/>
      <c r="R886" s="57"/>
      <c r="S886" s="7"/>
      <c r="T886" s="54"/>
      <c r="U886" s="58"/>
      <c r="V886" s="47"/>
      <c r="W886" s="18"/>
      <c r="X886" s="46"/>
      <c r="Y886" s="9"/>
      <c r="Z886" s="46"/>
      <c r="AA886" s="7"/>
      <c r="AB886" s="46"/>
      <c r="AC886" s="47"/>
      <c r="AD886" s="7"/>
      <c r="AE886" s="47"/>
      <c r="AF886" s="18"/>
      <c r="AG886" s="26"/>
      <c r="AH886" s="34"/>
      <c r="AI886" s="34"/>
      <c r="AJ886" s="18"/>
      <c r="AK886" s="48"/>
      <c r="AL886" s="26"/>
      <c r="AM886" s="26"/>
    </row>
    <row r="887">
      <c r="A887" s="51"/>
      <c r="B887" s="51"/>
      <c r="C887" s="52"/>
      <c r="D887" s="51"/>
      <c r="E887" s="53"/>
      <c r="F887" s="54"/>
      <c r="G887" s="51"/>
      <c r="H887" s="51"/>
      <c r="I887" s="55"/>
      <c r="J887" s="56"/>
      <c r="K887" s="46"/>
      <c r="L887" s="46"/>
      <c r="M887" s="47"/>
      <c r="N887" s="46"/>
      <c r="O887" s="57"/>
      <c r="P887" s="46"/>
      <c r="Q887" s="46"/>
      <c r="R887" s="57"/>
      <c r="S887" s="7"/>
      <c r="T887" s="54"/>
      <c r="U887" s="58"/>
      <c r="V887" s="47"/>
      <c r="W887" s="18"/>
      <c r="X887" s="46"/>
      <c r="Y887" s="9"/>
      <c r="Z887" s="46"/>
      <c r="AA887" s="7"/>
      <c r="AB887" s="46"/>
      <c r="AC887" s="47"/>
      <c r="AD887" s="7"/>
      <c r="AE887" s="47"/>
      <c r="AF887" s="18"/>
      <c r="AG887" s="26"/>
      <c r="AH887" s="34"/>
      <c r="AI887" s="34"/>
      <c r="AJ887" s="18"/>
      <c r="AK887" s="48"/>
      <c r="AL887" s="26"/>
      <c r="AM887" s="26"/>
    </row>
    <row r="888">
      <c r="A888" s="51"/>
      <c r="B888" s="51"/>
      <c r="C888" s="52"/>
      <c r="D888" s="51"/>
      <c r="E888" s="53"/>
      <c r="F888" s="54"/>
      <c r="G888" s="51"/>
      <c r="H888" s="51"/>
      <c r="I888" s="55"/>
      <c r="J888" s="56"/>
      <c r="K888" s="46"/>
      <c r="L888" s="46"/>
      <c r="M888" s="47"/>
      <c r="N888" s="46"/>
      <c r="O888" s="57"/>
      <c r="P888" s="46"/>
      <c r="Q888" s="46"/>
      <c r="R888" s="57"/>
      <c r="S888" s="7"/>
      <c r="T888" s="54"/>
      <c r="U888" s="58"/>
      <c r="V888" s="47"/>
      <c r="W888" s="18"/>
      <c r="X888" s="46"/>
      <c r="Y888" s="9"/>
      <c r="Z888" s="46"/>
      <c r="AA888" s="7"/>
      <c r="AB888" s="46"/>
      <c r="AC888" s="47"/>
      <c r="AD888" s="7"/>
      <c r="AE888" s="47"/>
      <c r="AF888" s="18"/>
      <c r="AG888" s="26"/>
      <c r="AH888" s="34"/>
      <c r="AI888" s="34"/>
      <c r="AJ888" s="18"/>
      <c r="AK888" s="48"/>
      <c r="AL888" s="26"/>
      <c r="AM888" s="26"/>
    </row>
    <row r="889">
      <c r="A889" s="51"/>
      <c r="B889" s="51"/>
      <c r="C889" s="52"/>
      <c r="D889" s="51"/>
      <c r="E889" s="53"/>
      <c r="F889" s="54"/>
      <c r="G889" s="51"/>
      <c r="H889" s="51"/>
      <c r="I889" s="55"/>
      <c r="J889" s="56"/>
      <c r="K889" s="46"/>
      <c r="L889" s="46"/>
      <c r="M889" s="47"/>
      <c r="N889" s="46"/>
      <c r="O889" s="57"/>
      <c r="P889" s="46"/>
      <c r="Q889" s="46"/>
      <c r="R889" s="57"/>
      <c r="S889" s="7"/>
      <c r="T889" s="54"/>
      <c r="U889" s="58"/>
      <c r="V889" s="47"/>
      <c r="W889" s="18"/>
      <c r="X889" s="46"/>
      <c r="Y889" s="9"/>
      <c r="Z889" s="46"/>
      <c r="AA889" s="7"/>
      <c r="AB889" s="46"/>
      <c r="AC889" s="47"/>
      <c r="AD889" s="7"/>
      <c r="AE889" s="47"/>
      <c r="AF889" s="18"/>
      <c r="AG889" s="26"/>
      <c r="AH889" s="34"/>
      <c r="AI889" s="34"/>
      <c r="AJ889" s="18"/>
      <c r="AK889" s="48"/>
      <c r="AL889" s="26"/>
      <c r="AM889" s="26"/>
    </row>
    <row r="890">
      <c r="A890" s="51"/>
      <c r="B890" s="51"/>
      <c r="C890" s="52"/>
      <c r="D890" s="51"/>
      <c r="E890" s="53"/>
      <c r="F890" s="54"/>
      <c r="G890" s="51"/>
      <c r="H890" s="51"/>
      <c r="I890" s="55"/>
      <c r="J890" s="56"/>
      <c r="K890" s="46"/>
      <c r="L890" s="46"/>
      <c r="M890" s="47"/>
      <c r="N890" s="46"/>
      <c r="O890" s="57"/>
      <c r="P890" s="46"/>
      <c r="Q890" s="46"/>
      <c r="R890" s="57"/>
      <c r="S890" s="7"/>
      <c r="T890" s="54"/>
      <c r="U890" s="58"/>
      <c r="V890" s="47"/>
      <c r="W890" s="18"/>
      <c r="X890" s="46"/>
      <c r="Y890" s="9"/>
      <c r="Z890" s="46"/>
      <c r="AA890" s="7"/>
      <c r="AB890" s="46"/>
      <c r="AC890" s="47"/>
      <c r="AD890" s="7"/>
      <c r="AE890" s="47"/>
      <c r="AF890" s="18"/>
      <c r="AG890" s="26"/>
      <c r="AH890" s="34"/>
      <c r="AI890" s="34"/>
      <c r="AJ890" s="18"/>
      <c r="AK890" s="48"/>
      <c r="AL890" s="26"/>
      <c r="AM890" s="26"/>
    </row>
    <row r="891">
      <c r="A891" s="51"/>
      <c r="B891" s="51"/>
      <c r="C891" s="52"/>
      <c r="D891" s="51"/>
      <c r="E891" s="53"/>
      <c r="F891" s="54"/>
      <c r="G891" s="51"/>
      <c r="H891" s="51"/>
      <c r="I891" s="55"/>
      <c r="J891" s="56"/>
      <c r="K891" s="46"/>
      <c r="L891" s="46"/>
      <c r="M891" s="47"/>
      <c r="N891" s="46"/>
      <c r="O891" s="57"/>
      <c r="P891" s="46"/>
      <c r="Q891" s="46"/>
      <c r="R891" s="57"/>
      <c r="S891" s="7"/>
      <c r="T891" s="54"/>
      <c r="U891" s="58"/>
      <c r="V891" s="47"/>
      <c r="W891" s="18"/>
      <c r="X891" s="46"/>
      <c r="Y891" s="9"/>
      <c r="Z891" s="46"/>
      <c r="AA891" s="7"/>
      <c r="AB891" s="46"/>
      <c r="AC891" s="47"/>
      <c r="AD891" s="7"/>
      <c r="AE891" s="47"/>
      <c r="AF891" s="18"/>
      <c r="AG891" s="26"/>
      <c r="AH891" s="34"/>
      <c r="AI891" s="34"/>
      <c r="AJ891" s="18"/>
      <c r="AK891" s="48"/>
      <c r="AL891" s="26"/>
      <c r="AM891" s="26"/>
    </row>
    <row r="892">
      <c r="A892" s="51"/>
      <c r="B892" s="51"/>
      <c r="C892" s="52"/>
      <c r="D892" s="51"/>
      <c r="E892" s="53"/>
      <c r="F892" s="54"/>
      <c r="G892" s="51"/>
      <c r="H892" s="51"/>
      <c r="I892" s="55"/>
      <c r="J892" s="56"/>
      <c r="K892" s="46"/>
      <c r="L892" s="46"/>
      <c r="M892" s="47"/>
      <c r="N892" s="46"/>
      <c r="O892" s="57"/>
      <c r="P892" s="46"/>
      <c r="Q892" s="46"/>
      <c r="R892" s="57"/>
      <c r="S892" s="7"/>
      <c r="T892" s="54"/>
      <c r="U892" s="58"/>
      <c r="V892" s="47"/>
      <c r="W892" s="18"/>
      <c r="X892" s="46"/>
      <c r="Y892" s="9"/>
      <c r="Z892" s="46"/>
      <c r="AA892" s="7"/>
      <c r="AB892" s="46"/>
      <c r="AC892" s="47"/>
      <c r="AD892" s="7"/>
      <c r="AE892" s="47"/>
      <c r="AF892" s="18"/>
      <c r="AG892" s="26"/>
      <c r="AH892" s="34"/>
      <c r="AI892" s="34"/>
      <c r="AJ892" s="18"/>
      <c r="AK892" s="48"/>
      <c r="AL892" s="26"/>
      <c r="AM892" s="26"/>
    </row>
    <row r="893">
      <c r="A893" s="51"/>
      <c r="B893" s="51"/>
      <c r="C893" s="52"/>
      <c r="D893" s="51"/>
      <c r="E893" s="53"/>
      <c r="F893" s="54"/>
      <c r="G893" s="51"/>
      <c r="H893" s="51"/>
      <c r="I893" s="55"/>
      <c r="J893" s="56"/>
      <c r="K893" s="46"/>
      <c r="L893" s="46"/>
      <c r="M893" s="47"/>
      <c r="N893" s="46"/>
      <c r="O893" s="57"/>
      <c r="P893" s="46"/>
      <c r="Q893" s="46"/>
      <c r="R893" s="57"/>
      <c r="S893" s="7"/>
      <c r="T893" s="54"/>
      <c r="U893" s="58"/>
      <c r="V893" s="47"/>
      <c r="W893" s="18"/>
      <c r="X893" s="46"/>
      <c r="Y893" s="9"/>
      <c r="Z893" s="46"/>
      <c r="AA893" s="7"/>
      <c r="AB893" s="46"/>
      <c r="AC893" s="47"/>
      <c r="AD893" s="7"/>
      <c r="AE893" s="47"/>
      <c r="AF893" s="18"/>
      <c r="AG893" s="26"/>
      <c r="AH893" s="34"/>
      <c r="AI893" s="34"/>
      <c r="AJ893" s="18"/>
      <c r="AK893" s="48"/>
      <c r="AL893" s="26"/>
      <c r="AM893" s="26"/>
    </row>
    <row r="894">
      <c r="A894" s="51"/>
      <c r="B894" s="51"/>
      <c r="C894" s="52"/>
      <c r="D894" s="51"/>
      <c r="E894" s="53"/>
      <c r="F894" s="54"/>
      <c r="G894" s="51"/>
      <c r="H894" s="51"/>
      <c r="I894" s="55"/>
      <c r="J894" s="56"/>
      <c r="K894" s="46"/>
      <c r="L894" s="46"/>
      <c r="M894" s="47"/>
      <c r="N894" s="46"/>
      <c r="O894" s="57"/>
      <c r="P894" s="46"/>
      <c r="Q894" s="46"/>
      <c r="R894" s="57"/>
      <c r="S894" s="7"/>
      <c r="T894" s="54"/>
      <c r="U894" s="58"/>
      <c r="V894" s="47"/>
      <c r="W894" s="18"/>
      <c r="X894" s="46"/>
      <c r="Y894" s="9"/>
      <c r="Z894" s="46"/>
      <c r="AA894" s="7"/>
      <c r="AB894" s="46"/>
      <c r="AC894" s="47"/>
      <c r="AD894" s="7"/>
      <c r="AE894" s="47"/>
      <c r="AF894" s="18"/>
      <c r="AG894" s="26"/>
      <c r="AH894" s="34"/>
      <c r="AI894" s="34"/>
      <c r="AJ894" s="18"/>
      <c r="AK894" s="48"/>
      <c r="AL894" s="26"/>
      <c r="AM894" s="26"/>
    </row>
    <row r="895">
      <c r="A895" s="51"/>
      <c r="B895" s="51"/>
      <c r="C895" s="52"/>
      <c r="D895" s="51"/>
      <c r="E895" s="53"/>
      <c r="F895" s="54"/>
      <c r="G895" s="51"/>
      <c r="H895" s="51"/>
      <c r="I895" s="55"/>
      <c r="J895" s="56"/>
      <c r="K895" s="46"/>
      <c r="L895" s="46"/>
      <c r="M895" s="47"/>
      <c r="N895" s="46"/>
      <c r="O895" s="57"/>
      <c r="P895" s="46"/>
      <c r="Q895" s="46"/>
      <c r="R895" s="57"/>
      <c r="S895" s="7"/>
      <c r="T895" s="54"/>
      <c r="U895" s="58"/>
      <c r="V895" s="47"/>
      <c r="W895" s="18"/>
      <c r="X895" s="46"/>
      <c r="Y895" s="9"/>
      <c r="Z895" s="46"/>
      <c r="AA895" s="7"/>
      <c r="AB895" s="46"/>
      <c r="AC895" s="47"/>
      <c r="AD895" s="7"/>
      <c r="AE895" s="47"/>
      <c r="AF895" s="18"/>
      <c r="AG895" s="26"/>
      <c r="AH895" s="34"/>
      <c r="AI895" s="34"/>
      <c r="AJ895" s="18"/>
      <c r="AK895" s="48"/>
      <c r="AL895" s="26"/>
      <c r="AM895" s="26"/>
    </row>
    <row r="896">
      <c r="A896" s="51"/>
      <c r="B896" s="51"/>
      <c r="C896" s="52"/>
      <c r="D896" s="51"/>
      <c r="E896" s="53"/>
      <c r="F896" s="54"/>
      <c r="G896" s="51"/>
      <c r="H896" s="51"/>
      <c r="I896" s="55"/>
      <c r="J896" s="56"/>
      <c r="K896" s="46"/>
      <c r="L896" s="46"/>
      <c r="M896" s="47"/>
      <c r="N896" s="46"/>
      <c r="O896" s="57"/>
      <c r="P896" s="46"/>
      <c r="Q896" s="46"/>
      <c r="R896" s="57"/>
      <c r="S896" s="7"/>
      <c r="T896" s="54"/>
      <c r="U896" s="58"/>
      <c r="V896" s="47"/>
      <c r="W896" s="18"/>
      <c r="X896" s="46"/>
      <c r="Y896" s="9"/>
      <c r="Z896" s="46"/>
      <c r="AA896" s="7"/>
      <c r="AB896" s="46"/>
      <c r="AC896" s="47"/>
      <c r="AD896" s="7"/>
      <c r="AE896" s="47"/>
      <c r="AF896" s="18"/>
      <c r="AG896" s="26"/>
      <c r="AH896" s="34"/>
      <c r="AI896" s="34"/>
      <c r="AJ896" s="18"/>
      <c r="AK896" s="48"/>
      <c r="AL896" s="26"/>
      <c r="AM896" s="26"/>
    </row>
    <row r="897">
      <c r="A897" s="51"/>
      <c r="B897" s="51"/>
      <c r="C897" s="52"/>
      <c r="D897" s="51"/>
      <c r="E897" s="53"/>
      <c r="F897" s="54"/>
      <c r="G897" s="51"/>
      <c r="H897" s="51"/>
      <c r="I897" s="55"/>
      <c r="J897" s="56"/>
      <c r="K897" s="46"/>
      <c r="L897" s="46"/>
      <c r="M897" s="47"/>
      <c r="N897" s="46"/>
      <c r="O897" s="57"/>
      <c r="P897" s="46"/>
      <c r="Q897" s="46"/>
      <c r="R897" s="57"/>
      <c r="S897" s="7"/>
      <c r="T897" s="54"/>
      <c r="U897" s="58"/>
      <c r="V897" s="47"/>
      <c r="W897" s="18"/>
      <c r="X897" s="46"/>
      <c r="Y897" s="9"/>
      <c r="Z897" s="46"/>
      <c r="AA897" s="7"/>
      <c r="AB897" s="46"/>
      <c r="AC897" s="47"/>
      <c r="AD897" s="7"/>
      <c r="AE897" s="47"/>
      <c r="AF897" s="18"/>
      <c r="AG897" s="26"/>
      <c r="AH897" s="34"/>
      <c r="AI897" s="34"/>
      <c r="AJ897" s="18"/>
      <c r="AK897" s="48"/>
      <c r="AL897" s="26"/>
      <c r="AM897" s="26"/>
    </row>
    <row r="898">
      <c r="A898" s="51"/>
      <c r="B898" s="51"/>
      <c r="C898" s="52"/>
      <c r="D898" s="51"/>
      <c r="E898" s="53"/>
      <c r="F898" s="54"/>
      <c r="G898" s="51"/>
      <c r="H898" s="51"/>
      <c r="I898" s="55"/>
      <c r="J898" s="56"/>
      <c r="K898" s="46"/>
      <c r="L898" s="46"/>
      <c r="M898" s="47"/>
      <c r="N898" s="46"/>
      <c r="O898" s="57"/>
      <c r="P898" s="46"/>
      <c r="Q898" s="46"/>
      <c r="R898" s="57"/>
      <c r="S898" s="7"/>
      <c r="T898" s="54"/>
      <c r="U898" s="58"/>
      <c r="V898" s="47"/>
      <c r="W898" s="18"/>
      <c r="X898" s="46"/>
      <c r="Y898" s="9"/>
      <c r="Z898" s="46"/>
      <c r="AA898" s="7"/>
      <c r="AB898" s="46"/>
      <c r="AC898" s="47"/>
      <c r="AD898" s="7"/>
      <c r="AE898" s="47"/>
      <c r="AF898" s="18"/>
      <c r="AG898" s="26"/>
      <c r="AH898" s="34"/>
      <c r="AI898" s="34"/>
      <c r="AJ898" s="18"/>
      <c r="AK898" s="48"/>
      <c r="AL898" s="26"/>
      <c r="AM898" s="26"/>
    </row>
    <row r="899">
      <c r="A899" s="51"/>
      <c r="B899" s="51"/>
      <c r="C899" s="52"/>
      <c r="D899" s="51"/>
      <c r="E899" s="53"/>
      <c r="F899" s="54"/>
      <c r="G899" s="51"/>
      <c r="H899" s="51"/>
      <c r="I899" s="55"/>
      <c r="J899" s="56"/>
      <c r="K899" s="46"/>
      <c r="L899" s="46"/>
      <c r="M899" s="47"/>
      <c r="N899" s="46"/>
      <c r="O899" s="57"/>
      <c r="P899" s="46"/>
      <c r="Q899" s="46"/>
      <c r="R899" s="57"/>
      <c r="S899" s="7"/>
      <c r="T899" s="54"/>
      <c r="U899" s="58"/>
      <c r="V899" s="47"/>
      <c r="W899" s="18"/>
      <c r="X899" s="46"/>
      <c r="Y899" s="9"/>
      <c r="Z899" s="46"/>
      <c r="AA899" s="7"/>
      <c r="AB899" s="46"/>
      <c r="AC899" s="47"/>
      <c r="AD899" s="7"/>
      <c r="AE899" s="47"/>
      <c r="AF899" s="18"/>
      <c r="AG899" s="26"/>
      <c r="AH899" s="34"/>
      <c r="AI899" s="34"/>
      <c r="AJ899" s="18"/>
      <c r="AK899" s="48"/>
      <c r="AL899" s="26"/>
      <c r="AM899" s="26"/>
    </row>
    <row r="900">
      <c r="A900" s="51"/>
      <c r="B900" s="51"/>
      <c r="C900" s="52"/>
      <c r="D900" s="51"/>
      <c r="E900" s="53"/>
      <c r="F900" s="54"/>
      <c r="G900" s="51"/>
      <c r="H900" s="51"/>
      <c r="I900" s="55"/>
      <c r="J900" s="56"/>
      <c r="K900" s="46"/>
      <c r="L900" s="46"/>
      <c r="M900" s="47"/>
      <c r="N900" s="46"/>
      <c r="O900" s="57"/>
      <c r="P900" s="46"/>
      <c r="Q900" s="46"/>
      <c r="R900" s="57"/>
      <c r="S900" s="7"/>
      <c r="T900" s="54"/>
      <c r="U900" s="58"/>
      <c r="V900" s="47"/>
      <c r="W900" s="18"/>
      <c r="X900" s="46"/>
      <c r="Y900" s="9"/>
      <c r="Z900" s="46"/>
      <c r="AA900" s="7"/>
      <c r="AB900" s="46"/>
      <c r="AC900" s="47"/>
      <c r="AD900" s="7"/>
      <c r="AE900" s="47"/>
      <c r="AF900" s="18"/>
      <c r="AG900" s="26"/>
      <c r="AH900" s="34"/>
      <c r="AI900" s="34"/>
      <c r="AJ900" s="18"/>
      <c r="AK900" s="48"/>
      <c r="AL900" s="26"/>
      <c r="AM900" s="26"/>
    </row>
    <row r="901">
      <c r="A901" s="51"/>
      <c r="B901" s="51"/>
      <c r="C901" s="52"/>
      <c r="D901" s="51"/>
      <c r="E901" s="53"/>
      <c r="F901" s="54"/>
      <c r="G901" s="51"/>
      <c r="H901" s="51"/>
      <c r="I901" s="55"/>
      <c r="J901" s="56"/>
      <c r="K901" s="46"/>
      <c r="L901" s="46"/>
      <c r="M901" s="47"/>
      <c r="N901" s="46"/>
      <c r="O901" s="57"/>
      <c r="P901" s="46"/>
      <c r="Q901" s="46"/>
      <c r="R901" s="57"/>
      <c r="S901" s="7"/>
      <c r="T901" s="54"/>
      <c r="U901" s="58"/>
      <c r="V901" s="47"/>
      <c r="W901" s="18"/>
      <c r="X901" s="46"/>
      <c r="Y901" s="9"/>
      <c r="Z901" s="46"/>
      <c r="AA901" s="7"/>
      <c r="AB901" s="46"/>
      <c r="AC901" s="47"/>
      <c r="AD901" s="7"/>
      <c r="AE901" s="47"/>
      <c r="AF901" s="18"/>
      <c r="AG901" s="26"/>
      <c r="AH901" s="34"/>
      <c r="AI901" s="34"/>
      <c r="AJ901" s="18"/>
      <c r="AK901" s="48"/>
      <c r="AL901" s="26"/>
      <c r="AM901" s="26"/>
    </row>
    <row r="902">
      <c r="A902" s="51"/>
      <c r="B902" s="51"/>
      <c r="C902" s="52"/>
      <c r="D902" s="51"/>
      <c r="E902" s="53"/>
      <c r="F902" s="54"/>
      <c r="G902" s="51"/>
      <c r="H902" s="51"/>
      <c r="I902" s="55"/>
      <c r="J902" s="56"/>
      <c r="K902" s="46"/>
      <c r="L902" s="46"/>
      <c r="M902" s="47"/>
      <c r="N902" s="46"/>
      <c r="O902" s="57"/>
      <c r="P902" s="46"/>
      <c r="Q902" s="46"/>
      <c r="R902" s="57"/>
      <c r="S902" s="7"/>
      <c r="T902" s="54"/>
      <c r="U902" s="58"/>
      <c r="V902" s="47"/>
      <c r="W902" s="18"/>
      <c r="X902" s="46"/>
      <c r="Y902" s="9"/>
      <c r="Z902" s="46"/>
      <c r="AA902" s="7"/>
      <c r="AB902" s="46"/>
      <c r="AC902" s="47"/>
      <c r="AD902" s="7"/>
      <c r="AE902" s="47"/>
      <c r="AF902" s="18"/>
      <c r="AG902" s="26"/>
      <c r="AH902" s="34"/>
      <c r="AI902" s="34"/>
      <c r="AJ902" s="18"/>
      <c r="AK902" s="48"/>
      <c r="AL902" s="26"/>
      <c r="AM902" s="26"/>
    </row>
    <row r="903">
      <c r="A903" s="51"/>
      <c r="B903" s="51"/>
      <c r="C903" s="52"/>
      <c r="D903" s="51"/>
      <c r="E903" s="53"/>
      <c r="F903" s="54"/>
      <c r="G903" s="51"/>
      <c r="H903" s="51"/>
      <c r="I903" s="55"/>
      <c r="J903" s="56"/>
      <c r="K903" s="46"/>
      <c r="L903" s="46"/>
      <c r="M903" s="47"/>
      <c r="N903" s="46"/>
      <c r="O903" s="57"/>
      <c r="P903" s="46"/>
      <c r="Q903" s="46"/>
      <c r="R903" s="57"/>
      <c r="S903" s="7"/>
      <c r="T903" s="54"/>
      <c r="U903" s="58"/>
      <c r="V903" s="47"/>
      <c r="W903" s="18"/>
      <c r="X903" s="46"/>
      <c r="Y903" s="9"/>
      <c r="Z903" s="46"/>
      <c r="AA903" s="7"/>
      <c r="AB903" s="46"/>
      <c r="AC903" s="47"/>
      <c r="AD903" s="7"/>
      <c r="AE903" s="47"/>
      <c r="AF903" s="18"/>
      <c r="AG903" s="26"/>
      <c r="AH903" s="34"/>
      <c r="AI903" s="34"/>
      <c r="AJ903" s="18"/>
      <c r="AK903" s="48"/>
      <c r="AL903" s="26"/>
      <c r="AM903" s="26"/>
    </row>
    <row r="904">
      <c r="A904" s="51"/>
      <c r="B904" s="51"/>
      <c r="C904" s="52"/>
      <c r="D904" s="51"/>
      <c r="E904" s="53"/>
      <c r="F904" s="54"/>
      <c r="G904" s="51"/>
      <c r="H904" s="51"/>
      <c r="I904" s="55"/>
      <c r="J904" s="56"/>
      <c r="K904" s="46"/>
      <c r="L904" s="46"/>
      <c r="M904" s="47"/>
      <c r="N904" s="46"/>
      <c r="O904" s="57"/>
      <c r="P904" s="46"/>
      <c r="Q904" s="46"/>
      <c r="R904" s="57"/>
      <c r="S904" s="7"/>
      <c r="T904" s="54"/>
      <c r="U904" s="58"/>
      <c r="V904" s="47"/>
      <c r="W904" s="18"/>
      <c r="X904" s="46"/>
      <c r="Y904" s="9"/>
      <c r="Z904" s="46"/>
      <c r="AA904" s="7"/>
      <c r="AB904" s="46"/>
      <c r="AC904" s="47"/>
      <c r="AD904" s="7"/>
      <c r="AE904" s="47"/>
      <c r="AF904" s="18"/>
      <c r="AG904" s="26"/>
      <c r="AH904" s="34"/>
      <c r="AI904" s="34"/>
      <c r="AJ904" s="18"/>
      <c r="AK904" s="48"/>
      <c r="AL904" s="26"/>
      <c r="AM904" s="26"/>
    </row>
    <row r="905">
      <c r="A905" s="51"/>
      <c r="B905" s="51"/>
      <c r="C905" s="52"/>
      <c r="D905" s="51"/>
      <c r="E905" s="53"/>
      <c r="F905" s="54"/>
      <c r="G905" s="51"/>
      <c r="H905" s="51"/>
      <c r="I905" s="55"/>
      <c r="J905" s="56"/>
      <c r="K905" s="46"/>
      <c r="L905" s="46"/>
      <c r="M905" s="47"/>
      <c r="N905" s="46"/>
      <c r="O905" s="57"/>
      <c r="P905" s="46"/>
      <c r="Q905" s="46"/>
      <c r="R905" s="57"/>
      <c r="S905" s="7"/>
      <c r="T905" s="54"/>
      <c r="U905" s="58"/>
      <c r="V905" s="47"/>
      <c r="W905" s="18"/>
      <c r="X905" s="46"/>
      <c r="Y905" s="9"/>
      <c r="Z905" s="46"/>
      <c r="AA905" s="7"/>
      <c r="AB905" s="46"/>
      <c r="AC905" s="47"/>
      <c r="AD905" s="7"/>
      <c r="AE905" s="47"/>
      <c r="AF905" s="18"/>
      <c r="AG905" s="26"/>
      <c r="AH905" s="34"/>
      <c r="AI905" s="34"/>
      <c r="AJ905" s="18"/>
      <c r="AK905" s="48"/>
      <c r="AL905" s="26"/>
      <c r="AM905" s="26"/>
    </row>
    <row r="906">
      <c r="A906" s="51"/>
      <c r="B906" s="51"/>
      <c r="C906" s="52"/>
      <c r="D906" s="51"/>
      <c r="E906" s="53"/>
      <c r="F906" s="54"/>
      <c r="G906" s="51"/>
      <c r="H906" s="51"/>
      <c r="I906" s="55"/>
      <c r="J906" s="56"/>
      <c r="K906" s="46"/>
      <c r="L906" s="46"/>
      <c r="M906" s="47"/>
      <c r="N906" s="46"/>
      <c r="O906" s="57"/>
      <c r="P906" s="46"/>
      <c r="Q906" s="46"/>
      <c r="R906" s="57"/>
      <c r="S906" s="7"/>
      <c r="T906" s="54"/>
      <c r="U906" s="58"/>
      <c r="V906" s="47"/>
      <c r="W906" s="18"/>
      <c r="X906" s="46"/>
      <c r="Y906" s="9"/>
      <c r="Z906" s="46"/>
      <c r="AA906" s="7"/>
      <c r="AB906" s="46"/>
      <c r="AC906" s="47"/>
      <c r="AD906" s="7"/>
      <c r="AE906" s="47"/>
      <c r="AF906" s="18"/>
      <c r="AG906" s="26"/>
      <c r="AH906" s="34"/>
      <c r="AI906" s="34"/>
      <c r="AJ906" s="18"/>
      <c r="AK906" s="48"/>
      <c r="AL906" s="26"/>
      <c r="AM906" s="26"/>
    </row>
    <row r="907">
      <c r="A907" s="51"/>
      <c r="B907" s="51"/>
      <c r="C907" s="52"/>
      <c r="D907" s="51"/>
      <c r="E907" s="53"/>
      <c r="F907" s="54"/>
      <c r="G907" s="51"/>
      <c r="H907" s="51"/>
      <c r="I907" s="55"/>
      <c r="J907" s="56"/>
      <c r="K907" s="46"/>
      <c r="L907" s="46"/>
      <c r="M907" s="47"/>
      <c r="N907" s="46"/>
      <c r="O907" s="57"/>
      <c r="P907" s="46"/>
      <c r="Q907" s="46"/>
      <c r="R907" s="57"/>
      <c r="S907" s="7"/>
      <c r="T907" s="54"/>
      <c r="U907" s="58"/>
      <c r="V907" s="47"/>
      <c r="W907" s="18"/>
      <c r="X907" s="46"/>
      <c r="Y907" s="9"/>
      <c r="Z907" s="46"/>
      <c r="AA907" s="7"/>
      <c r="AB907" s="46"/>
      <c r="AC907" s="47"/>
      <c r="AD907" s="7"/>
      <c r="AE907" s="47"/>
      <c r="AF907" s="18"/>
      <c r="AG907" s="26"/>
      <c r="AH907" s="34"/>
      <c r="AI907" s="34"/>
      <c r="AJ907" s="18"/>
      <c r="AK907" s="48"/>
      <c r="AL907" s="26"/>
      <c r="AM907" s="26"/>
    </row>
    <row r="908">
      <c r="A908" s="51"/>
      <c r="B908" s="51"/>
      <c r="C908" s="52"/>
      <c r="D908" s="51"/>
      <c r="E908" s="53"/>
      <c r="F908" s="54"/>
      <c r="G908" s="51"/>
      <c r="H908" s="51"/>
      <c r="I908" s="55"/>
      <c r="J908" s="56"/>
      <c r="K908" s="46"/>
      <c r="L908" s="46"/>
      <c r="M908" s="47"/>
      <c r="N908" s="46"/>
      <c r="O908" s="57"/>
      <c r="P908" s="46"/>
      <c r="Q908" s="46"/>
      <c r="R908" s="57"/>
      <c r="S908" s="7"/>
      <c r="T908" s="54"/>
      <c r="U908" s="58"/>
      <c r="V908" s="47"/>
      <c r="W908" s="18"/>
      <c r="X908" s="46"/>
      <c r="Y908" s="9"/>
      <c r="Z908" s="46"/>
      <c r="AA908" s="7"/>
      <c r="AB908" s="46"/>
      <c r="AC908" s="47"/>
      <c r="AD908" s="7"/>
      <c r="AE908" s="47"/>
      <c r="AF908" s="18"/>
      <c r="AG908" s="26"/>
      <c r="AH908" s="34"/>
      <c r="AI908" s="34"/>
      <c r="AJ908" s="18"/>
      <c r="AK908" s="48"/>
      <c r="AL908" s="26"/>
      <c r="AM908" s="26"/>
    </row>
    <row r="909">
      <c r="A909" s="51"/>
      <c r="B909" s="51"/>
      <c r="C909" s="52"/>
      <c r="D909" s="51"/>
      <c r="E909" s="53"/>
      <c r="F909" s="54"/>
      <c r="G909" s="51"/>
      <c r="H909" s="51"/>
      <c r="I909" s="55"/>
      <c r="J909" s="56"/>
      <c r="K909" s="46"/>
      <c r="L909" s="46"/>
      <c r="M909" s="47"/>
      <c r="N909" s="46"/>
      <c r="O909" s="57"/>
      <c r="P909" s="46"/>
      <c r="Q909" s="46"/>
      <c r="R909" s="57"/>
      <c r="S909" s="7"/>
      <c r="T909" s="54"/>
      <c r="U909" s="58"/>
      <c r="V909" s="47"/>
      <c r="W909" s="18"/>
      <c r="X909" s="46"/>
      <c r="Y909" s="9"/>
      <c r="Z909" s="46"/>
      <c r="AA909" s="7"/>
      <c r="AB909" s="46"/>
      <c r="AC909" s="47"/>
      <c r="AD909" s="7"/>
      <c r="AE909" s="47"/>
      <c r="AF909" s="18"/>
      <c r="AG909" s="26"/>
      <c r="AH909" s="34"/>
      <c r="AI909" s="34"/>
      <c r="AJ909" s="18"/>
      <c r="AK909" s="48"/>
      <c r="AL909" s="26"/>
      <c r="AM909" s="26"/>
    </row>
    <row r="910">
      <c r="A910" s="51"/>
      <c r="B910" s="51"/>
      <c r="C910" s="52"/>
      <c r="D910" s="51"/>
      <c r="E910" s="53"/>
      <c r="F910" s="54"/>
      <c r="G910" s="51"/>
      <c r="H910" s="51"/>
      <c r="I910" s="55"/>
      <c r="J910" s="56"/>
      <c r="K910" s="46"/>
      <c r="L910" s="46"/>
      <c r="M910" s="47"/>
      <c r="N910" s="46"/>
      <c r="O910" s="57"/>
      <c r="P910" s="46"/>
      <c r="Q910" s="46"/>
      <c r="R910" s="57"/>
      <c r="S910" s="7"/>
      <c r="T910" s="54"/>
      <c r="U910" s="58"/>
      <c r="V910" s="47"/>
      <c r="W910" s="18"/>
      <c r="X910" s="46"/>
      <c r="Y910" s="9"/>
      <c r="Z910" s="46"/>
      <c r="AA910" s="7"/>
      <c r="AB910" s="46"/>
      <c r="AC910" s="47"/>
      <c r="AD910" s="7"/>
      <c r="AE910" s="47"/>
      <c r="AF910" s="18"/>
      <c r="AG910" s="26"/>
      <c r="AH910" s="34"/>
      <c r="AI910" s="34"/>
      <c r="AJ910" s="18"/>
      <c r="AK910" s="48"/>
      <c r="AL910" s="26"/>
      <c r="AM910" s="26"/>
    </row>
    <row r="911">
      <c r="A911" s="51"/>
      <c r="B911" s="51"/>
      <c r="C911" s="52"/>
      <c r="D911" s="51"/>
      <c r="E911" s="53"/>
      <c r="F911" s="54"/>
      <c r="G911" s="51"/>
      <c r="H911" s="51"/>
      <c r="I911" s="55"/>
      <c r="J911" s="56"/>
      <c r="K911" s="46"/>
      <c r="L911" s="46"/>
      <c r="M911" s="47"/>
      <c r="N911" s="46"/>
      <c r="O911" s="57"/>
      <c r="P911" s="46"/>
      <c r="Q911" s="46"/>
      <c r="R911" s="57"/>
      <c r="S911" s="7"/>
      <c r="T911" s="54"/>
      <c r="U911" s="58"/>
      <c r="V911" s="47"/>
      <c r="W911" s="18"/>
      <c r="X911" s="46"/>
      <c r="Y911" s="9"/>
      <c r="Z911" s="46"/>
      <c r="AA911" s="7"/>
      <c r="AB911" s="46"/>
      <c r="AC911" s="47"/>
      <c r="AD911" s="7"/>
      <c r="AE911" s="47"/>
      <c r="AF911" s="18"/>
      <c r="AG911" s="26"/>
      <c r="AH911" s="34"/>
      <c r="AI911" s="34"/>
      <c r="AJ911" s="18"/>
      <c r="AK911" s="48"/>
      <c r="AL911" s="26"/>
      <c r="AM911" s="26"/>
    </row>
    <row r="912">
      <c r="A912" s="51"/>
      <c r="B912" s="51"/>
      <c r="C912" s="52"/>
      <c r="D912" s="51"/>
      <c r="E912" s="53"/>
      <c r="F912" s="54"/>
      <c r="G912" s="51"/>
      <c r="H912" s="51"/>
      <c r="I912" s="55"/>
      <c r="J912" s="56"/>
      <c r="K912" s="46"/>
      <c r="L912" s="46"/>
      <c r="M912" s="47"/>
      <c r="N912" s="46"/>
      <c r="O912" s="57"/>
      <c r="P912" s="46"/>
      <c r="Q912" s="46"/>
      <c r="R912" s="57"/>
      <c r="S912" s="7"/>
      <c r="T912" s="54"/>
      <c r="U912" s="58"/>
      <c r="V912" s="47"/>
      <c r="W912" s="18"/>
      <c r="X912" s="46"/>
      <c r="Y912" s="9"/>
      <c r="Z912" s="46"/>
      <c r="AA912" s="7"/>
      <c r="AB912" s="46"/>
      <c r="AC912" s="47"/>
      <c r="AD912" s="7"/>
      <c r="AE912" s="47"/>
      <c r="AF912" s="18"/>
      <c r="AG912" s="26"/>
      <c r="AH912" s="34"/>
      <c r="AI912" s="34"/>
      <c r="AJ912" s="18"/>
      <c r="AK912" s="48"/>
      <c r="AL912" s="26"/>
      <c r="AM912" s="26"/>
    </row>
    <row r="913">
      <c r="A913" s="51"/>
      <c r="B913" s="51"/>
      <c r="C913" s="52"/>
      <c r="D913" s="51"/>
      <c r="E913" s="53"/>
      <c r="F913" s="54"/>
      <c r="G913" s="51"/>
      <c r="H913" s="51"/>
      <c r="I913" s="55"/>
      <c r="J913" s="56"/>
      <c r="K913" s="46"/>
      <c r="L913" s="46"/>
      <c r="M913" s="47"/>
      <c r="N913" s="46"/>
      <c r="O913" s="57"/>
      <c r="P913" s="46"/>
      <c r="Q913" s="46"/>
      <c r="R913" s="57"/>
      <c r="S913" s="7"/>
      <c r="T913" s="54"/>
      <c r="U913" s="58"/>
      <c r="V913" s="47"/>
      <c r="W913" s="18"/>
      <c r="X913" s="46"/>
      <c r="Y913" s="9"/>
      <c r="Z913" s="46"/>
      <c r="AA913" s="7"/>
      <c r="AB913" s="46"/>
      <c r="AC913" s="47"/>
      <c r="AD913" s="7"/>
      <c r="AE913" s="47"/>
      <c r="AF913" s="18"/>
      <c r="AG913" s="26"/>
      <c r="AH913" s="34"/>
      <c r="AI913" s="34"/>
      <c r="AJ913" s="18"/>
      <c r="AK913" s="48"/>
      <c r="AL913" s="26"/>
      <c r="AM913" s="26"/>
    </row>
    <row r="914">
      <c r="A914" s="51"/>
      <c r="B914" s="51"/>
      <c r="C914" s="52"/>
      <c r="D914" s="51"/>
      <c r="E914" s="53"/>
      <c r="F914" s="54"/>
      <c r="G914" s="51"/>
      <c r="H914" s="51"/>
      <c r="I914" s="55"/>
      <c r="J914" s="56"/>
      <c r="K914" s="46"/>
      <c r="L914" s="46"/>
      <c r="M914" s="47"/>
      <c r="N914" s="46"/>
      <c r="O914" s="57"/>
      <c r="P914" s="46"/>
      <c r="Q914" s="46"/>
      <c r="R914" s="57"/>
      <c r="S914" s="7"/>
      <c r="T914" s="54"/>
      <c r="U914" s="58"/>
      <c r="V914" s="47"/>
      <c r="W914" s="18"/>
      <c r="X914" s="46"/>
      <c r="Y914" s="9"/>
      <c r="Z914" s="46"/>
      <c r="AA914" s="7"/>
      <c r="AB914" s="46"/>
      <c r="AC914" s="47"/>
      <c r="AD914" s="7"/>
      <c r="AE914" s="47"/>
      <c r="AF914" s="18"/>
      <c r="AG914" s="26"/>
      <c r="AH914" s="34"/>
      <c r="AI914" s="34"/>
      <c r="AJ914" s="18"/>
      <c r="AK914" s="48"/>
      <c r="AL914" s="26"/>
      <c r="AM914" s="26"/>
    </row>
    <row r="915">
      <c r="A915" s="51"/>
      <c r="B915" s="51"/>
      <c r="C915" s="52"/>
      <c r="D915" s="51"/>
      <c r="E915" s="53"/>
      <c r="F915" s="54"/>
      <c r="G915" s="51"/>
      <c r="H915" s="51"/>
      <c r="I915" s="55"/>
      <c r="J915" s="56"/>
      <c r="K915" s="46"/>
      <c r="L915" s="46"/>
      <c r="M915" s="47"/>
      <c r="N915" s="46"/>
      <c r="O915" s="57"/>
      <c r="P915" s="46"/>
      <c r="Q915" s="46"/>
      <c r="R915" s="57"/>
      <c r="S915" s="7"/>
      <c r="T915" s="54"/>
      <c r="U915" s="58"/>
      <c r="V915" s="47"/>
      <c r="W915" s="18"/>
      <c r="X915" s="46"/>
      <c r="Y915" s="9"/>
      <c r="Z915" s="46"/>
      <c r="AA915" s="7"/>
      <c r="AB915" s="46"/>
      <c r="AC915" s="47"/>
      <c r="AD915" s="7"/>
      <c r="AE915" s="47"/>
      <c r="AF915" s="18"/>
      <c r="AG915" s="26"/>
      <c r="AH915" s="34"/>
      <c r="AI915" s="34"/>
      <c r="AJ915" s="18"/>
      <c r="AK915" s="48"/>
      <c r="AL915" s="26"/>
      <c r="AM915" s="26"/>
    </row>
    <row r="916">
      <c r="A916" s="51"/>
      <c r="B916" s="51"/>
      <c r="C916" s="52"/>
      <c r="D916" s="51"/>
      <c r="E916" s="53"/>
      <c r="F916" s="54"/>
      <c r="G916" s="51"/>
      <c r="H916" s="51"/>
      <c r="I916" s="55"/>
      <c r="J916" s="56"/>
      <c r="K916" s="46"/>
      <c r="L916" s="46"/>
      <c r="M916" s="47"/>
      <c r="N916" s="46"/>
      <c r="O916" s="57"/>
      <c r="P916" s="46"/>
      <c r="Q916" s="46"/>
      <c r="R916" s="57"/>
      <c r="S916" s="7"/>
      <c r="T916" s="54"/>
      <c r="U916" s="58"/>
      <c r="V916" s="47"/>
      <c r="W916" s="18"/>
      <c r="X916" s="46"/>
      <c r="Y916" s="9"/>
      <c r="Z916" s="46"/>
      <c r="AA916" s="7"/>
      <c r="AB916" s="46"/>
      <c r="AC916" s="47"/>
      <c r="AD916" s="7"/>
      <c r="AE916" s="47"/>
      <c r="AF916" s="18"/>
      <c r="AG916" s="26"/>
      <c r="AH916" s="34"/>
      <c r="AI916" s="34"/>
      <c r="AJ916" s="18"/>
      <c r="AK916" s="48"/>
      <c r="AL916" s="26"/>
      <c r="AM916" s="26"/>
    </row>
    <row r="917">
      <c r="A917" s="51"/>
      <c r="B917" s="51"/>
      <c r="C917" s="52"/>
      <c r="D917" s="51"/>
      <c r="E917" s="53"/>
      <c r="F917" s="54"/>
      <c r="G917" s="51"/>
      <c r="H917" s="51"/>
      <c r="I917" s="55"/>
      <c r="J917" s="56"/>
      <c r="K917" s="46"/>
      <c r="L917" s="46"/>
      <c r="M917" s="47"/>
      <c r="N917" s="46"/>
      <c r="O917" s="57"/>
      <c r="P917" s="46"/>
      <c r="Q917" s="46"/>
      <c r="R917" s="57"/>
      <c r="S917" s="7"/>
      <c r="T917" s="54"/>
      <c r="U917" s="58"/>
      <c r="V917" s="47"/>
      <c r="W917" s="18"/>
      <c r="X917" s="46"/>
      <c r="Y917" s="9"/>
      <c r="Z917" s="46"/>
      <c r="AA917" s="7"/>
      <c r="AB917" s="46"/>
      <c r="AC917" s="47"/>
      <c r="AD917" s="7"/>
      <c r="AE917" s="47"/>
      <c r="AF917" s="18"/>
      <c r="AG917" s="26"/>
      <c r="AH917" s="34"/>
      <c r="AI917" s="34"/>
      <c r="AJ917" s="18"/>
      <c r="AK917" s="48"/>
      <c r="AL917" s="26"/>
      <c r="AM917" s="26"/>
    </row>
    <row r="918">
      <c r="A918" s="51"/>
      <c r="B918" s="51"/>
      <c r="C918" s="52"/>
      <c r="D918" s="51"/>
      <c r="E918" s="53"/>
      <c r="F918" s="54"/>
      <c r="G918" s="51"/>
      <c r="H918" s="51"/>
      <c r="I918" s="55"/>
      <c r="J918" s="56"/>
      <c r="K918" s="46"/>
      <c r="L918" s="46"/>
      <c r="M918" s="47"/>
      <c r="N918" s="46"/>
      <c r="O918" s="57"/>
      <c r="P918" s="46"/>
      <c r="Q918" s="46"/>
      <c r="R918" s="57"/>
      <c r="S918" s="7"/>
      <c r="T918" s="54"/>
      <c r="U918" s="58"/>
      <c r="V918" s="47"/>
      <c r="W918" s="18"/>
      <c r="X918" s="46"/>
      <c r="Y918" s="9"/>
      <c r="Z918" s="46"/>
      <c r="AA918" s="7"/>
      <c r="AB918" s="46"/>
      <c r="AC918" s="47"/>
      <c r="AD918" s="7"/>
      <c r="AE918" s="47"/>
      <c r="AF918" s="18"/>
      <c r="AG918" s="26"/>
      <c r="AH918" s="34"/>
      <c r="AI918" s="34"/>
      <c r="AJ918" s="18"/>
      <c r="AK918" s="48"/>
      <c r="AL918" s="26"/>
      <c r="AM918" s="26"/>
    </row>
    <row r="919">
      <c r="A919" s="51"/>
      <c r="B919" s="51"/>
      <c r="C919" s="52"/>
      <c r="D919" s="51"/>
      <c r="E919" s="53"/>
      <c r="F919" s="54"/>
      <c r="G919" s="51"/>
      <c r="H919" s="51"/>
      <c r="I919" s="55"/>
      <c r="J919" s="56"/>
      <c r="K919" s="46"/>
      <c r="L919" s="46"/>
      <c r="M919" s="47"/>
      <c r="N919" s="46"/>
      <c r="O919" s="57"/>
      <c r="P919" s="46"/>
      <c r="Q919" s="46"/>
      <c r="R919" s="57"/>
      <c r="S919" s="7"/>
      <c r="T919" s="54"/>
      <c r="U919" s="58"/>
      <c r="V919" s="47"/>
      <c r="W919" s="18"/>
      <c r="X919" s="46"/>
      <c r="Y919" s="9"/>
      <c r="Z919" s="46"/>
      <c r="AA919" s="7"/>
      <c r="AB919" s="46"/>
      <c r="AC919" s="47"/>
      <c r="AD919" s="7"/>
      <c r="AE919" s="47"/>
      <c r="AF919" s="18"/>
      <c r="AG919" s="26"/>
      <c r="AH919" s="34"/>
      <c r="AI919" s="34"/>
      <c r="AJ919" s="18"/>
      <c r="AK919" s="48"/>
      <c r="AL919" s="26"/>
      <c r="AM919" s="26"/>
    </row>
    <row r="920">
      <c r="A920" s="51"/>
      <c r="B920" s="51"/>
      <c r="C920" s="52"/>
      <c r="D920" s="51"/>
      <c r="E920" s="53"/>
      <c r="F920" s="54"/>
      <c r="G920" s="51"/>
      <c r="H920" s="51"/>
      <c r="I920" s="55"/>
      <c r="J920" s="56"/>
      <c r="K920" s="46"/>
      <c r="L920" s="46"/>
      <c r="M920" s="47"/>
      <c r="N920" s="46"/>
      <c r="O920" s="57"/>
      <c r="P920" s="46"/>
      <c r="Q920" s="46"/>
      <c r="R920" s="57"/>
      <c r="S920" s="7"/>
      <c r="T920" s="54"/>
      <c r="U920" s="58"/>
      <c r="V920" s="47"/>
      <c r="W920" s="18"/>
      <c r="X920" s="46"/>
      <c r="Y920" s="9"/>
      <c r="Z920" s="46"/>
      <c r="AA920" s="7"/>
      <c r="AB920" s="46"/>
      <c r="AC920" s="47"/>
      <c r="AD920" s="7"/>
      <c r="AE920" s="47"/>
      <c r="AF920" s="18"/>
      <c r="AG920" s="26"/>
      <c r="AH920" s="34"/>
      <c r="AI920" s="34"/>
      <c r="AJ920" s="18"/>
      <c r="AK920" s="48"/>
      <c r="AL920" s="26"/>
      <c r="AM920" s="26"/>
    </row>
    <row r="921">
      <c r="A921" s="51"/>
      <c r="B921" s="51"/>
      <c r="C921" s="52"/>
      <c r="D921" s="51"/>
      <c r="E921" s="53"/>
      <c r="F921" s="54"/>
      <c r="G921" s="51"/>
      <c r="H921" s="51"/>
      <c r="I921" s="55"/>
      <c r="J921" s="56"/>
      <c r="K921" s="46"/>
      <c r="L921" s="46"/>
      <c r="M921" s="47"/>
      <c r="N921" s="46"/>
      <c r="O921" s="57"/>
      <c r="P921" s="46"/>
      <c r="Q921" s="46"/>
      <c r="R921" s="57"/>
      <c r="S921" s="7"/>
      <c r="T921" s="54"/>
      <c r="U921" s="58"/>
      <c r="V921" s="47"/>
      <c r="W921" s="18"/>
      <c r="X921" s="46"/>
      <c r="Y921" s="9"/>
      <c r="Z921" s="46"/>
      <c r="AA921" s="7"/>
      <c r="AB921" s="46"/>
      <c r="AC921" s="47"/>
      <c r="AD921" s="7"/>
      <c r="AE921" s="47"/>
      <c r="AF921" s="18"/>
      <c r="AG921" s="26"/>
      <c r="AH921" s="34"/>
      <c r="AI921" s="34"/>
      <c r="AJ921" s="18"/>
      <c r="AK921" s="48"/>
      <c r="AL921" s="26"/>
      <c r="AM921" s="26"/>
    </row>
    <row r="922">
      <c r="A922" s="51"/>
      <c r="B922" s="51"/>
      <c r="C922" s="52"/>
      <c r="D922" s="51"/>
      <c r="E922" s="53"/>
      <c r="F922" s="54"/>
      <c r="G922" s="51"/>
      <c r="H922" s="51"/>
      <c r="I922" s="55"/>
      <c r="J922" s="56"/>
      <c r="K922" s="46"/>
      <c r="L922" s="46"/>
      <c r="M922" s="47"/>
      <c r="N922" s="46"/>
      <c r="O922" s="57"/>
      <c r="P922" s="46"/>
      <c r="Q922" s="46"/>
      <c r="R922" s="57"/>
      <c r="S922" s="7"/>
      <c r="T922" s="54"/>
      <c r="U922" s="58"/>
      <c r="V922" s="47"/>
      <c r="W922" s="18"/>
      <c r="X922" s="46"/>
      <c r="Y922" s="9"/>
      <c r="Z922" s="46"/>
      <c r="AA922" s="7"/>
      <c r="AB922" s="46"/>
      <c r="AC922" s="47"/>
      <c r="AD922" s="7"/>
      <c r="AE922" s="47"/>
      <c r="AF922" s="18"/>
      <c r="AG922" s="26"/>
      <c r="AH922" s="34"/>
      <c r="AI922" s="34"/>
      <c r="AJ922" s="18"/>
      <c r="AK922" s="48"/>
      <c r="AL922" s="26"/>
      <c r="AM922" s="26"/>
    </row>
    <row r="923">
      <c r="A923" s="51"/>
      <c r="B923" s="51"/>
      <c r="C923" s="52"/>
      <c r="D923" s="51"/>
      <c r="E923" s="53"/>
      <c r="F923" s="54"/>
      <c r="G923" s="51"/>
      <c r="H923" s="51"/>
      <c r="I923" s="55"/>
      <c r="J923" s="56"/>
      <c r="K923" s="46"/>
      <c r="L923" s="46"/>
      <c r="M923" s="47"/>
      <c r="N923" s="46"/>
      <c r="O923" s="57"/>
      <c r="P923" s="46"/>
      <c r="Q923" s="46"/>
      <c r="R923" s="57"/>
      <c r="S923" s="7"/>
      <c r="T923" s="54"/>
      <c r="U923" s="58"/>
      <c r="V923" s="47"/>
      <c r="W923" s="18"/>
      <c r="X923" s="46"/>
      <c r="Y923" s="9"/>
      <c r="Z923" s="46"/>
      <c r="AA923" s="7"/>
      <c r="AB923" s="46"/>
      <c r="AC923" s="47"/>
      <c r="AD923" s="7"/>
      <c r="AE923" s="47"/>
      <c r="AF923" s="18"/>
      <c r="AG923" s="26"/>
      <c r="AH923" s="34"/>
      <c r="AI923" s="34"/>
      <c r="AJ923" s="18"/>
      <c r="AK923" s="48"/>
      <c r="AL923" s="26"/>
      <c r="AM923" s="26"/>
    </row>
    <row r="924">
      <c r="A924" s="51"/>
      <c r="B924" s="51"/>
      <c r="C924" s="52"/>
      <c r="D924" s="51"/>
      <c r="E924" s="53"/>
      <c r="F924" s="54"/>
      <c r="G924" s="51"/>
      <c r="H924" s="51"/>
      <c r="I924" s="55"/>
      <c r="J924" s="56"/>
      <c r="K924" s="46"/>
      <c r="L924" s="46"/>
      <c r="M924" s="47"/>
      <c r="N924" s="46"/>
      <c r="O924" s="57"/>
      <c r="P924" s="46"/>
      <c r="Q924" s="46"/>
      <c r="R924" s="57"/>
      <c r="S924" s="7"/>
      <c r="T924" s="54"/>
      <c r="U924" s="58"/>
      <c r="V924" s="47"/>
      <c r="W924" s="18"/>
      <c r="X924" s="46"/>
      <c r="Y924" s="9"/>
      <c r="Z924" s="46"/>
      <c r="AA924" s="7"/>
      <c r="AB924" s="46"/>
      <c r="AC924" s="47"/>
      <c r="AD924" s="7"/>
      <c r="AE924" s="47"/>
      <c r="AF924" s="18"/>
      <c r="AG924" s="26"/>
      <c r="AH924" s="34"/>
      <c r="AI924" s="34"/>
      <c r="AJ924" s="18"/>
      <c r="AK924" s="48"/>
      <c r="AL924" s="26"/>
      <c r="AM924" s="26"/>
    </row>
    <row r="925">
      <c r="A925" s="51"/>
      <c r="B925" s="51"/>
      <c r="C925" s="52"/>
      <c r="D925" s="51"/>
      <c r="E925" s="53"/>
      <c r="F925" s="54"/>
      <c r="G925" s="51"/>
      <c r="H925" s="51"/>
      <c r="I925" s="55"/>
      <c r="J925" s="56"/>
      <c r="K925" s="46"/>
      <c r="L925" s="46"/>
      <c r="M925" s="47"/>
      <c r="N925" s="46"/>
      <c r="O925" s="57"/>
      <c r="P925" s="46"/>
      <c r="Q925" s="46"/>
      <c r="R925" s="57"/>
      <c r="S925" s="7"/>
      <c r="T925" s="54"/>
      <c r="U925" s="58"/>
      <c r="V925" s="47"/>
      <c r="W925" s="18"/>
      <c r="X925" s="46"/>
      <c r="Y925" s="9"/>
      <c r="Z925" s="46"/>
      <c r="AA925" s="7"/>
      <c r="AB925" s="46"/>
      <c r="AC925" s="47"/>
      <c r="AD925" s="7"/>
      <c r="AE925" s="47"/>
      <c r="AF925" s="18"/>
      <c r="AG925" s="26"/>
      <c r="AH925" s="34"/>
      <c r="AI925" s="34"/>
      <c r="AJ925" s="18"/>
      <c r="AK925" s="48"/>
      <c r="AL925" s="26"/>
      <c r="AM925" s="26"/>
    </row>
    <row r="926">
      <c r="A926" s="51"/>
      <c r="B926" s="51"/>
      <c r="C926" s="52"/>
      <c r="D926" s="51"/>
      <c r="E926" s="53"/>
      <c r="F926" s="54"/>
      <c r="G926" s="51"/>
      <c r="H926" s="51"/>
      <c r="I926" s="55"/>
      <c r="J926" s="56"/>
      <c r="K926" s="46"/>
      <c r="L926" s="46"/>
      <c r="M926" s="47"/>
      <c r="N926" s="46"/>
      <c r="O926" s="57"/>
      <c r="P926" s="46"/>
      <c r="Q926" s="46"/>
      <c r="R926" s="57"/>
      <c r="S926" s="7"/>
      <c r="T926" s="54"/>
      <c r="U926" s="58"/>
      <c r="V926" s="47"/>
      <c r="W926" s="18"/>
      <c r="X926" s="46"/>
      <c r="Y926" s="9"/>
      <c r="Z926" s="46"/>
      <c r="AA926" s="7"/>
      <c r="AB926" s="46"/>
      <c r="AC926" s="47"/>
      <c r="AD926" s="7"/>
      <c r="AE926" s="47"/>
      <c r="AF926" s="18"/>
      <c r="AG926" s="26"/>
      <c r="AH926" s="34"/>
      <c r="AI926" s="34"/>
      <c r="AJ926" s="18"/>
      <c r="AK926" s="48"/>
      <c r="AL926" s="26"/>
      <c r="AM926" s="26"/>
    </row>
    <row r="927">
      <c r="A927" s="51"/>
      <c r="B927" s="51"/>
      <c r="C927" s="52"/>
      <c r="D927" s="51"/>
      <c r="E927" s="53"/>
      <c r="F927" s="54"/>
      <c r="G927" s="51"/>
      <c r="H927" s="51"/>
      <c r="I927" s="55"/>
      <c r="J927" s="56"/>
      <c r="K927" s="46"/>
      <c r="L927" s="46"/>
      <c r="M927" s="47"/>
      <c r="N927" s="46"/>
      <c r="O927" s="57"/>
      <c r="P927" s="46"/>
      <c r="Q927" s="46"/>
      <c r="R927" s="57"/>
      <c r="S927" s="7"/>
      <c r="T927" s="54"/>
      <c r="U927" s="58"/>
      <c r="V927" s="47"/>
      <c r="W927" s="18"/>
      <c r="X927" s="46"/>
      <c r="Y927" s="9"/>
      <c r="Z927" s="46"/>
      <c r="AA927" s="7"/>
      <c r="AB927" s="46"/>
      <c r="AC927" s="47"/>
      <c r="AD927" s="7"/>
      <c r="AE927" s="47"/>
      <c r="AF927" s="18"/>
      <c r="AG927" s="26"/>
      <c r="AH927" s="34"/>
      <c r="AI927" s="34"/>
      <c r="AJ927" s="18"/>
      <c r="AK927" s="48"/>
      <c r="AL927" s="26"/>
      <c r="AM927" s="26"/>
    </row>
    <row r="928">
      <c r="A928" s="51"/>
      <c r="B928" s="51"/>
      <c r="C928" s="52"/>
      <c r="D928" s="51"/>
      <c r="E928" s="53"/>
      <c r="F928" s="54"/>
      <c r="G928" s="51"/>
      <c r="H928" s="51"/>
      <c r="I928" s="55"/>
      <c r="J928" s="56"/>
      <c r="K928" s="46"/>
      <c r="L928" s="46"/>
      <c r="M928" s="47"/>
      <c r="N928" s="46"/>
      <c r="O928" s="57"/>
      <c r="P928" s="46"/>
      <c r="Q928" s="46"/>
      <c r="R928" s="57"/>
      <c r="S928" s="7"/>
      <c r="T928" s="54"/>
      <c r="U928" s="58"/>
      <c r="V928" s="47"/>
      <c r="W928" s="18"/>
      <c r="X928" s="46"/>
      <c r="Y928" s="9"/>
      <c r="Z928" s="46"/>
      <c r="AA928" s="7"/>
      <c r="AB928" s="46"/>
      <c r="AC928" s="47"/>
      <c r="AD928" s="7"/>
      <c r="AE928" s="47"/>
      <c r="AF928" s="18"/>
      <c r="AG928" s="26"/>
      <c r="AH928" s="34"/>
      <c r="AI928" s="34"/>
      <c r="AJ928" s="18"/>
      <c r="AK928" s="48"/>
      <c r="AL928" s="26"/>
      <c r="AM928" s="26"/>
    </row>
    <row r="929">
      <c r="A929" s="51"/>
      <c r="B929" s="51"/>
      <c r="C929" s="52"/>
      <c r="D929" s="51"/>
      <c r="E929" s="53"/>
      <c r="F929" s="54"/>
      <c r="G929" s="51"/>
      <c r="H929" s="51"/>
      <c r="I929" s="55"/>
      <c r="J929" s="56"/>
      <c r="K929" s="46"/>
      <c r="L929" s="46"/>
      <c r="M929" s="47"/>
      <c r="N929" s="46"/>
      <c r="O929" s="57"/>
      <c r="P929" s="46"/>
      <c r="Q929" s="46"/>
      <c r="R929" s="57"/>
      <c r="S929" s="7"/>
      <c r="T929" s="54"/>
      <c r="U929" s="58"/>
      <c r="V929" s="47"/>
      <c r="W929" s="18"/>
      <c r="X929" s="46"/>
      <c r="Y929" s="9"/>
      <c r="Z929" s="46"/>
      <c r="AA929" s="7"/>
      <c r="AB929" s="46"/>
      <c r="AC929" s="47"/>
      <c r="AD929" s="7"/>
      <c r="AE929" s="47"/>
      <c r="AF929" s="18"/>
      <c r="AG929" s="26"/>
      <c r="AH929" s="34"/>
      <c r="AI929" s="34"/>
      <c r="AJ929" s="18"/>
      <c r="AK929" s="48"/>
      <c r="AL929" s="26"/>
      <c r="AM929" s="26"/>
    </row>
    <row r="930">
      <c r="A930" s="51"/>
      <c r="B930" s="51"/>
      <c r="C930" s="52"/>
      <c r="D930" s="51"/>
      <c r="E930" s="53"/>
      <c r="F930" s="54"/>
      <c r="G930" s="51"/>
      <c r="H930" s="51"/>
      <c r="I930" s="55"/>
      <c r="J930" s="56"/>
      <c r="K930" s="46"/>
      <c r="L930" s="46"/>
      <c r="M930" s="47"/>
      <c r="N930" s="46"/>
      <c r="O930" s="57"/>
      <c r="P930" s="46"/>
      <c r="Q930" s="46"/>
      <c r="R930" s="57"/>
      <c r="S930" s="7"/>
      <c r="T930" s="54"/>
      <c r="U930" s="58"/>
      <c r="V930" s="47"/>
      <c r="W930" s="18"/>
      <c r="X930" s="46"/>
      <c r="Y930" s="9"/>
      <c r="Z930" s="46"/>
      <c r="AA930" s="7"/>
      <c r="AB930" s="46"/>
      <c r="AC930" s="47"/>
      <c r="AD930" s="7"/>
      <c r="AE930" s="47"/>
      <c r="AF930" s="18"/>
      <c r="AG930" s="26"/>
      <c r="AH930" s="34"/>
      <c r="AI930" s="34"/>
      <c r="AJ930" s="18"/>
      <c r="AK930" s="48"/>
      <c r="AL930" s="26"/>
      <c r="AM930" s="26"/>
    </row>
    <row r="931">
      <c r="A931" s="51"/>
      <c r="B931" s="51"/>
      <c r="C931" s="52"/>
      <c r="D931" s="51"/>
      <c r="E931" s="53"/>
      <c r="F931" s="54"/>
      <c r="G931" s="51"/>
      <c r="H931" s="51"/>
      <c r="I931" s="55"/>
      <c r="J931" s="56"/>
      <c r="K931" s="46"/>
      <c r="L931" s="46"/>
      <c r="M931" s="47"/>
      <c r="N931" s="46"/>
      <c r="O931" s="57"/>
      <c r="P931" s="46"/>
      <c r="Q931" s="46"/>
      <c r="R931" s="57"/>
      <c r="S931" s="7"/>
      <c r="T931" s="54"/>
      <c r="U931" s="58"/>
      <c r="V931" s="47"/>
      <c r="W931" s="18"/>
      <c r="X931" s="46"/>
      <c r="Y931" s="9"/>
      <c r="Z931" s="46"/>
      <c r="AA931" s="7"/>
      <c r="AB931" s="46"/>
      <c r="AC931" s="47"/>
      <c r="AD931" s="7"/>
      <c r="AE931" s="47"/>
      <c r="AF931" s="18"/>
      <c r="AG931" s="26"/>
      <c r="AH931" s="34"/>
      <c r="AI931" s="34"/>
      <c r="AJ931" s="18"/>
      <c r="AK931" s="48"/>
      <c r="AL931" s="26"/>
      <c r="AM931" s="26"/>
    </row>
    <row r="932">
      <c r="A932" s="51"/>
      <c r="B932" s="51"/>
      <c r="C932" s="52"/>
      <c r="D932" s="51"/>
      <c r="E932" s="53"/>
      <c r="F932" s="54"/>
      <c r="G932" s="51"/>
      <c r="H932" s="51"/>
      <c r="I932" s="55"/>
      <c r="J932" s="56"/>
      <c r="K932" s="46"/>
      <c r="L932" s="46"/>
      <c r="M932" s="47"/>
      <c r="N932" s="46"/>
      <c r="O932" s="57"/>
      <c r="P932" s="46"/>
      <c r="Q932" s="46"/>
      <c r="R932" s="57"/>
      <c r="S932" s="7"/>
      <c r="T932" s="54"/>
      <c r="U932" s="58"/>
      <c r="V932" s="47"/>
      <c r="W932" s="18"/>
      <c r="X932" s="46"/>
      <c r="Y932" s="9"/>
      <c r="Z932" s="46"/>
      <c r="AA932" s="7"/>
      <c r="AB932" s="46"/>
      <c r="AC932" s="47"/>
      <c r="AD932" s="7"/>
      <c r="AE932" s="47"/>
      <c r="AF932" s="18"/>
      <c r="AG932" s="26"/>
      <c r="AH932" s="34"/>
      <c r="AI932" s="34"/>
      <c r="AJ932" s="18"/>
      <c r="AK932" s="48"/>
      <c r="AL932" s="26"/>
      <c r="AM932" s="26"/>
    </row>
    <row r="933">
      <c r="A933" s="51"/>
      <c r="B933" s="51"/>
      <c r="C933" s="52"/>
      <c r="D933" s="51"/>
      <c r="E933" s="53"/>
      <c r="F933" s="54"/>
      <c r="G933" s="51"/>
      <c r="H933" s="51"/>
      <c r="I933" s="55"/>
      <c r="J933" s="56"/>
      <c r="K933" s="46"/>
      <c r="L933" s="46"/>
      <c r="M933" s="47"/>
      <c r="N933" s="46"/>
      <c r="O933" s="57"/>
      <c r="P933" s="46"/>
      <c r="Q933" s="46"/>
      <c r="R933" s="57"/>
      <c r="S933" s="7"/>
      <c r="T933" s="54"/>
      <c r="U933" s="58"/>
      <c r="V933" s="47"/>
      <c r="W933" s="18"/>
      <c r="X933" s="46"/>
      <c r="Y933" s="9"/>
      <c r="Z933" s="46"/>
      <c r="AA933" s="7"/>
      <c r="AB933" s="46"/>
      <c r="AC933" s="47"/>
      <c r="AD933" s="7"/>
      <c r="AE933" s="47"/>
      <c r="AF933" s="18"/>
      <c r="AG933" s="26"/>
      <c r="AH933" s="34"/>
      <c r="AI933" s="34"/>
      <c r="AJ933" s="18"/>
      <c r="AK933" s="48"/>
      <c r="AL933" s="26"/>
      <c r="AM933" s="26"/>
    </row>
    <row r="934">
      <c r="A934" s="51"/>
      <c r="B934" s="51"/>
      <c r="C934" s="52"/>
      <c r="D934" s="51"/>
      <c r="E934" s="53"/>
      <c r="F934" s="54"/>
      <c r="G934" s="51"/>
      <c r="H934" s="51"/>
      <c r="I934" s="55"/>
      <c r="J934" s="56"/>
      <c r="K934" s="46"/>
      <c r="L934" s="46"/>
      <c r="M934" s="47"/>
      <c r="N934" s="46"/>
      <c r="O934" s="57"/>
      <c r="P934" s="46"/>
      <c r="Q934" s="46"/>
      <c r="R934" s="57"/>
      <c r="S934" s="7"/>
      <c r="T934" s="54"/>
      <c r="U934" s="58"/>
      <c r="V934" s="47"/>
      <c r="W934" s="18"/>
      <c r="X934" s="46"/>
      <c r="Y934" s="9"/>
      <c r="Z934" s="46"/>
      <c r="AA934" s="7"/>
      <c r="AB934" s="46"/>
      <c r="AC934" s="47"/>
      <c r="AD934" s="7"/>
      <c r="AE934" s="47"/>
      <c r="AF934" s="18"/>
      <c r="AG934" s="26"/>
      <c r="AH934" s="34"/>
      <c r="AI934" s="34"/>
      <c r="AJ934" s="18"/>
      <c r="AK934" s="48"/>
      <c r="AL934" s="26"/>
      <c r="AM934" s="26"/>
    </row>
    <row r="935">
      <c r="A935" s="51"/>
      <c r="B935" s="51"/>
      <c r="C935" s="52"/>
      <c r="D935" s="51"/>
      <c r="E935" s="53"/>
      <c r="F935" s="54"/>
      <c r="G935" s="51"/>
      <c r="H935" s="51"/>
      <c r="I935" s="55"/>
      <c r="J935" s="56"/>
      <c r="K935" s="46"/>
      <c r="L935" s="46"/>
      <c r="M935" s="47"/>
      <c r="N935" s="46"/>
      <c r="O935" s="57"/>
      <c r="P935" s="46"/>
      <c r="Q935" s="46"/>
      <c r="R935" s="57"/>
      <c r="S935" s="7"/>
      <c r="T935" s="54"/>
      <c r="U935" s="58"/>
      <c r="V935" s="47"/>
      <c r="W935" s="18"/>
      <c r="X935" s="46"/>
      <c r="Y935" s="9"/>
      <c r="Z935" s="46"/>
      <c r="AA935" s="7"/>
      <c r="AB935" s="46"/>
      <c r="AC935" s="47"/>
      <c r="AD935" s="7"/>
      <c r="AE935" s="47"/>
      <c r="AF935" s="18"/>
      <c r="AG935" s="26"/>
      <c r="AH935" s="34"/>
      <c r="AI935" s="34"/>
      <c r="AJ935" s="18"/>
      <c r="AK935" s="48"/>
      <c r="AL935" s="26"/>
      <c r="AM935" s="26"/>
    </row>
    <row r="936">
      <c r="A936" s="51"/>
      <c r="B936" s="51"/>
      <c r="C936" s="52"/>
      <c r="D936" s="51"/>
      <c r="E936" s="53"/>
      <c r="F936" s="54"/>
      <c r="G936" s="51"/>
      <c r="H936" s="51"/>
      <c r="I936" s="55"/>
      <c r="J936" s="56"/>
      <c r="K936" s="46"/>
      <c r="L936" s="46"/>
      <c r="M936" s="47"/>
      <c r="N936" s="46"/>
      <c r="O936" s="57"/>
      <c r="P936" s="46"/>
      <c r="Q936" s="46"/>
      <c r="R936" s="57"/>
      <c r="S936" s="7"/>
      <c r="T936" s="54"/>
      <c r="U936" s="58"/>
      <c r="V936" s="47"/>
      <c r="W936" s="18"/>
      <c r="X936" s="46"/>
      <c r="Y936" s="9"/>
      <c r="Z936" s="46"/>
      <c r="AA936" s="7"/>
      <c r="AB936" s="46"/>
      <c r="AC936" s="47"/>
      <c r="AD936" s="7"/>
      <c r="AE936" s="47"/>
      <c r="AF936" s="18"/>
      <c r="AG936" s="26"/>
      <c r="AH936" s="34"/>
      <c r="AI936" s="34"/>
      <c r="AJ936" s="18"/>
      <c r="AK936" s="48"/>
      <c r="AL936" s="26"/>
      <c r="AM936" s="26"/>
    </row>
    <row r="937">
      <c r="A937" s="51"/>
      <c r="B937" s="51"/>
      <c r="C937" s="52"/>
      <c r="D937" s="51"/>
      <c r="E937" s="53"/>
      <c r="F937" s="54"/>
      <c r="G937" s="51"/>
      <c r="H937" s="51"/>
      <c r="I937" s="55"/>
      <c r="J937" s="56"/>
      <c r="K937" s="46"/>
      <c r="L937" s="46"/>
      <c r="M937" s="47"/>
      <c r="N937" s="46"/>
      <c r="O937" s="57"/>
      <c r="P937" s="46"/>
      <c r="Q937" s="46"/>
      <c r="R937" s="57"/>
      <c r="S937" s="7"/>
      <c r="T937" s="54"/>
      <c r="U937" s="58"/>
      <c r="V937" s="47"/>
      <c r="W937" s="18"/>
      <c r="X937" s="46"/>
      <c r="Y937" s="9"/>
      <c r="Z937" s="46"/>
      <c r="AA937" s="7"/>
      <c r="AB937" s="46"/>
      <c r="AC937" s="47"/>
      <c r="AD937" s="7"/>
      <c r="AE937" s="47"/>
      <c r="AF937" s="18"/>
      <c r="AG937" s="26"/>
      <c r="AH937" s="34"/>
      <c r="AI937" s="34"/>
      <c r="AJ937" s="18"/>
      <c r="AK937" s="48"/>
      <c r="AL937" s="26"/>
      <c r="AM937" s="26"/>
    </row>
    <row r="938">
      <c r="A938" s="51"/>
      <c r="B938" s="51"/>
      <c r="C938" s="52"/>
      <c r="D938" s="51"/>
      <c r="E938" s="53"/>
      <c r="F938" s="54"/>
      <c r="G938" s="51"/>
      <c r="H938" s="51"/>
      <c r="I938" s="55"/>
      <c r="J938" s="56"/>
      <c r="K938" s="46"/>
      <c r="L938" s="46"/>
      <c r="M938" s="47"/>
      <c r="N938" s="46"/>
      <c r="O938" s="57"/>
      <c r="P938" s="46"/>
      <c r="Q938" s="46"/>
      <c r="R938" s="57"/>
      <c r="S938" s="7"/>
      <c r="T938" s="54"/>
      <c r="U938" s="58"/>
      <c r="V938" s="47"/>
      <c r="W938" s="18"/>
      <c r="X938" s="46"/>
      <c r="Y938" s="9"/>
      <c r="Z938" s="46"/>
      <c r="AA938" s="7"/>
      <c r="AB938" s="46"/>
      <c r="AC938" s="47"/>
      <c r="AD938" s="7"/>
      <c r="AE938" s="47"/>
      <c r="AF938" s="18"/>
      <c r="AG938" s="26"/>
      <c r="AH938" s="34"/>
      <c r="AI938" s="34"/>
      <c r="AJ938" s="18"/>
      <c r="AK938" s="48"/>
      <c r="AL938" s="26"/>
      <c r="AM938" s="26"/>
    </row>
    <row r="939">
      <c r="A939" s="51"/>
      <c r="B939" s="51"/>
      <c r="C939" s="52"/>
      <c r="D939" s="51"/>
      <c r="E939" s="53"/>
      <c r="F939" s="54"/>
      <c r="G939" s="51"/>
      <c r="H939" s="51"/>
      <c r="I939" s="55"/>
      <c r="J939" s="56"/>
      <c r="K939" s="46"/>
      <c r="L939" s="46"/>
      <c r="M939" s="47"/>
      <c r="N939" s="46"/>
      <c r="O939" s="57"/>
      <c r="P939" s="46"/>
      <c r="Q939" s="46"/>
      <c r="R939" s="57"/>
      <c r="S939" s="7"/>
      <c r="T939" s="54"/>
      <c r="U939" s="58"/>
      <c r="V939" s="47"/>
      <c r="W939" s="18"/>
      <c r="X939" s="46"/>
      <c r="Y939" s="9"/>
      <c r="Z939" s="46"/>
      <c r="AA939" s="7"/>
      <c r="AB939" s="46"/>
      <c r="AC939" s="47"/>
      <c r="AD939" s="7"/>
      <c r="AE939" s="47"/>
      <c r="AF939" s="18"/>
      <c r="AG939" s="26"/>
      <c r="AH939" s="34"/>
      <c r="AI939" s="34"/>
      <c r="AJ939" s="18"/>
      <c r="AK939" s="48"/>
      <c r="AL939" s="26"/>
      <c r="AM939" s="26"/>
    </row>
    <row r="940">
      <c r="A940" s="51"/>
      <c r="B940" s="51"/>
      <c r="C940" s="52"/>
      <c r="D940" s="51"/>
      <c r="E940" s="53"/>
      <c r="F940" s="54"/>
      <c r="G940" s="51"/>
      <c r="H940" s="51"/>
      <c r="I940" s="55"/>
      <c r="J940" s="56"/>
      <c r="K940" s="46"/>
      <c r="L940" s="46"/>
      <c r="M940" s="47"/>
      <c r="N940" s="46"/>
      <c r="O940" s="57"/>
      <c r="P940" s="46"/>
      <c r="Q940" s="46"/>
      <c r="R940" s="57"/>
      <c r="S940" s="7"/>
      <c r="T940" s="54"/>
      <c r="U940" s="58"/>
      <c r="V940" s="47"/>
      <c r="W940" s="18"/>
      <c r="X940" s="46"/>
      <c r="Y940" s="9"/>
      <c r="Z940" s="46"/>
      <c r="AA940" s="7"/>
      <c r="AB940" s="46"/>
      <c r="AC940" s="47"/>
      <c r="AD940" s="7"/>
      <c r="AE940" s="47"/>
      <c r="AF940" s="18"/>
      <c r="AG940" s="26"/>
      <c r="AH940" s="34"/>
      <c r="AI940" s="34"/>
      <c r="AJ940" s="18"/>
      <c r="AK940" s="48"/>
      <c r="AL940" s="26"/>
      <c r="AM940" s="26"/>
    </row>
    <row r="941">
      <c r="A941" s="51"/>
      <c r="B941" s="51"/>
      <c r="C941" s="52"/>
      <c r="D941" s="51"/>
      <c r="E941" s="53"/>
      <c r="F941" s="54"/>
      <c r="G941" s="51"/>
      <c r="H941" s="51"/>
      <c r="I941" s="55"/>
      <c r="J941" s="56"/>
      <c r="K941" s="46"/>
      <c r="L941" s="46"/>
      <c r="M941" s="47"/>
      <c r="N941" s="46"/>
      <c r="O941" s="57"/>
      <c r="P941" s="46"/>
      <c r="Q941" s="46"/>
      <c r="R941" s="57"/>
      <c r="S941" s="7"/>
      <c r="T941" s="54"/>
      <c r="U941" s="58"/>
      <c r="V941" s="47"/>
      <c r="W941" s="18"/>
      <c r="X941" s="46"/>
      <c r="Y941" s="9"/>
      <c r="Z941" s="46"/>
      <c r="AA941" s="7"/>
      <c r="AB941" s="46"/>
      <c r="AC941" s="47"/>
      <c r="AD941" s="7"/>
      <c r="AE941" s="47"/>
      <c r="AF941" s="18"/>
      <c r="AG941" s="26"/>
      <c r="AH941" s="34"/>
      <c r="AI941" s="34"/>
      <c r="AJ941" s="18"/>
      <c r="AK941" s="48"/>
      <c r="AL941" s="26"/>
      <c r="AM941" s="26"/>
    </row>
    <row r="942">
      <c r="A942" s="51"/>
      <c r="B942" s="51"/>
      <c r="C942" s="52"/>
      <c r="D942" s="51"/>
      <c r="E942" s="53"/>
      <c r="F942" s="54"/>
      <c r="G942" s="51"/>
      <c r="H942" s="51"/>
      <c r="I942" s="55"/>
      <c r="J942" s="56"/>
      <c r="K942" s="46"/>
      <c r="L942" s="46"/>
      <c r="M942" s="47"/>
      <c r="N942" s="46"/>
      <c r="O942" s="57"/>
      <c r="P942" s="46"/>
      <c r="Q942" s="46"/>
      <c r="R942" s="57"/>
      <c r="S942" s="7"/>
      <c r="T942" s="54"/>
      <c r="U942" s="58"/>
      <c r="V942" s="47"/>
      <c r="W942" s="18"/>
      <c r="X942" s="46"/>
      <c r="Y942" s="9"/>
      <c r="Z942" s="46"/>
      <c r="AA942" s="7"/>
      <c r="AB942" s="46"/>
      <c r="AC942" s="47"/>
      <c r="AD942" s="7"/>
      <c r="AE942" s="47"/>
      <c r="AF942" s="18"/>
      <c r="AG942" s="26"/>
      <c r="AH942" s="34"/>
      <c r="AI942" s="34"/>
      <c r="AJ942" s="18"/>
      <c r="AK942" s="48"/>
      <c r="AL942" s="26"/>
      <c r="AM942" s="26"/>
    </row>
    <row r="943">
      <c r="A943" s="51"/>
      <c r="B943" s="51"/>
      <c r="C943" s="52"/>
      <c r="D943" s="51"/>
      <c r="E943" s="53"/>
      <c r="F943" s="54"/>
      <c r="G943" s="51"/>
      <c r="H943" s="51"/>
      <c r="I943" s="55"/>
      <c r="J943" s="56"/>
      <c r="K943" s="46"/>
      <c r="L943" s="46"/>
      <c r="M943" s="47"/>
      <c r="N943" s="46"/>
      <c r="O943" s="57"/>
      <c r="P943" s="46"/>
      <c r="Q943" s="46"/>
      <c r="R943" s="57"/>
      <c r="S943" s="7"/>
      <c r="T943" s="54"/>
      <c r="U943" s="58"/>
      <c r="V943" s="47"/>
      <c r="W943" s="18"/>
      <c r="X943" s="46"/>
      <c r="Y943" s="9"/>
      <c r="Z943" s="46"/>
      <c r="AA943" s="7"/>
      <c r="AB943" s="46"/>
      <c r="AC943" s="47"/>
      <c r="AD943" s="7"/>
      <c r="AE943" s="47"/>
      <c r="AF943" s="18"/>
      <c r="AG943" s="26"/>
      <c r="AH943" s="34"/>
      <c r="AI943" s="34"/>
      <c r="AJ943" s="18"/>
      <c r="AK943" s="48"/>
      <c r="AL943" s="26"/>
      <c r="AM943" s="26"/>
    </row>
    <row r="944">
      <c r="A944" s="51"/>
      <c r="B944" s="51"/>
      <c r="C944" s="52"/>
      <c r="D944" s="51"/>
      <c r="E944" s="53"/>
      <c r="F944" s="54"/>
      <c r="G944" s="51"/>
      <c r="H944" s="51"/>
      <c r="I944" s="55"/>
      <c r="J944" s="56"/>
      <c r="K944" s="46"/>
      <c r="L944" s="46"/>
      <c r="M944" s="47"/>
      <c r="N944" s="46"/>
      <c r="O944" s="57"/>
      <c r="P944" s="46"/>
      <c r="Q944" s="46"/>
      <c r="R944" s="57"/>
      <c r="S944" s="7"/>
      <c r="T944" s="54"/>
      <c r="U944" s="58"/>
      <c r="V944" s="47"/>
      <c r="W944" s="18"/>
      <c r="X944" s="46"/>
      <c r="Y944" s="9"/>
      <c r="Z944" s="46"/>
      <c r="AA944" s="7"/>
      <c r="AB944" s="46"/>
      <c r="AC944" s="47"/>
      <c r="AD944" s="7"/>
      <c r="AE944" s="47"/>
      <c r="AF944" s="18"/>
      <c r="AG944" s="26"/>
      <c r="AH944" s="34"/>
      <c r="AI944" s="34"/>
      <c r="AJ944" s="18"/>
      <c r="AK944" s="48"/>
      <c r="AL944" s="26"/>
      <c r="AM944" s="26"/>
    </row>
    <row r="945">
      <c r="A945" s="51"/>
      <c r="B945" s="51"/>
      <c r="C945" s="52"/>
      <c r="D945" s="51"/>
      <c r="E945" s="53"/>
      <c r="F945" s="54"/>
      <c r="G945" s="51"/>
      <c r="H945" s="51"/>
      <c r="I945" s="55"/>
      <c r="J945" s="56"/>
      <c r="K945" s="46"/>
      <c r="L945" s="46"/>
      <c r="M945" s="47"/>
      <c r="N945" s="46"/>
      <c r="O945" s="57"/>
      <c r="P945" s="46"/>
      <c r="Q945" s="46"/>
      <c r="R945" s="57"/>
      <c r="S945" s="7"/>
      <c r="T945" s="54"/>
      <c r="U945" s="58"/>
      <c r="V945" s="47"/>
      <c r="W945" s="18"/>
      <c r="X945" s="46"/>
      <c r="Y945" s="9"/>
      <c r="Z945" s="46"/>
      <c r="AA945" s="7"/>
      <c r="AB945" s="46"/>
      <c r="AC945" s="47"/>
      <c r="AD945" s="7"/>
      <c r="AE945" s="47"/>
      <c r="AF945" s="18"/>
      <c r="AG945" s="26"/>
      <c r="AH945" s="34"/>
      <c r="AI945" s="34"/>
      <c r="AJ945" s="18"/>
      <c r="AK945" s="48"/>
      <c r="AL945" s="26"/>
      <c r="AM945" s="26"/>
    </row>
    <row r="946">
      <c r="A946" s="51"/>
      <c r="B946" s="51"/>
      <c r="C946" s="52"/>
      <c r="D946" s="51"/>
      <c r="E946" s="53"/>
      <c r="F946" s="54"/>
      <c r="G946" s="51"/>
      <c r="H946" s="51"/>
      <c r="I946" s="55"/>
      <c r="J946" s="56"/>
      <c r="K946" s="46"/>
      <c r="L946" s="46"/>
      <c r="M946" s="47"/>
      <c r="N946" s="46"/>
      <c r="O946" s="57"/>
      <c r="P946" s="46"/>
      <c r="Q946" s="46"/>
      <c r="R946" s="57"/>
      <c r="S946" s="7"/>
      <c r="T946" s="54"/>
      <c r="U946" s="58"/>
      <c r="V946" s="47"/>
      <c r="W946" s="18"/>
      <c r="X946" s="46"/>
      <c r="Y946" s="9"/>
      <c r="Z946" s="46"/>
      <c r="AA946" s="7"/>
      <c r="AB946" s="46"/>
      <c r="AC946" s="47"/>
      <c r="AD946" s="7"/>
      <c r="AE946" s="47"/>
      <c r="AF946" s="18"/>
      <c r="AG946" s="26"/>
      <c r="AH946" s="34"/>
      <c r="AI946" s="34"/>
      <c r="AJ946" s="18"/>
      <c r="AK946" s="48"/>
      <c r="AL946" s="26"/>
      <c r="AM946" s="26"/>
    </row>
    <row r="947">
      <c r="A947" s="51"/>
      <c r="B947" s="51"/>
      <c r="C947" s="52"/>
      <c r="D947" s="51"/>
      <c r="E947" s="53"/>
      <c r="F947" s="54"/>
      <c r="G947" s="51"/>
      <c r="H947" s="51"/>
      <c r="I947" s="55"/>
      <c r="J947" s="56"/>
      <c r="K947" s="46"/>
      <c r="L947" s="46"/>
      <c r="M947" s="47"/>
      <c r="N947" s="46"/>
      <c r="O947" s="57"/>
      <c r="P947" s="46"/>
      <c r="Q947" s="46"/>
      <c r="R947" s="57"/>
      <c r="S947" s="7"/>
      <c r="T947" s="54"/>
      <c r="U947" s="58"/>
      <c r="V947" s="47"/>
      <c r="W947" s="18"/>
      <c r="X947" s="46"/>
      <c r="Y947" s="9"/>
      <c r="Z947" s="46"/>
      <c r="AA947" s="7"/>
      <c r="AB947" s="46"/>
      <c r="AC947" s="47"/>
      <c r="AD947" s="7"/>
      <c r="AE947" s="47"/>
      <c r="AF947" s="18"/>
      <c r="AG947" s="26"/>
      <c r="AH947" s="34"/>
      <c r="AI947" s="34"/>
      <c r="AJ947" s="18"/>
      <c r="AK947" s="48"/>
      <c r="AL947" s="26"/>
      <c r="AM947" s="26"/>
    </row>
    <row r="948">
      <c r="A948" s="51"/>
      <c r="B948" s="51"/>
      <c r="C948" s="52"/>
      <c r="D948" s="51"/>
      <c r="E948" s="53"/>
      <c r="F948" s="54"/>
      <c r="G948" s="51"/>
      <c r="H948" s="51"/>
      <c r="I948" s="55"/>
      <c r="J948" s="56"/>
      <c r="K948" s="46"/>
      <c r="L948" s="46"/>
      <c r="M948" s="47"/>
      <c r="N948" s="46"/>
      <c r="O948" s="57"/>
      <c r="P948" s="46"/>
      <c r="Q948" s="46"/>
      <c r="R948" s="57"/>
      <c r="S948" s="7"/>
      <c r="T948" s="54"/>
      <c r="U948" s="58"/>
      <c r="V948" s="47"/>
      <c r="W948" s="18"/>
      <c r="X948" s="46"/>
      <c r="Y948" s="9"/>
      <c r="Z948" s="46"/>
      <c r="AA948" s="7"/>
      <c r="AB948" s="46"/>
      <c r="AC948" s="47"/>
      <c r="AD948" s="7"/>
      <c r="AE948" s="47"/>
      <c r="AF948" s="18"/>
      <c r="AG948" s="26"/>
      <c r="AH948" s="34"/>
      <c r="AI948" s="34"/>
      <c r="AJ948" s="18"/>
      <c r="AK948" s="48"/>
      <c r="AL948" s="26"/>
      <c r="AM948" s="26"/>
    </row>
    <row r="949">
      <c r="A949" s="51"/>
      <c r="B949" s="51"/>
      <c r="C949" s="52"/>
      <c r="D949" s="51"/>
      <c r="E949" s="53"/>
      <c r="F949" s="54"/>
      <c r="G949" s="51"/>
      <c r="H949" s="51"/>
      <c r="I949" s="55"/>
      <c r="J949" s="56"/>
      <c r="K949" s="46"/>
      <c r="L949" s="46"/>
      <c r="M949" s="47"/>
      <c r="N949" s="46"/>
      <c r="O949" s="57"/>
      <c r="P949" s="46"/>
      <c r="Q949" s="46"/>
      <c r="R949" s="57"/>
      <c r="S949" s="7"/>
      <c r="T949" s="54"/>
      <c r="U949" s="58"/>
      <c r="V949" s="47"/>
      <c r="W949" s="18"/>
      <c r="X949" s="46"/>
      <c r="Y949" s="9"/>
      <c r="Z949" s="46"/>
      <c r="AA949" s="7"/>
      <c r="AB949" s="46"/>
      <c r="AC949" s="47"/>
      <c r="AD949" s="7"/>
      <c r="AE949" s="47"/>
      <c r="AF949" s="18"/>
      <c r="AG949" s="26"/>
      <c r="AH949" s="34"/>
      <c r="AI949" s="34"/>
      <c r="AJ949" s="18"/>
      <c r="AK949" s="48"/>
      <c r="AL949" s="26"/>
      <c r="AM949" s="26"/>
    </row>
    <row r="950">
      <c r="A950" s="51"/>
      <c r="B950" s="51"/>
      <c r="C950" s="52"/>
      <c r="D950" s="51"/>
      <c r="E950" s="53"/>
      <c r="F950" s="54"/>
      <c r="G950" s="51"/>
      <c r="H950" s="51"/>
      <c r="I950" s="55"/>
      <c r="J950" s="56"/>
      <c r="K950" s="46"/>
      <c r="L950" s="46"/>
      <c r="M950" s="47"/>
      <c r="N950" s="46"/>
      <c r="O950" s="57"/>
      <c r="P950" s="46"/>
      <c r="Q950" s="46"/>
      <c r="R950" s="57"/>
      <c r="S950" s="7"/>
      <c r="T950" s="54"/>
      <c r="U950" s="58"/>
      <c r="V950" s="47"/>
      <c r="W950" s="18"/>
      <c r="X950" s="46"/>
      <c r="Y950" s="9"/>
      <c r="Z950" s="46"/>
      <c r="AA950" s="7"/>
      <c r="AB950" s="46"/>
      <c r="AC950" s="47"/>
      <c r="AD950" s="7"/>
      <c r="AE950" s="47"/>
      <c r="AF950" s="18"/>
      <c r="AG950" s="26"/>
      <c r="AH950" s="34"/>
      <c r="AI950" s="34"/>
      <c r="AJ950" s="18"/>
      <c r="AK950" s="48"/>
      <c r="AL950" s="26"/>
      <c r="AM950" s="26"/>
    </row>
    <row r="951">
      <c r="A951" s="51"/>
      <c r="B951" s="51"/>
      <c r="C951" s="52"/>
      <c r="D951" s="51"/>
      <c r="E951" s="53"/>
      <c r="F951" s="54"/>
      <c r="G951" s="51"/>
      <c r="H951" s="51"/>
      <c r="I951" s="55"/>
      <c r="J951" s="56"/>
      <c r="K951" s="46"/>
      <c r="L951" s="46"/>
      <c r="M951" s="47"/>
      <c r="N951" s="46"/>
      <c r="O951" s="57"/>
      <c r="P951" s="46"/>
      <c r="Q951" s="46"/>
      <c r="R951" s="57"/>
      <c r="S951" s="7"/>
      <c r="T951" s="54"/>
      <c r="U951" s="58"/>
      <c r="V951" s="47"/>
      <c r="W951" s="18"/>
      <c r="X951" s="46"/>
      <c r="Y951" s="9"/>
      <c r="Z951" s="46"/>
      <c r="AA951" s="7"/>
      <c r="AB951" s="46"/>
      <c r="AC951" s="47"/>
      <c r="AD951" s="7"/>
      <c r="AE951" s="47"/>
      <c r="AF951" s="18"/>
      <c r="AG951" s="26"/>
      <c r="AH951" s="34"/>
      <c r="AI951" s="34"/>
      <c r="AJ951" s="18"/>
      <c r="AK951" s="48"/>
      <c r="AL951" s="26"/>
      <c r="AM951" s="26"/>
    </row>
    <row r="952">
      <c r="A952" s="51"/>
      <c r="B952" s="51"/>
      <c r="C952" s="52"/>
      <c r="D952" s="51"/>
      <c r="E952" s="53"/>
      <c r="F952" s="54"/>
      <c r="G952" s="51"/>
      <c r="H952" s="51"/>
      <c r="I952" s="55"/>
      <c r="J952" s="56"/>
      <c r="K952" s="46"/>
      <c r="L952" s="46"/>
      <c r="M952" s="47"/>
      <c r="N952" s="46"/>
      <c r="O952" s="57"/>
      <c r="P952" s="46"/>
      <c r="Q952" s="46"/>
      <c r="R952" s="57"/>
      <c r="S952" s="7"/>
      <c r="T952" s="54"/>
      <c r="U952" s="58"/>
      <c r="V952" s="47"/>
      <c r="W952" s="18"/>
      <c r="X952" s="46"/>
      <c r="Y952" s="9"/>
      <c r="Z952" s="46"/>
      <c r="AA952" s="7"/>
      <c r="AB952" s="46"/>
      <c r="AC952" s="47"/>
      <c r="AD952" s="7"/>
      <c r="AE952" s="47"/>
      <c r="AF952" s="18"/>
      <c r="AG952" s="26"/>
      <c r="AH952" s="34"/>
      <c r="AI952" s="34"/>
      <c r="AJ952" s="18"/>
      <c r="AK952" s="48"/>
      <c r="AL952" s="26"/>
      <c r="AM952" s="26"/>
    </row>
    <row r="953">
      <c r="A953" s="51"/>
      <c r="B953" s="51"/>
      <c r="C953" s="52"/>
      <c r="D953" s="51"/>
      <c r="E953" s="53"/>
      <c r="F953" s="54"/>
      <c r="G953" s="51"/>
      <c r="H953" s="51"/>
      <c r="I953" s="55"/>
      <c r="J953" s="56"/>
      <c r="K953" s="46"/>
      <c r="L953" s="46"/>
      <c r="M953" s="47"/>
      <c r="N953" s="46"/>
      <c r="O953" s="57"/>
      <c r="P953" s="46"/>
      <c r="Q953" s="46"/>
      <c r="R953" s="57"/>
      <c r="S953" s="7"/>
      <c r="T953" s="54"/>
      <c r="U953" s="58"/>
      <c r="V953" s="47"/>
      <c r="W953" s="18"/>
      <c r="X953" s="46"/>
      <c r="Y953" s="9"/>
      <c r="Z953" s="46"/>
      <c r="AA953" s="7"/>
      <c r="AB953" s="46"/>
      <c r="AC953" s="47"/>
      <c r="AD953" s="7"/>
      <c r="AE953" s="47"/>
      <c r="AF953" s="18"/>
      <c r="AG953" s="26"/>
      <c r="AH953" s="34"/>
      <c r="AI953" s="34"/>
      <c r="AJ953" s="18"/>
      <c r="AK953" s="48"/>
      <c r="AL953" s="26"/>
      <c r="AM953" s="26"/>
    </row>
    <row r="954">
      <c r="A954" s="51"/>
      <c r="B954" s="51"/>
      <c r="C954" s="52"/>
      <c r="D954" s="51"/>
      <c r="E954" s="53"/>
      <c r="F954" s="54"/>
      <c r="G954" s="51"/>
      <c r="H954" s="51"/>
      <c r="I954" s="55"/>
      <c r="J954" s="56"/>
      <c r="K954" s="46"/>
      <c r="L954" s="46"/>
      <c r="M954" s="47"/>
      <c r="N954" s="46"/>
      <c r="O954" s="57"/>
      <c r="P954" s="46"/>
      <c r="Q954" s="46"/>
      <c r="R954" s="57"/>
      <c r="S954" s="7"/>
      <c r="T954" s="54"/>
      <c r="U954" s="58"/>
      <c r="V954" s="47"/>
      <c r="W954" s="18"/>
      <c r="X954" s="46"/>
      <c r="Y954" s="9"/>
      <c r="Z954" s="46"/>
      <c r="AA954" s="7"/>
      <c r="AB954" s="46"/>
      <c r="AC954" s="47"/>
      <c r="AD954" s="7"/>
      <c r="AE954" s="47"/>
      <c r="AF954" s="18"/>
      <c r="AG954" s="26"/>
      <c r="AH954" s="34"/>
      <c r="AI954" s="34"/>
      <c r="AJ954" s="18"/>
      <c r="AK954" s="48"/>
      <c r="AL954" s="26"/>
      <c r="AM954" s="26"/>
    </row>
    <row r="955">
      <c r="A955" s="51"/>
      <c r="B955" s="51"/>
      <c r="C955" s="52"/>
      <c r="D955" s="51"/>
      <c r="E955" s="53"/>
      <c r="F955" s="54"/>
      <c r="G955" s="51"/>
      <c r="H955" s="51"/>
      <c r="I955" s="55"/>
      <c r="J955" s="56"/>
      <c r="K955" s="46"/>
      <c r="L955" s="46"/>
      <c r="M955" s="47"/>
      <c r="N955" s="46"/>
      <c r="O955" s="57"/>
      <c r="P955" s="46"/>
      <c r="Q955" s="46"/>
      <c r="R955" s="57"/>
      <c r="S955" s="7"/>
      <c r="T955" s="54"/>
      <c r="U955" s="58"/>
      <c r="V955" s="47"/>
      <c r="W955" s="18"/>
      <c r="X955" s="46"/>
      <c r="Y955" s="9"/>
      <c r="Z955" s="46"/>
      <c r="AA955" s="7"/>
      <c r="AB955" s="46"/>
      <c r="AC955" s="47"/>
      <c r="AD955" s="7"/>
      <c r="AE955" s="47"/>
      <c r="AF955" s="18"/>
      <c r="AG955" s="26"/>
      <c r="AH955" s="34"/>
      <c r="AI955" s="34"/>
      <c r="AJ955" s="18"/>
      <c r="AK955" s="48"/>
      <c r="AL955" s="26"/>
      <c r="AM955" s="26"/>
    </row>
    <row r="956">
      <c r="A956" s="51"/>
      <c r="B956" s="51"/>
      <c r="C956" s="52"/>
      <c r="D956" s="51"/>
      <c r="E956" s="53"/>
      <c r="F956" s="54"/>
      <c r="G956" s="51"/>
      <c r="H956" s="51"/>
      <c r="I956" s="55"/>
      <c r="J956" s="56"/>
      <c r="K956" s="46"/>
      <c r="L956" s="46"/>
      <c r="M956" s="47"/>
      <c r="N956" s="46"/>
      <c r="O956" s="57"/>
      <c r="P956" s="46"/>
      <c r="Q956" s="46"/>
      <c r="R956" s="57"/>
      <c r="S956" s="7"/>
      <c r="T956" s="54"/>
      <c r="U956" s="58"/>
      <c r="V956" s="47"/>
      <c r="W956" s="18"/>
      <c r="X956" s="46"/>
      <c r="Y956" s="9"/>
      <c r="Z956" s="46"/>
      <c r="AA956" s="7"/>
      <c r="AB956" s="46"/>
      <c r="AC956" s="47"/>
      <c r="AD956" s="7"/>
      <c r="AE956" s="47"/>
      <c r="AF956" s="18"/>
      <c r="AG956" s="26"/>
      <c r="AH956" s="34"/>
      <c r="AI956" s="34"/>
      <c r="AJ956" s="18"/>
      <c r="AK956" s="48"/>
      <c r="AL956" s="26"/>
      <c r="AM956" s="26"/>
    </row>
    <row r="957">
      <c r="A957" s="51"/>
      <c r="B957" s="51"/>
      <c r="C957" s="52"/>
      <c r="D957" s="51"/>
      <c r="E957" s="53"/>
      <c r="F957" s="54"/>
      <c r="G957" s="51"/>
      <c r="H957" s="51"/>
      <c r="I957" s="55"/>
      <c r="J957" s="56"/>
      <c r="K957" s="46"/>
      <c r="L957" s="46"/>
      <c r="M957" s="47"/>
      <c r="N957" s="46"/>
      <c r="O957" s="57"/>
      <c r="P957" s="46"/>
      <c r="Q957" s="46"/>
      <c r="R957" s="57"/>
      <c r="S957" s="7"/>
      <c r="T957" s="54"/>
      <c r="U957" s="58"/>
      <c r="V957" s="47"/>
      <c r="W957" s="18"/>
      <c r="X957" s="46"/>
      <c r="Y957" s="9"/>
      <c r="Z957" s="46"/>
      <c r="AA957" s="7"/>
      <c r="AB957" s="46"/>
      <c r="AC957" s="47"/>
      <c r="AD957" s="7"/>
      <c r="AE957" s="47"/>
      <c r="AF957" s="18"/>
      <c r="AG957" s="26"/>
      <c r="AH957" s="34"/>
      <c r="AI957" s="34"/>
      <c r="AJ957" s="18"/>
      <c r="AK957" s="48"/>
      <c r="AL957" s="26"/>
      <c r="AM957" s="26"/>
    </row>
    <row r="958">
      <c r="A958" s="51"/>
      <c r="B958" s="51"/>
      <c r="C958" s="52"/>
      <c r="D958" s="51"/>
      <c r="E958" s="53"/>
      <c r="F958" s="54"/>
      <c r="G958" s="51"/>
      <c r="H958" s="51"/>
      <c r="I958" s="55"/>
      <c r="J958" s="56"/>
      <c r="K958" s="46"/>
      <c r="L958" s="46"/>
      <c r="M958" s="47"/>
      <c r="N958" s="46"/>
      <c r="O958" s="57"/>
      <c r="P958" s="46"/>
      <c r="Q958" s="46"/>
      <c r="R958" s="57"/>
      <c r="S958" s="7"/>
      <c r="T958" s="54"/>
      <c r="U958" s="58"/>
      <c r="V958" s="47"/>
      <c r="W958" s="18"/>
      <c r="X958" s="46"/>
      <c r="Y958" s="9"/>
      <c r="Z958" s="46"/>
      <c r="AA958" s="7"/>
      <c r="AB958" s="46"/>
      <c r="AC958" s="47"/>
      <c r="AD958" s="7"/>
      <c r="AE958" s="47"/>
      <c r="AF958" s="18"/>
      <c r="AG958" s="26"/>
      <c r="AH958" s="34"/>
      <c r="AI958" s="34"/>
      <c r="AJ958" s="18"/>
      <c r="AK958" s="48"/>
      <c r="AL958" s="26"/>
      <c r="AM958" s="26"/>
    </row>
    <row r="959">
      <c r="A959" s="51"/>
      <c r="B959" s="51"/>
      <c r="C959" s="52"/>
      <c r="D959" s="51"/>
      <c r="E959" s="53"/>
      <c r="F959" s="54"/>
      <c r="G959" s="51"/>
      <c r="H959" s="51"/>
      <c r="I959" s="55"/>
      <c r="J959" s="56"/>
      <c r="K959" s="46"/>
      <c r="L959" s="46"/>
      <c r="M959" s="47"/>
      <c r="N959" s="46"/>
      <c r="O959" s="57"/>
      <c r="P959" s="46"/>
      <c r="Q959" s="46"/>
      <c r="R959" s="57"/>
      <c r="S959" s="7"/>
      <c r="T959" s="54"/>
      <c r="U959" s="58"/>
      <c r="V959" s="47"/>
      <c r="W959" s="18"/>
      <c r="X959" s="46"/>
      <c r="Y959" s="9"/>
      <c r="Z959" s="46"/>
      <c r="AA959" s="7"/>
      <c r="AB959" s="46"/>
      <c r="AC959" s="47"/>
      <c r="AD959" s="7"/>
      <c r="AE959" s="47"/>
      <c r="AF959" s="18"/>
      <c r="AG959" s="26"/>
      <c r="AH959" s="34"/>
      <c r="AI959" s="34"/>
      <c r="AJ959" s="18"/>
      <c r="AK959" s="48"/>
      <c r="AL959" s="26"/>
      <c r="AM959" s="26"/>
    </row>
    <row r="960">
      <c r="A960" s="51"/>
      <c r="B960" s="51"/>
      <c r="C960" s="52"/>
      <c r="D960" s="51"/>
      <c r="E960" s="53"/>
      <c r="F960" s="54"/>
      <c r="G960" s="51"/>
      <c r="H960" s="51"/>
      <c r="I960" s="55"/>
      <c r="J960" s="56"/>
      <c r="K960" s="46"/>
      <c r="L960" s="46"/>
      <c r="M960" s="47"/>
      <c r="N960" s="46"/>
      <c r="O960" s="57"/>
      <c r="P960" s="46"/>
      <c r="Q960" s="46"/>
      <c r="R960" s="57"/>
      <c r="S960" s="7"/>
      <c r="T960" s="54"/>
      <c r="U960" s="58"/>
      <c r="V960" s="47"/>
      <c r="W960" s="18"/>
      <c r="X960" s="46"/>
      <c r="Y960" s="9"/>
      <c r="Z960" s="46"/>
      <c r="AA960" s="7"/>
      <c r="AB960" s="46"/>
      <c r="AC960" s="47"/>
      <c r="AD960" s="7"/>
      <c r="AE960" s="47"/>
      <c r="AF960" s="18"/>
      <c r="AG960" s="26"/>
      <c r="AH960" s="34"/>
      <c r="AI960" s="34"/>
      <c r="AJ960" s="18"/>
      <c r="AK960" s="48"/>
      <c r="AL960" s="26"/>
      <c r="AM960" s="26"/>
    </row>
    <row r="961">
      <c r="A961" s="51"/>
      <c r="B961" s="51"/>
      <c r="C961" s="52"/>
      <c r="D961" s="51"/>
      <c r="E961" s="53"/>
      <c r="F961" s="54"/>
      <c r="G961" s="51"/>
      <c r="H961" s="51"/>
      <c r="I961" s="55"/>
      <c r="J961" s="56"/>
      <c r="K961" s="46"/>
      <c r="L961" s="46"/>
      <c r="M961" s="47"/>
      <c r="N961" s="46"/>
      <c r="O961" s="57"/>
      <c r="P961" s="46"/>
      <c r="Q961" s="46"/>
      <c r="R961" s="57"/>
      <c r="S961" s="7"/>
      <c r="T961" s="54"/>
      <c r="U961" s="58"/>
      <c r="V961" s="47"/>
      <c r="W961" s="18"/>
      <c r="X961" s="46"/>
      <c r="Y961" s="9"/>
      <c r="Z961" s="46"/>
      <c r="AA961" s="7"/>
      <c r="AB961" s="46"/>
      <c r="AC961" s="47"/>
      <c r="AD961" s="7"/>
      <c r="AE961" s="47"/>
      <c r="AF961" s="18"/>
      <c r="AG961" s="26"/>
      <c r="AH961" s="34"/>
      <c r="AI961" s="34"/>
      <c r="AJ961" s="18"/>
      <c r="AK961" s="48"/>
      <c r="AL961" s="26"/>
      <c r="AM961" s="26"/>
    </row>
    <row r="962">
      <c r="A962" s="51"/>
      <c r="B962" s="51"/>
      <c r="C962" s="52"/>
      <c r="D962" s="51"/>
      <c r="E962" s="53"/>
      <c r="F962" s="54"/>
      <c r="G962" s="51"/>
      <c r="H962" s="51"/>
      <c r="I962" s="55"/>
      <c r="J962" s="56"/>
      <c r="K962" s="46"/>
      <c r="L962" s="46"/>
      <c r="M962" s="47"/>
      <c r="N962" s="46"/>
      <c r="O962" s="57"/>
      <c r="P962" s="46"/>
      <c r="Q962" s="46"/>
      <c r="R962" s="57"/>
      <c r="S962" s="7"/>
      <c r="T962" s="54"/>
      <c r="U962" s="58"/>
      <c r="V962" s="47"/>
      <c r="W962" s="18"/>
      <c r="X962" s="46"/>
      <c r="Y962" s="9"/>
      <c r="Z962" s="46"/>
      <c r="AA962" s="7"/>
      <c r="AB962" s="46"/>
      <c r="AC962" s="47"/>
      <c r="AD962" s="7"/>
      <c r="AE962" s="47"/>
      <c r="AF962" s="18"/>
      <c r="AG962" s="26"/>
      <c r="AH962" s="34"/>
      <c r="AI962" s="34"/>
      <c r="AJ962" s="18"/>
      <c r="AK962" s="48"/>
      <c r="AL962" s="26"/>
      <c r="AM962" s="26"/>
    </row>
    <row r="963">
      <c r="A963" s="51"/>
      <c r="B963" s="51"/>
      <c r="C963" s="52"/>
      <c r="D963" s="51"/>
      <c r="E963" s="53"/>
      <c r="F963" s="54"/>
      <c r="G963" s="51"/>
      <c r="H963" s="51"/>
      <c r="I963" s="55"/>
      <c r="J963" s="56"/>
      <c r="K963" s="46"/>
      <c r="L963" s="46"/>
      <c r="M963" s="47"/>
      <c r="N963" s="46"/>
      <c r="O963" s="57"/>
      <c r="P963" s="46"/>
      <c r="Q963" s="46"/>
      <c r="R963" s="57"/>
      <c r="S963" s="7"/>
      <c r="T963" s="54"/>
      <c r="U963" s="58"/>
      <c r="V963" s="47"/>
      <c r="W963" s="18"/>
      <c r="X963" s="46"/>
      <c r="Y963" s="9"/>
      <c r="Z963" s="46"/>
      <c r="AA963" s="7"/>
      <c r="AB963" s="46"/>
      <c r="AC963" s="47"/>
      <c r="AD963" s="7"/>
      <c r="AE963" s="47"/>
      <c r="AF963" s="18"/>
      <c r="AG963" s="26"/>
      <c r="AH963" s="34"/>
      <c r="AI963" s="34"/>
      <c r="AJ963" s="18"/>
      <c r="AK963" s="48"/>
      <c r="AL963" s="26"/>
      <c r="AM963" s="26"/>
    </row>
    <row r="964">
      <c r="A964" s="51"/>
      <c r="B964" s="51"/>
      <c r="C964" s="52"/>
      <c r="D964" s="51"/>
      <c r="E964" s="53"/>
      <c r="F964" s="54"/>
      <c r="G964" s="51"/>
      <c r="H964" s="51"/>
      <c r="I964" s="55"/>
      <c r="J964" s="56"/>
      <c r="K964" s="46"/>
      <c r="L964" s="46"/>
      <c r="M964" s="47"/>
      <c r="N964" s="46"/>
      <c r="O964" s="57"/>
      <c r="P964" s="46"/>
      <c r="Q964" s="46"/>
      <c r="R964" s="57"/>
      <c r="S964" s="7"/>
      <c r="T964" s="54"/>
      <c r="U964" s="58"/>
      <c r="V964" s="47"/>
      <c r="W964" s="18"/>
      <c r="X964" s="46"/>
      <c r="Y964" s="9"/>
      <c r="Z964" s="46"/>
      <c r="AA964" s="7"/>
      <c r="AB964" s="46"/>
      <c r="AC964" s="47"/>
      <c r="AD964" s="7"/>
      <c r="AE964" s="47"/>
      <c r="AF964" s="18"/>
      <c r="AG964" s="26"/>
      <c r="AH964" s="34"/>
      <c r="AI964" s="34"/>
      <c r="AJ964" s="18"/>
      <c r="AK964" s="48"/>
      <c r="AL964" s="26"/>
      <c r="AM964" s="26"/>
    </row>
    <row r="965">
      <c r="A965" s="51"/>
      <c r="B965" s="51"/>
      <c r="C965" s="52"/>
      <c r="D965" s="51"/>
      <c r="E965" s="53"/>
      <c r="F965" s="54"/>
      <c r="G965" s="51"/>
      <c r="H965" s="51"/>
      <c r="I965" s="55"/>
      <c r="J965" s="56"/>
      <c r="K965" s="46"/>
      <c r="L965" s="46"/>
      <c r="M965" s="47"/>
      <c r="N965" s="46"/>
      <c r="O965" s="57"/>
      <c r="P965" s="46"/>
      <c r="Q965" s="46"/>
      <c r="R965" s="57"/>
      <c r="S965" s="7"/>
      <c r="T965" s="54"/>
      <c r="U965" s="58"/>
      <c r="V965" s="47"/>
      <c r="W965" s="18"/>
      <c r="X965" s="46"/>
      <c r="Y965" s="9"/>
      <c r="Z965" s="46"/>
      <c r="AA965" s="7"/>
      <c r="AB965" s="46"/>
      <c r="AC965" s="47"/>
      <c r="AD965" s="7"/>
      <c r="AE965" s="47"/>
      <c r="AF965" s="18"/>
      <c r="AG965" s="26"/>
      <c r="AH965" s="34"/>
      <c r="AI965" s="34"/>
      <c r="AJ965" s="18"/>
      <c r="AK965" s="48"/>
      <c r="AL965" s="26"/>
      <c r="AM965" s="26"/>
    </row>
    <row r="966">
      <c r="A966" s="51"/>
      <c r="B966" s="51"/>
      <c r="C966" s="52"/>
      <c r="D966" s="51"/>
      <c r="E966" s="53"/>
      <c r="F966" s="54"/>
      <c r="G966" s="51"/>
      <c r="H966" s="51"/>
      <c r="I966" s="55"/>
      <c r="J966" s="56"/>
      <c r="K966" s="46"/>
      <c r="L966" s="46"/>
      <c r="M966" s="47"/>
      <c r="N966" s="46"/>
      <c r="O966" s="57"/>
      <c r="P966" s="46"/>
      <c r="Q966" s="46"/>
      <c r="R966" s="57"/>
      <c r="S966" s="7"/>
      <c r="T966" s="54"/>
      <c r="U966" s="58"/>
      <c r="V966" s="47"/>
      <c r="W966" s="18"/>
      <c r="X966" s="46"/>
      <c r="Y966" s="9"/>
      <c r="Z966" s="46"/>
      <c r="AA966" s="7"/>
      <c r="AB966" s="46"/>
      <c r="AC966" s="47"/>
      <c r="AD966" s="7"/>
      <c r="AE966" s="47"/>
      <c r="AF966" s="18"/>
      <c r="AG966" s="26"/>
      <c r="AH966" s="34"/>
      <c r="AI966" s="34"/>
      <c r="AJ966" s="18"/>
      <c r="AK966" s="48"/>
      <c r="AL966" s="26"/>
      <c r="AM966" s="26"/>
    </row>
    <row r="967">
      <c r="A967" s="51"/>
      <c r="B967" s="51"/>
      <c r="C967" s="52"/>
      <c r="D967" s="51"/>
      <c r="E967" s="53"/>
      <c r="F967" s="54"/>
      <c r="G967" s="51"/>
      <c r="H967" s="51"/>
      <c r="I967" s="55"/>
      <c r="J967" s="56"/>
      <c r="K967" s="46"/>
      <c r="L967" s="46"/>
      <c r="M967" s="47"/>
      <c r="N967" s="46"/>
      <c r="O967" s="57"/>
      <c r="P967" s="46"/>
      <c r="Q967" s="46"/>
      <c r="R967" s="57"/>
      <c r="S967" s="7"/>
      <c r="T967" s="54"/>
      <c r="U967" s="58"/>
      <c r="V967" s="47"/>
      <c r="W967" s="18"/>
      <c r="X967" s="46"/>
      <c r="Y967" s="9"/>
      <c r="Z967" s="46"/>
      <c r="AA967" s="7"/>
      <c r="AB967" s="46"/>
      <c r="AC967" s="47"/>
      <c r="AD967" s="7"/>
      <c r="AE967" s="47"/>
      <c r="AF967" s="18"/>
      <c r="AG967" s="26"/>
      <c r="AH967" s="34"/>
      <c r="AI967" s="34"/>
      <c r="AJ967" s="18"/>
      <c r="AK967" s="48"/>
      <c r="AL967" s="26"/>
      <c r="AM967" s="26"/>
    </row>
    <row r="968">
      <c r="A968" s="51"/>
      <c r="B968" s="51"/>
      <c r="C968" s="52"/>
      <c r="D968" s="51"/>
      <c r="E968" s="53"/>
      <c r="F968" s="54"/>
      <c r="G968" s="51"/>
      <c r="H968" s="51"/>
      <c r="I968" s="55"/>
      <c r="J968" s="56"/>
      <c r="K968" s="46"/>
      <c r="L968" s="46"/>
      <c r="M968" s="47"/>
      <c r="N968" s="46"/>
      <c r="O968" s="57"/>
      <c r="P968" s="46"/>
      <c r="Q968" s="46"/>
      <c r="R968" s="57"/>
      <c r="S968" s="7"/>
      <c r="T968" s="54"/>
      <c r="U968" s="58"/>
      <c r="V968" s="47"/>
      <c r="W968" s="18"/>
      <c r="X968" s="46"/>
      <c r="Y968" s="9"/>
      <c r="Z968" s="46"/>
      <c r="AA968" s="7"/>
      <c r="AB968" s="46"/>
      <c r="AC968" s="47"/>
      <c r="AD968" s="7"/>
      <c r="AE968" s="47"/>
      <c r="AF968" s="18"/>
      <c r="AG968" s="26"/>
      <c r="AH968" s="34"/>
      <c r="AI968" s="34"/>
      <c r="AJ968" s="18"/>
      <c r="AK968" s="48"/>
      <c r="AL968" s="26"/>
      <c r="AM968" s="26"/>
    </row>
    <row r="969">
      <c r="A969" s="51"/>
      <c r="B969" s="51"/>
      <c r="C969" s="52"/>
      <c r="D969" s="51"/>
      <c r="E969" s="53"/>
      <c r="F969" s="54"/>
      <c r="G969" s="51"/>
      <c r="H969" s="51"/>
      <c r="I969" s="55"/>
      <c r="J969" s="56"/>
      <c r="K969" s="46"/>
      <c r="L969" s="46"/>
      <c r="M969" s="47"/>
      <c r="N969" s="46"/>
      <c r="O969" s="57"/>
      <c r="P969" s="46"/>
      <c r="Q969" s="46"/>
      <c r="R969" s="57"/>
      <c r="S969" s="7"/>
      <c r="T969" s="54"/>
      <c r="U969" s="58"/>
      <c r="V969" s="47"/>
      <c r="W969" s="18"/>
      <c r="X969" s="46"/>
      <c r="Y969" s="9"/>
      <c r="Z969" s="46"/>
      <c r="AA969" s="7"/>
      <c r="AB969" s="46"/>
      <c r="AC969" s="47"/>
      <c r="AD969" s="7"/>
      <c r="AE969" s="47"/>
      <c r="AF969" s="18"/>
      <c r="AG969" s="26"/>
      <c r="AH969" s="34"/>
      <c r="AI969" s="34"/>
      <c r="AJ969" s="18"/>
      <c r="AK969" s="48"/>
      <c r="AL969" s="26"/>
      <c r="AM969" s="26"/>
    </row>
    <row r="970">
      <c r="A970" s="51"/>
      <c r="B970" s="51"/>
      <c r="C970" s="52"/>
      <c r="D970" s="51"/>
      <c r="E970" s="53"/>
      <c r="F970" s="54"/>
      <c r="G970" s="51"/>
      <c r="H970" s="51"/>
      <c r="I970" s="55"/>
      <c r="J970" s="56"/>
      <c r="K970" s="46"/>
      <c r="L970" s="46"/>
      <c r="M970" s="47"/>
      <c r="N970" s="46"/>
      <c r="O970" s="57"/>
      <c r="P970" s="46"/>
      <c r="Q970" s="46"/>
      <c r="R970" s="57"/>
      <c r="S970" s="7"/>
      <c r="T970" s="54"/>
      <c r="U970" s="58"/>
      <c r="V970" s="47"/>
      <c r="W970" s="18"/>
      <c r="X970" s="46"/>
      <c r="Y970" s="9"/>
      <c r="Z970" s="46"/>
      <c r="AA970" s="7"/>
      <c r="AB970" s="46"/>
      <c r="AC970" s="47"/>
      <c r="AD970" s="7"/>
      <c r="AE970" s="47"/>
      <c r="AF970" s="18"/>
      <c r="AG970" s="26"/>
      <c r="AH970" s="34"/>
      <c r="AI970" s="34"/>
      <c r="AJ970" s="18"/>
      <c r="AK970" s="48"/>
      <c r="AL970" s="26"/>
      <c r="AM970" s="26"/>
    </row>
    <row r="971">
      <c r="A971" s="51"/>
      <c r="B971" s="51"/>
      <c r="C971" s="52"/>
      <c r="D971" s="51"/>
      <c r="E971" s="53"/>
      <c r="F971" s="54"/>
      <c r="G971" s="51"/>
      <c r="H971" s="51"/>
      <c r="I971" s="55"/>
      <c r="J971" s="56"/>
      <c r="K971" s="46"/>
      <c r="L971" s="46"/>
      <c r="M971" s="47"/>
      <c r="N971" s="46"/>
      <c r="O971" s="57"/>
      <c r="P971" s="46"/>
      <c r="Q971" s="46"/>
      <c r="R971" s="57"/>
      <c r="S971" s="7"/>
      <c r="T971" s="54"/>
      <c r="U971" s="58"/>
      <c r="V971" s="47"/>
      <c r="W971" s="18"/>
      <c r="X971" s="46"/>
      <c r="Y971" s="9"/>
      <c r="Z971" s="46"/>
      <c r="AA971" s="7"/>
      <c r="AB971" s="46"/>
      <c r="AC971" s="47"/>
      <c r="AD971" s="7"/>
      <c r="AE971" s="47"/>
      <c r="AF971" s="18"/>
      <c r="AG971" s="26"/>
      <c r="AH971" s="34"/>
      <c r="AI971" s="34"/>
      <c r="AJ971" s="18"/>
      <c r="AK971" s="48"/>
      <c r="AL971" s="26"/>
      <c r="AM971" s="26"/>
    </row>
    <row r="972">
      <c r="A972" s="51"/>
      <c r="B972" s="51"/>
      <c r="C972" s="52"/>
      <c r="D972" s="51"/>
      <c r="E972" s="53"/>
      <c r="F972" s="54"/>
      <c r="G972" s="51"/>
      <c r="H972" s="51"/>
      <c r="I972" s="55"/>
      <c r="J972" s="56"/>
      <c r="K972" s="46"/>
      <c r="L972" s="46"/>
      <c r="M972" s="47"/>
      <c r="N972" s="46"/>
      <c r="O972" s="57"/>
      <c r="P972" s="46"/>
      <c r="Q972" s="46"/>
      <c r="R972" s="57"/>
      <c r="S972" s="7"/>
      <c r="T972" s="54"/>
      <c r="U972" s="58"/>
      <c r="V972" s="47"/>
      <c r="W972" s="18"/>
      <c r="X972" s="46"/>
      <c r="Y972" s="9"/>
      <c r="Z972" s="46"/>
      <c r="AA972" s="7"/>
      <c r="AB972" s="46"/>
      <c r="AC972" s="47"/>
      <c r="AD972" s="7"/>
      <c r="AE972" s="47"/>
      <c r="AF972" s="18"/>
      <c r="AG972" s="26"/>
      <c r="AH972" s="34"/>
      <c r="AI972" s="34"/>
      <c r="AJ972" s="18"/>
      <c r="AK972" s="48"/>
      <c r="AL972" s="26"/>
      <c r="AM972" s="26"/>
    </row>
    <row r="973">
      <c r="A973" s="51"/>
      <c r="B973" s="51"/>
      <c r="C973" s="52"/>
      <c r="D973" s="51"/>
      <c r="E973" s="53"/>
      <c r="F973" s="54"/>
      <c r="G973" s="51"/>
      <c r="H973" s="51"/>
      <c r="I973" s="55"/>
      <c r="J973" s="56"/>
      <c r="K973" s="46"/>
      <c r="L973" s="46"/>
      <c r="M973" s="47"/>
      <c r="N973" s="46"/>
      <c r="O973" s="57"/>
      <c r="P973" s="46"/>
      <c r="Q973" s="46"/>
      <c r="R973" s="57"/>
      <c r="S973" s="7"/>
      <c r="T973" s="54"/>
      <c r="U973" s="58"/>
      <c r="V973" s="47"/>
      <c r="W973" s="18"/>
      <c r="X973" s="46"/>
      <c r="Y973" s="9"/>
      <c r="Z973" s="46"/>
      <c r="AA973" s="7"/>
      <c r="AB973" s="46"/>
      <c r="AC973" s="47"/>
      <c r="AD973" s="7"/>
      <c r="AE973" s="47"/>
      <c r="AF973" s="18"/>
      <c r="AG973" s="26"/>
      <c r="AH973" s="34"/>
      <c r="AI973" s="34"/>
      <c r="AJ973" s="18"/>
      <c r="AK973" s="48"/>
      <c r="AL973" s="26"/>
      <c r="AM973" s="26"/>
    </row>
    <row r="974">
      <c r="A974" s="51"/>
      <c r="B974" s="51"/>
      <c r="C974" s="52"/>
      <c r="D974" s="51"/>
      <c r="E974" s="53"/>
      <c r="F974" s="54"/>
      <c r="G974" s="51"/>
      <c r="H974" s="51"/>
      <c r="I974" s="55"/>
      <c r="J974" s="56"/>
      <c r="K974" s="46"/>
      <c r="L974" s="46"/>
      <c r="M974" s="47"/>
      <c r="N974" s="46"/>
      <c r="O974" s="57"/>
      <c r="P974" s="46"/>
      <c r="Q974" s="46"/>
      <c r="R974" s="57"/>
      <c r="S974" s="7"/>
      <c r="T974" s="54"/>
      <c r="U974" s="58"/>
      <c r="V974" s="47"/>
      <c r="W974" s="18"/>
      <c r="X974" s="46"/>
      <c r="Y974" s="9"/>
      <c r="Z974" s="46"/>
      <c r="AA974" s="7"/>
      <c r="AB974" s="46"/>
      <c r="AC974" s="47"/>
      <c r="AD974" s="7"/>
      <c r="AE974" s="47"/>
      <c r="AF974" s="18"/>
      <c r="AG974" s="26"/>
      <c r="AH974" s="34"/>
      <c r="AI974" s="34"/>
      <c r="AJ974" s="18"/>
      <c r="AK974" s="48"/>
      <c r="AL974" s="26"/>
      <c r="AM974" s="26"/>
    </row>
    <row r="975">
      <c r="A975" s="51"/>
      <c r="B975" s="51"/>
      <c r="C975" s="52"/>
      <c r="D975" s="51"/>
      <c r="E975" s="53"/>
      <c r="F975" s="54"/>
      <c r="G975" s="51"/>
      <c r="H975" s="51"/>
      <c r="I975" s="55"/>
      <c r="J975" s="56"/>
      <c r="K975" s="46"/>
      <c r="L975" s="46"/>
      <c r="M975" s="47"/>
      <c r="N975" s="46"/>
      <c r="O975" s="57"/>
      <c r="P975" s="46"/>
      <c r="Q975" s="46"/>
      <c r="R975" s="57"/>
      <c r="S975" s="7"/>
      <c r="T975" s="54"/>
      <c r="U975" s="58"/>
      <c r="V975" s="47"/>
      <c r="W975" s="18"/>
      <c r="X975" s="46"/>
      <c r="Y975" s="9"/>
      <c r="Z975" s="46"/>
      <c r="AA975" s="7"/>
      <c r="AB975" s="46"/>
      <c r="AC975" s="47"/>
      <c r="AD975" s="7"/>
      <c r="AE975" s="47"/>
      <c r="AF975" s="18"/>
      <c r="AG975" s="26"/>
      <c r="AH975" s="34"/>
      <c r="AI975" s="34"/>
      <c r="AJ975" s="18"/>
      <c r="AK975" s="48"/>
      <c r="AL975" s="26"/>
      <c r="AM975" s="26"/>
    </row>
    <row r="976">
      <c r="A976" s="51"/>
      <c r="B976" s="51"/>
      <c r="C976" s="52"/>
      <c r="D976" s="51"/>
      <c r="E976" s="53"/>
      <c r="F976" s="54"/>
      <c r="G976" s="51"/>
      <c r="H976" s="51"/>
      <c r="I976" s="55"/>
      <c r="J976" s="56"/>
      <c r="K976" s="46"/>
      <c r="L976" s="46"/>
      <c r="M976" s="47"/>
      <c r="N976" s="46"/>
      <c r="O976" s="57"/>
      <c r="P976" s="46"/>
      <c r="Q976" s="46"/>
      <c r="R976" s="57"/>
      <c r="S976" s="7"/>
      <c r="T976" s="54"/>
      <c r="U976" s="58"/>
      <c r="V976" s="47"/>
      <c r="W976" s="18"/>
      <c r="X976" s="46"/>
      <c r="Y976" s="9"/>
      <c r="Z976" s="46"/>
      <c r="AA976" s="7"/>
      <c r="AB976" s="46"/>
      <c r="AC976" s="47"/>
      <c r="AD976" s="7"/>
      <c r="AE976" s="47"/>
      <c r="AF976" s="18"/>
      <c r="AG976" s="26"/>
      <c r="AH976" s="34"/>
      <c r="AI976" s="34"/>
      <c r="AJ976" s="18"/>
      <c r="AK976" s="48"/>
      <c r="AL976" s="26"/>
      <c r="AM976" s="26"/>
    </row>
    <row r="977">
      <c r="A977" s="51"/>
      <c r="B977" s="51"/>
      <c r="C977" s="52"/>
      <c r="D977" s="51"/>
      <c r="E977" s="53"/>
      <c r="F977" s="54"/>
      <c r="G977" s="51"/>
      <c r="H977" s="51"/>
      <c r="I977" s="55"/>
      <c r="J977" s="56"/>
      <c r="K977" s="46"/>
      <c r="L977" s="46"/>
      <c r="M977" s="47"/>
      <c r="N977" s="46"/>
      <c r="O977" s="57"/>
      <c r="P977" s="46"/>
      <c r="Q977" s="46"/>
      <c r="R977" s="57"/>
      <c r="S977" s="7"/>
      <c r="T977" s="54"/>
      <c r="U977" s="58"/>
      <c r="V977" s="47"/>
      <c r="W977" s="18"/>
      <c r="X977" s="46"/>
      <c r="Y977" s="9"/>
      <c r="Z977" s="46"/>
      <c r="AA977" s="7"/>
      <c r="AB977" s="46"/>
      <c r="AC977" s="47"/>
      <c r="AD977" s="7"/>
      <c r="AE977" s="47"/>
      <c r="AF977" s="18"/>
      <c r="AG977" s="26"/>
      <c r="AH977" s="34"/>
      <c r="AI977" s="34"/>
      <c r="AJ977" s="18"/>
      <c r="AK977" s="48"/>
      <c r="AL977" s="26"/>
      <c r="AM977" s="26"/>
    </row>
    <row r="978">
      <c r="A978" s="51"/>
      <c r="B978" s="51"/>
      <c r="C978" s="52"/>
      <c r="D978" s="51"/>
      <c r="E978" s="53"/>
      <c r="F978" s="54"/>
      <c r="G978" s="51"/>
      <c r="H978" s="51"/>
      <c r="I978" s="55"/>
      <c r="J978" s="56"/>
      <c r="K978" s="46"/>
      <c r="L978" s="46"/>
      <c r="M978" s="47"/>
      <c r="N978" s="46"/>
      <c r="O978" s="57"/>
      <c r="P978" s="46"/>
      <c r="Q978" s="46"/>
      <c r="R978" s="57"/>
      <c r="S978" s="7"/>
      <c r="T978" s="54"/>
      <c r="U978" s="58"/>
      <c r="V978" s="47"/>
      <c r="W978" s="18"/>
      <c r="X978" s="46"/>
      <c r="Y978" s="9"/>
      <c r="Z978" s="46"/>
      <c r="AA978" s="7"/>
      <c r="AB978" s="46"/>
      <c r="AC978" s="47"/>
      <c r="AD978" s="7"/>
      <c r="AE978" s="47"/>
      <c r="AF978" s="18"/>
      <c r="AG978" s="26"/>
      <c r="AH978" s="34"/>
      <c r="AI978" s="34"/>
      <c r="AJ978" s="18"/>
      <c r="AK978" s="48"/>
      <c r="AL978" s="26"/>
      <c r="AM978" s="26"/>
    </row>
    <row r="979">
      <c r="A979" s="51"/>
      <c r="B979" s="51"/>
      <c r="C979" s="52"/>
      <c r="D979" s="51"/>
      <c r="E979" s="53"/>
      <c r="F979" s="54"/>
      <c r="G979" s="51"/>
      <c r="H979" s="51"/>
      <c r="I979" s="55"/>
      <c r="J979" s="56"/>
      <c r="K979" s="46"/>
      <c r="L979" s="46"/>
      <c r="M979" s="47"/>
      <c r="N979" s="46"/>
      <c r="O979" s="57"/>
      <c r="P979" s="46"/>
      <c r="Q979" s="46"/>
      <c r="R979" s="57"/>
      <c r="S979" s="7"/>
      <c r="T979" s="54"/>
      <c r="U979" s="58"/>
      <c r="V979" s="47"/>
      <c r="W979" s="18"/>
      <c r="X979" s="46"/>
      <c r="Y979" s="9"/>
      <c r="Z979" s="46"/>
      <c r="AA979" s="7"/>
      <c r="AB979" s="46"/>
      <c r="AC979" s="47"/>
      <c r="AD979" s="7"/>
      <c r="AE979" s="47"/>
      <c r="AF979" s="18"/>
      <c r="AG979" s="26"/>
      <c r="AH979" s="34"/>
      <c r="AI979" s="34"/>
      <c r="AJ979" s="18"/>
      <c r="AK979" s="48"/>
      <c r="AL979" s="26"/>
      <c r="AM979" s="26"/>
    </row>
    <row r="980">
      <c r="A980" s="51"/>
      <c r="B980" s="51"/>
      <c r="C980" s="52"/>
      <c r="D980" s="51"/>
      <c r="E980" s="53"/>
      <c r="F980" s="54"/>
      <c r="G980" s="51"/>
      <c r="H980" s="51"/>
      <c r="I980" s="55"/>
      <c r="J980" s="56"/>
      <c r="K980" s="46"/>
      <c r="L980" s="46"/>
      <c r="M980" s="47"/>
      <c r="N980" s="46"/>
      <c r="O980" s="57"/>
      <c r="P980" s="46"/>
      <c r="Q980" s="46"/>
      <c r="R980" s="57"/>
      <c r="S980" s="7"/>
      <c r="T980" s="54"/>
      <c r="U980" s="58"/>
      <c r="V980" s="47"/>
      <c r="W980" s="18"/>
      <c r="X980" s="46"/>
      <c r="Y980" s="9"/>
      <c r="Z980" s="46"/>
      <c r="AA980" s="7"/>
      <c r="AB980" s="46"/>
      <c r="AC980" s="47"/>
      <c r="AD980" s="7"/>
      <c r="AE980" s="47"/>
      <c r="AF980" s="18"/>
      <c r="AG980" s="26"/>
      <c r="AH980" s="34"/>
      <c r="AI980" s="34"/>
      <c r="AJ980" s="18"/>
      <c r="AK980" s="48"/>
      <c r="AL980" s="26"/>
      <c r="AM980" s="26"/>
    </row>
    <row r="981">
      <c r="A981" s="51"/>
      <c r="B981" s="51"/>
      <c r="C981" s="52"/>
      <c r="D981" s="51"/>
      <c r="E981" s="53"/>
      <c r="F981" s="54"/>
      <c r="G981" s="51"/>
      <c r="H981" s="51"/>
      <c r="I981" s="55"/>
      <c r="J981" s="56"/>
      <c r="K981" s="46"/>
      <c r="L981" s="46"/>
      <c r="M981" s="47"/>
      <c r="N981" s="46"/>
      <c r="O981" s="57"/>
      <c r="P981" s="46"/>
      <c r="Q981" s="46"/>
      <c r="R981" s="57"/>
      <c r="S981" s="7"/>
      <c r="T981" s="54"/>
      <c r="U981" s="58"/>
      <c r="V981" s="47"/>
      <c r="W981" s="18"/>
      <c r="X981" s="46"/>
      <c r="Y981" s="9"/>
      <c r="Z981" s="46"/>
      <c r="AA981" s="7"/>
      <c r="AB981" s="46"/>
      <c r="AC981" s="47"/>
      <c r="AD981" s="7"/>
      <c r="AE981" s="47"/>
      <c r="AF981" s="18"/>
      <c r="AG981" s="26"/>
      <c r="AH981" s="34"/>
      <c r="AI981" s="34"/>
      <c r="AJ981" s="18"/>
      <c r="AK981" s="48"/>
      <c r="AL981" s="26"/>
      <c r="AM981" s="26"/>
    </row>
    <row r="982">
      <c r="A982" s="51"/>
      <c r="B982" s="51"/>
      <c r="C982" s="52"/>
      <c r="D982" s="51"/>
      <c r="E982" s="53"/>
      <c r="F982" s="54"/>
      <c r="G982" s="51"/>
      <c r="H982" s="51"/>
      <c r="I982" s="55"/>
      <c r="J982" s="56"/>
      <c r="K982" s="46"/>
      <c r="L982" s="46"/>
      <c r="M982" s="47"/>
      <c r="N982" s="46"/>
      <c r="O982" s="57"/>
      <c r="P982" s="46"/>
      <c r="Q982" s="46"/>
      <c r="R982" s="57"/>
      <c r="S982" s="7"/>
      <c r="T982" s="54"/>
      <c r="U982" s="58"/>
      <c r="V982" s="47"/>
      <c r="W982" s="18"/>
      <c r="X982" s="46"/>
      <c r="Y982" s="9"/>
      <c r="Z982" s="46"/>
      <c r="AA982" s="7"/>
      <c r="AB982" s="46"/>
      <c r="AC982" s="47"/>
      <c r="AD982" s="7"/>
      <c r="AE982" s="47"/>
      <c r="AF982" s="18"/>
      <c r="AG982" s="26"/>
      <c r="AH982" s="34"/>
      <c r="AI982" s="34"/>
      <c r="AJ982" s="18"/>
      <c r="AK982" s="48"/>
      <c r="AL982" s="26"/>
      <c r="AM982" s="26"/>
    </row>
    <row r="983">
      <c r="A983" s="51"/>
      <c r="B983" s="51"/>
      <c r="C983" s="52"/>
      <c r="D983" s="51"/>
      <c r="E983" s="53"/>
      <c r="F983" s="54"/>
      <c r="G983" s="51"/>
      <c r="H983" s="51"/>
      <c r="I983" s="55"/>
      <c r="J983" s="56"/>
      <c r="K983" s="46"/>
      <c r="L983" s="46"/>
      <c r="M983" s="47"/>
      <c r="N983" s="46"/>
      <c r="O983" s="57"/>
      <c r="P983" s="46"/>
      <c r="Q983" s="46"/>
      <c r="R983" s="57"/>
      <c r="S983" s="7"/>
      <c r="T983" s="54"/>
      <c r="U983" s="58"/>
      <c r="V983" s="47"/>
      <c r="W983" s="18"/>
      <c r="X983" s="46"/>
      <c r="Y983" s="9"/>
      <c r="Z983" s="46"/>
      <c r="AA983" s="7"/>
      <c r="AB983" s="46"/>
      <c r="AC983" s="47"/>
      <c r="AD983" s="7"/>
      <c r="AE983" s="47"/>
      <c r="AF983" s="18"/>
      <c r="AG983" s="26"/>
      <c r="AH983" s="34"/>
      <c r="AI983" s="34"/>
      <c r="AJ983" s="18"/>
      <c r="AK983" s="48"/>
      <c r="AL983" s="26"/>
      <c r="AM983" s="26"/>
    </row>
    <row r="984">
      <c r="A984" s="51"/>
      <c r="B984" s="51"/>
      <c r="C984" s="52"/>
      <c r="D984" s="51"/>
      <c r="E984" s="53"/>
      <c r="F984" s="54"/>
      <c r="G984" s="51"/>
      <c r="H984" s="51"/>
      <c r="I984" s="55"/>
      <c r="J984" s="56"/>
      <c r="K984" s="46"/>
      <c r="L984" s="46"/>
      <c r="M984" s="47"/>
      <c r="N984" s="46"/>
      <c r="O984" s="57"/>
      <c r="P984" s="46"/>
      <c r="Q984" s="46"/>
      <c r="R984" s="57"/>
      <c r="S984" s="7"/>
      <c r="T984" s="54"/>
      <c r="U984" s="58"/>
      <c r="V984" s="47"/>
      <c r="W984" s="18"/>
      <c r="X984" s="46"/>
      <c r="Y984" s="9"/>
      <c r="Z984" s="46"/>
      <c r="AA984" s="7"/>
      <c r="AB984" s="46"/>
      <c r="AC984" s="47"/>
      <c r="AD984" s="7"/>
      <c r="AE984" s="47"/>
      <c r="AF984" s="18"/>
      <c r="AG984" s="26"/>
      <c r="AH984" s="34"/>
      <c r="AI984" s="34"/>
      <c r="AJ984" s="18"/>
      <c r="AK984" s="48"/>
      <c r="AL984" s="26"/>
      <c r="AM984" s="26"/>
    </row>
    <row r="985">
      <c r="A985" s="51"/>
      <c r="B985" s="51"/>
      <c r="C985" s="52"/>
      <c r="D985" s="51"/>
      <c r="E985" s="53"/>
      <c r="F985" s="54"/>
      <c r="G985" s="51"/>
      <c r="H985" s="51"/>
      <c r="I985" s="55"/>
      <c r="J985" s="56"/>
      <c r="K985" s="46"/>
      <c r="L985" s="46"/>
      <c r="M985" s="47"/>
      <c r="N985" s="46"/>
      <c r="O985" s="57"/>
      <c r="P985" s="46"/>
      <c r="Q985" s="46"/>
      <c r="R985" s="57"/>
      <c r="S985" s="7"/>
      <c r="T985" s="54"/>
      <c r="U985" s="58"/>
      <c r="V985" s="47"/>
      <c r="W985" s="18"/>
      <c r="X985" s="46"/>
      <c r="Y985" s="9"/>
      <c r="Z985" s="46"/>
      <c r="AA985" s="7"/>
      <c r="AB985" s="46"/>
      <c r="AC985" s="47"/>
      <c r="AD985" s="7"/>
      <c r="AE985" s="47"/>
      <c r="AF985" s="18"/>
      <c r="AG985" s="26"/>
      <c r="AH985" s="34"/>
      <c r="AI985" s="34"/>
      <c r="AJ985" s="18"/>
      <c r="AK985" s="48"/>
      <c r="AL985" s="26"/>
      <c r="AM985" s="26"/>
    </row>
    <row r="986">
      <c r="A986" s="51"/>
      <c r="B986" s="51"/>
      <c r="C986" s="52"/>
      <c r="D986" s="51"/>
      <c r="E986" s="53"/>
      <c r="F986" s="54"/>
      <c r="G986" s="51"/>
      <c r="H986" s="51"/>
      <c r="I986" s="55"/>
      <c r="J986" s="56"/>
      <c r="K986" s="46"/>
      <c r="L986" s="46"/>
      <c r="M986" s="47"/>
      <c r="N986" s="46"/>
      <c r="O986" s="57"/>
      <c r="P986" s="46"/>
      <c r="Q986" s="46"/>
      <c r="R986" s="57"/>
      <c r="S986" s="7"/>
      <c r="T986" s="54"/>
      <c r="U986" s="58"/>
      <c r="V986" s="47"/>
      <c r="W986" s="18"/>
      <c r="X986" s="46"/>
      <c r="Y986" s="9"/>
      <c r="Z986" s="46"/>
      <c r="AA986" s="7"/>
      <c r="AB986" s="46"/>
      <c r="AC986" s="47"/>
      <c r="AD986" s="7"/>
      <c r="AE986" s="47"/>
      <c r="AF986" s="18"/>
      <c r="AG986" s="26"/>
      <c r="AH986" s="34"/>
      <c r="AI986" s="34"/>
      <c r="AJ986" s="18"/>
      <c r="AK986" s="48"/>
      <c r="AL986" s="26"/>
      <c r="AM986" s="26"/>
    </row>
    <row r="987">
      <c r="A987" s="51"/>
      <c r="B987" s="51"/>
      <c r="C987" s="52"/>
      <c r="D987" s="51"/>
      <c r="E987" s="53"/>
      <c r="F987" s="54"/>
      <c r="G987" s="51"/>
      <c r="H987" s="51"/>
      <c r="I987" s="55"/>
      <c r="J987" s="56"/>
      <c r="K987" s="46"/>
      <c r="L987" s="46"/>
      <c r="M987" s="47"/>
      <c r="N987" s="46"/>
      <c r="O987" s="57"/>
      <c r="P987" s="46"/>
      <c r="Q987" s="46"/>
      <c r="R987" s="57"/>
      <c r="S987" s="7"/>
      <c r="T987" s="54"/>
      <c r="U987" s="58"/>
      <c r="V987" s="47"/>
      <c r="W987" s="18"/>
      <c r="X987" s="46"/>
      <c r="Y987" s="9"/>
      <c r="Z987" s="46"/>
      <c r="AA987" s="7"/>
      <c r="AB987" s="46"/>
      <c r="AC987" s="47"/>
      <c r="AD987" s="7"/>
      <c r="AE987" s="47"/>
      <c r="AF987" s="18"/>
      <c r="AG987" s="26"/>
      <c r="AH987" s="34"/>
      <c r="AI987" s="34"/>
      <c r="AJ987" s="18"/>
      <c r="AK987" s="48"/>
      <c r="AL987" s="26"/>
      <c r="AM987" s="26"/>
    </row>
    <row r="988">
      <c r="A988" s="51"/>
      <c r="B988" s="51"/>
      <c r="C988" s="52"/>
      <c r="D988" s="51"/>
      <c r="E988" s="53"/>
      <c r="F988" s="54"/>
      <c r="G988" s="51"/>
      <c r="H988" s="51"/>
      <c r="I988" s="55"/>
      <c r="J988" s="56"/>
      <c r="K988" s="46"/>
      <c r="L988" s="46"/>
      <c r="M988" s="47"/>
      <c r="N988" s="46"/>
      <c r="O988" s="57"/>
      <c r="P988" s="46"/>
      <c r="Q988" s="46"/>
      <c r="R988" s="57"/>
      <c r="S988" s="7"/>
      <c r="T988" s="54"/>
      <c r="U988" s="58"/>
      <c r="V988" s="47"/>
      <c r="W988" s="18"/>
      <c r="X988" s="46"/>
      <c r="Y988" s="9"/>
      <c r="Z988" s="46"/>
      <c r="AA988" s="7"/>
      <c r="AB988" s="46"/>
      <c r="AC988" s="47"/>
      <c r="AD988" s="7"/>
      <c r="AE988" s="47"/>
      <c r="AF988" s="18"/>
      <c r="AG988" s="26"/>
      <c r="AH988" s="34"/>
      <c r="AI988" s="34"/>
      <c r="AJ988" s="18"/>
      <c r="AK988" s="48"/>
      <c r="AL988" s="26"/>
      <c r="AM988" s="26"/>
    </row>
    <row r="989">
      <c r="A989" s="51"/>
      <c r="B989" s="51"/>
      <c r="C989" s="52"/>
      <c r="D989" s="51"/>
      <c r="E989" s="53"/>
      <c r="F989" s="54"/>
      <c r="G989" s="51"/>
      <c r="H989" s="51"/>
      <c r="I989" s="55"/>
      <c r="J989" s="56"/>
      <c r="K989" s="46"/>
      <c r="L989" s="46"/>
      <c r="M989" s="47"/>
      <c r="N989" s="46"/>
      <c r="O989" s="57"/>
      <c r="P989" s="46"/>
      <c r="Q989" s="46"/>
      <c r="R989" s="57"/>
      <c r="S989" s="7"/>
      <c r="T989" s="54"/>
      <c r="U989" s="58"/>
      <c r="V989" s="47"/>
      <c r="W989" s="18"/>
      <c r="X989" s="46"/>
      <c r="Y989" s="9"/>
      <c r="Z989" s="46"/>
      <c r="AA989" s="7"/>
      <c r="AB989" s="46"/>
      <c r="AC989" s="47"/>
      <c r="AD989" s="7"/>
      <c r="AE989" s="47"/>
      <c r="AF989" s="18"/>
      <c r="AG989" s="26"/>
      <c r="AH989" s="34"/>
      <c r="AI989" s="34"/>
      <c r="AJ989" s="18"/>
      <c r="AK989" s="48"/>
      <c r="AL989" s="26"/>
      <c r="AM989" s="26"/>
    </row>
    <row r="990">
      <c r="A990" s="51"/>
      <c r="B990" s="51"/>
      <c r="C990" s="52"/>
      <c r="D990" s="51"/>
      <c r="E990" s="53"/>
      <c r="F990" s="54"/>
      <c r="G990" s="51"/>
      <c r="H990" s="51"/>
      <c r="I990" s="55"/>
      <c r="J990" s="56"/>
      <c r="K990" s="46"/>
      <c r="L990" s="46"/>
      <c r="M990" s="47"/>
      <c r="N990" s="46"/>
      <c r="O990" s="57"/>
      <c r="P990" s="46"/>
      <c r="Q990" s="46"/>
      <c r="R990" s="57"/>
      <c r="S990" s="7"/>
      <c r="T990" s="54"/>
      <c r="U990" s="58"/>
      <c r="V990" s="47"/>
      <c r="W990" s="18"/>
      <c r="X990" s="46"/>
      <c r="Y990" s="9"/>
      <c r="Z990" s="46"/>
      <c r="AA990" s="7"/>
      <c r="AB990" s="46"/>
      <c r="AC990" s="47"/>
      <c r="AD990" s="7"/>
      <c r="AE990" s="47"/>
      <c r="AF990" s="18"/>
      <c r="AG990" s="26"/>
      <c r="AH990" s="34"/>
      <c r="AI990" s="34"/>
      <c r="AJ990" s="18"/>
      <c r="AK990" s="48"/>
      <c r="AL990" s="26"/>
      <c r="AM990" s="26"/>
    </row>
    <row r="991">
      <c r="A991" s="51"/>
      <c r="B991" s="51"/>
      <c r="C991" s="52"/>
      <c r="D991" s="51"/>
      <c r="E991" s="53"/>
      <c r="F991" s="54"/>
      <c r="G991" s="51"/>
      <c r="H991" s="51"/>
      <c r="I991" s="55"/>
      <c r="J991" s="56"/>
      <c r="K991" s="46"/>
      <c r="L991" s="46"/>
      <c r="M991" s="47"/>
      <c r="N991" s="46"/>
      <c r="O991" s="57"/>
      <c r="P991" s="46"/>
      <c r="Q991" s="46"/>
      <c r="R991" s="57"/>
      <c r="S991" s="7"/>
      <c r="T991" s="54"/>
      <c r="U991" s="58"/>
      <c r="V991" s="47"/>
      <c r="W991" s="18"/>
      <c r="X991" s="46"/>
      <c r="Y991" s="9"/>
      <c r="Z991" s="46"/>
      <c r="AA991" s="7"/>
      <c r="AB991" s="46"/>
      <c r="AC991" s="47"/>
      <c r="AD991" s="7"/>
      <c r="AE991" s="47"/>
      <c r="AF991" s="18"/>
      <c r="AG991" s="26"/>
      <c r="AH991" s="34"/>
      <c r="AI991" s="34"/>
      <c r="AJ991" s="18"/>
      <c r="AK991" s="48"/>
      <c r="AL991" s="26"/>
      <c r="AM991" s="26"/>
    </row>
    <row r="992">
      <c r="A992" s="51"/>
      <c r="B992" s="51"/>
      <c r="C992" s="52"/>
      <c r="D992" s="51"/>
      <c r="E992" s="53"/>
      <c r="F992" s="54"/>
      <c r="G992" s="51"/>
      <c r="H992" s="51"/>
      <c r="I992" s="55"/>
      <c r="J992" s="56"/>
      <c r="K992" s="46"/>
      <c r="L992" s="46"/>
      <c r="M992" s="47"/>
      <c r="N992" s="46"/>
      <c r="O992" s="57"/>
      <c r="P992" s="46"/>
      <c r="Q992" s="46"/>
      <c r="R992" s="57"/>
      <c r="S992" s="7"/>
      <c r="T992" s="54"/>
      <c r="U992" s="58"/>
      <c r="V992" s="47"/>
      <c r="W992" s="18"/>
      <c r="X992" s="46"/>
      <c r="Y992" s="9"/>
      <c r="Z992" s="46"/>
      <c r="AA992" s="7"/>
      <c r="AB992" s="46"/>
      <c r="AC992" s="47"/>
      <c r="AD992" s="7"/>
      <c r="AE992" s="47"/>
      <c r="AF992" s="18"/>
      <c r="AG992" s="26"/>
      <c r="AH992" s="34"/>
      <c r="AI992" s="34"/>
      <c r="AJ992" s="18"/>
      <c r="AK992" s="48"/>
      <c r="AL992" s="26"/>
      <c r="AM992" s="26"/>
    </row>
    <row r="993">
      <c r="A993" s="51"/>
      <c r="B993" s="51"/>
      <c r="C993" s="52"/>
      <c r="D993" s="51"/>
      <c r="E993" s="53"/>
      <c r="F993" s="54"/>
      <c r="G993" s="51"/>
      <c r="H993" s="51"/>
      <c r="I993" s="55"/>
      <c r="J993" s="56"/>
      <c r="K993" s="46"/>
      <c r="L993" s="46"/>
      <c r="M993" s="47"/>
      <c r="N993" s="46"/>
      <c r="O993" s="57"/>
      <c r="P993" s="46"/>
      <c r="Q993" s="46"/>
      <c r="R993" s="57"/>
      <c r="S993" s="7"/>
      <c r="T993" s="54"/>
      <c r="U993" s="58"/>
      <c r="V993" s="47"/>
      <c r="W993" s="18"/>
      <c r="X993" s="46"/>
      <c r="Y993" s="9"/>
      <c r="Z993" s="46"/>
      <c r="AA993" s="7"/>
      <c r="AB993" s="46"/>
      <c r="AC993" s="47"/>
      <c r="AD993" s="7"/>
      <c r="AE993" s="47"/>
      <c r="AF993" s="18"/>
      <c r="AG993" s="26"/>
      <c r="AH993" s="34"/>
      <c r="AI993" s="34"/>
      <c r="AJ993" s="18"/>
      <c r="AK993" s="48"/>
      <c r="AL993" s="26"/>
      <c r="AM993" s="26"/>
    </row>
    <row r="994">
      <c r="A994" s="51"/>
      <c r="B994" s="51"/>
      <c r="C994" s="52"/>
      <c r="D994" s="51"/>
      <c r="E994" s="53"/>
      <c r="F994" s="54"/>
      <c r="G994" s="51"/>
      <c r="H994" s="51"/>
      <c r="I994" s="55"/>
      <c r="J994" s="56"/>
      <c r="K994" s="46"/>
      <c r="L994" s="46"/>
      <c r="M994" s="47"/>
      <c r="N994" s="46"/>
      <c r="O994" s="57"/>
      <c r="P994" s="46"/>
      <c r="Q994" s="46"/>
      <c r="R994" s="57"/>
      <c r="S994" s="7"/>
      <c r="T994" s="54"/>
      <c r="U994" s="58"/>
      <c r="V994" s="47"/>
      <c r="W994" s="18"/>
      <c r="X994" s="46"/>
      <c r="Y994" s="9"/>
      <c r="Z994" s="46"/>
      <c r="AA994" s="7"/>
      <c r="AB994" s="46"/>
      <c r="AC994" s="47"/>
      <c r="AD994" s="7"/>
      <c r="AE994" s="47"/>
      <c r="AF994" s="18"/>
      <c r="AG994" s="26"/>
      <c r="AH994" s="34"/>
      <c r="AI994" s="34"/>
      <c r="AJ994" s="18"/>
      <c r="AK994" s="48"/>
      <c r="AL994" s="26"/>
      <c r="AM994" s="26"/>
    </row>
    <row r="995">
      <c r="A995" s="51"/>
      <c r="B995" s="51"/>
      <c r="C995" s="52"/>
      <c r="D995" s="51"/>
      <c r="E995" s="53"/>
      <c r="F995" s="54"/>
      <c r="G995" s="51"/>
      <c r="H995" s="51"/>
      <c r="I995" s="55"/>
      <c r="J995" s="56"/>
      <c r="K995" s="46"/>
      <c r="L995" s="46"/>
      <c r="M995" s="47"/>
      <c r="N995" s="46"/>
      <c r="O995" s="57"/>
      <c r="P995" s="46"/>
      <c r="Q995" s="46"/>
      <c r="R995" s="57"/>
      <c r="S995" s="7"/>
      <c r="T995" s="54"/>
      <c r="U995" s="58"/>
      <c r="V995" s="47"/>
      <c r="W995" s="18"/>
      <c r="X995" s="46"/>
      <c r="Y995" s="9"/>
      <c r="Z995" s="46"/>
      <c r="AA995" s="7"/>
      <c r="AB995" s="46"/>
      <c r="AC995" s="47"/>
      <c r="AD995" s="7"/>
      <c r="AE995" s="47"/>
      <c r="AF995" s="18"/>
      <c r="AG995" s="26"/>
      <c r="AH995" s="34"/>
      <c r="AI995" s="34"/>
      <c r="AJ995" s="18"/>
      <c r="AK995" s="48"/>
      <c r="AL995" s="26"/>
      <c r="AM995" s="26"/>
    </row>
    <row r="996">
      <c r="A996" s="51"/>
      <c r="B996" s="51"/>
      <c r="C996" s="52"/>
      <c r="D996" s="51"/>
      <c r="E996" s="53"/>
      <c r="F996" s="54"/>
      <c r="G996" s="51"/>
      <c r="H996" s="51"/>
      <c r="I996" s="55"/>
      <c r="J996" s="56"/>
      <c r="K996" s="46"/>
      <c r="L996" s="46"/>
      <c r="M996" s="47"/>
      <c r="N996" s="46"/>
      <c r="O996" s="57"/>
      <c r="P996" s="46"/>
      <c r="Q996" s="46"/>
      <c r="R996" s="57"/>
      <c r="S996" s="7"/>
      <c r="T996" s="54"/>
      <c r="U996" s="58"/>
      <c r="V996" s="47"/>
      <c r="W996" s="18"/>
      <c r="X996" s="46"/>
      <c r="Y996" s="9"/>
      <c r="Z996" s="46"/>
      <c r="AA996" s="7"/>
      <c r="AB996" s="46"/>
      <c r="AC996" s="47"/>
      <c r="AD996" s="7"/>
      <c r="AE996" s="47"/>
      <c r="AF996" s="18"/>
      <c r="AG996" s="26"/>
      <c r="AH996" s="34"/>
      <c r="AI996" s="34"/>
      <c r="AJ996" s="18"/>
      <c r="AK996" s="48"/>
      <c r="AL996" s="26"/>
      <c r="AM996" s="26"/>
    </row>
    <row r="997">
      <c r="A997" s="51"/>
      <c r="B997" s="51"/>
      <c r="C997" s="52"/>
      <c r="D997" s="51"/>
      <c r="E997" s="53"/>
      <c r="F997" s="54"/>
      <c r="G997" s="51"/>
      <c r="H997" s="51"/>
      <c r="I997" s="55"/>
      <c r="J997" s="56"/>
      <c r="K997" s="46"/>
      <c r="L997" s="46"/>
      <c r="M997" s="47"/>
      <c r="N997" s="46"/>
      <c r="O997" s="57"/>
      <c r="P997" s="46"/>
      <c r="Q997" s="46"/>
      <c r="R997" s="57"/>
      <c r="S997" s="7"/>
      <c r="T997" s="54"/>
      <c r="U997" s="58"/>
      <c r="V997" s="47"/>
      <c r="W997" s="18"/>
      <c r="X997" s="46"/>
      <c r="Y997" s="9"/>
      <c r="Z997" s="46"/>
      <c r="AA997" s="7"/>
      <c r="AB997" s="46"/>
      <c r="AC997" s="47"/>
      <c r="AD997" s="7"/>
      <c r="AE997" s="47"/>
      <c r="AF997" s="18"/>
      <c r="AG997" s="26"/>
      <c r="AH997" s="34"/>
      <c r="AI997" s="34"/>
      <c r="AJ997" s="18"/>
      <c r="AK997" s="48"/>
      <c r="AL997" s="26"/>
      <c r="AM997" s="26"/>
    </row>
    <row r="998">
      <c r="A998" s="51"/>
      <c r="B998" s="51"/>
      <c r="C998" s="52"/>
      <c r="D998" s="51"/>
      <c r="E998" s="53"/>
      <c r="F998" s="54"/>
      <c r="G998" s="51"/>
      <c r="H998" s="51"/>
      <c r="I998" s="55"/>
      <c r="J998" s="56"/>
      <c r="K998" s="46"/>
      <c r="L998" s="46"/>
      <c r="M998" s="47"/>
      <c r="N998" s="46"/>
      <c r="O998" s="57"/>
      <c r="P998" s="46"/>
      <c r="Q998" s="46"/>
      <c r="R998" s="57"/>
      <c r="S998" s="7"/>
      <c r="T998" s="54"/>
      <c r="U998" s="58"/>
      <c r="V998" s="47"/>
      <c r="W998" s="18"/>
      <c r="X998" s="46"/>
      <c r="Y998" s="9"/>
      <c r="Z998" s="46"/>
      <c r="AA998" s="7"/>
      <c r="AB998" s="46"/>
      <c r="AC998" s="47"/>
      <c r="AD998" s="7"/>
      <c r="AE998" s="47"/>
      <c r="AF998" s="18"/>
      <c r="AG998" s="26"/>
      <c r="AH998" s="34"/>
      <c r="AI998" s="34"/>
      <c r="AJ998" s="18"/>
      <c r="AK998" s="48"/>
      <c r="AL998" s="26"/>
      <c r="AM998" s="26"/>
    </row>
    <row r="999">
      <c r="A999" s="51"/>
      <c r="B999" s="51"/>
      <c r="C999" s="52"/>
      <c r="D999" s="51"/>
      <c r="E999" s="53"/>
      <c r="F999" s="54"/>
      <c r="G999" s="51"/>
      <c r="H999" s="51"/>
      <c r="I999" s="55"/>
      <c r="J999" s="56"/>
      <c r="K999" s="46"/>
      <c r="L999" s="46"/>
      <c r="M999" s="47"/>
      <c r="N999" s="46"/>
      <c r="O999" s="57"/>
      <c r="P999" s="46"/>
      <c r="Q999" s="46"/>
      <c r="R999" s="57"/>
      <c r="S999" s="7"/>
      <c r="T999" s="54"/>
      <c r="U999" s="58"/>
      <c r="V999" s="47"/>
      <c r="W999" s="18"/>
      <c r="X999" s="46"/>
      <c r="Y999" s="9"/>
      <c r="Z999" s="46"/>
      <c r="AA999" s="7"/>
      <c r="AB999" s="46"/>
      <c r="AC999" s="47"/>
      <c r="AD999" s="7"/>
      <c r="AE999" s="47"/>
      <c r="AF999" s="18"/>
      <c r="AG999" s="26"/>
      <c r="AH999" s="34"/>
      <c r="AI999" s="34"/>
      <c r="AJ999" s="18"/>
      <c r="AK999" s="48"/>
      <c r="AL999" s="26"/>
      <c r="AM999" s="26"/>
    </row>
    <row r="1000">
      <c r="A1000" s="51"/>
      <c r="B1000" s="51"/>
      <c r="C1000" s="52"/>
      <c r="D1000" s="51"/>
      <c r="E1000" s="53"/>
      <c r="F1000" s="54"/>
      <c r="G1000" s="51"/>
      <c r="H1000" s="51"/>
      <c r="I1000" s="55"/>
      <c r="J1000" s="56"/>
      <c r="K1000" s="46"/>
      <c r="L1000" s="46"/>
      <c r="M1000" s="47"/>
      <c r="N1000" s="46"/>
      <c r="O1000" s="57"/>
      <c r="P1000" s="46"/>
      <c r="Q1000" s="46"/>
      <c r="R1000" s="57"/>
      <c r="S1000" s="7"/>
      <c r="T1000" s="54"/>
      <c r="U1000" s="58"/>
      <c r="V1000" s="47"/>
      <c r="W1000" s="18"/>
      <c r="X1000" s="46"/>
      <c r="Y1000" s="9"/>
      <c r="Z1000" s="46"/>
      <c r="AA1000" s="7"/>
      <c r="AB1000" s="46"/>
      <c r="AC1000" s="47"/>
      <c r="AD1000" s="7"/>
      <c r="AE1000" s="47"/>
      <c r="AF1000" s="18"/>
      <c r="AG1000" s="26"/>
      <c r="AH1000" s="34"/>
      <c r="AI1000" s="34"/>
      <c r="AJ1000" s="18"/>
      <c r="AK1000" s="48"/>
      <c r="AL1000" s="26"/>
      <c r="AM1000" s="26"/>
    </row>
    <row r="1001">
      <c r="A1001" s="51"/>
      <c r="B1001" s="51"/>
      <c r="C1001" s="52"/>
      <c r="D1001" s="51"/>
      <c r="E1001" s="53"/>
      <c r="F1001" s="54"/>
      <c r="G1001" s="51"/>
      <c r="H1001" s="51"/>
      <c r="I1001" s="55"/>
      <c r="J1001" s="56"/>
      <c r="K1001" s="46"/>
      <c r="L1001" s="46"/>
      <c r="M1001" s="47"/>
      <c r="N1001" s="46"/>
      <c r="O1001" s="57"/>
      <c r="P1001" s="46"/>
      <c r="Q1001" s="46"/>
      <c r="R1001" s="57"/>
      <c r="S1001" s="7"/>
      <c r="T1001" s="54"/>
      <c r="U1001" s="58"/>
      <c r="V1001" s="47"/>
      <c r="W1001" s="18"/>
      <c r="X1001" s="46"/>
      <c r="Y1001" s="9"/>
      <c r="Z1001" s="46"/>
      <c r="AA1001" s="7"/>
      <c r="AB1001" s="46"/>
      <c r="AC1001" s="47"/>
      <c r="AD1001" s="7"/>
      <c r="AE1001" s="47"/>
      <c r="AF1001" s="18"/>
      <c r="AG1001" s="26"/>
      <c r="AH1001" s="34"/>
      <c r="AI1001" s="34"/>
      <c r="AJ1001" s="18"/>
      <c r="AK1001" s="48"/>
      <c r="AL1001" s="26"/>
      <c r="AM1001" s="26"/>
    </row>
    <row r="1002">
      <c r="A1002" s="51"/>
      <c r="B1002" s="51"/>
      <c r="C1002" s="52"/>
      <c r="D1002" s="51"/>
      <c r="E1002" s="53"/>
      <c r="F1002" s="54"/>
      <c r="G1002" s="51"/>
      <c r="H1002" s="51"/>
      <c r="I1002" s="55"/>
      <c r="J1002" s="56"/>
      <c r="K1002" s="46"/>
      <c r="L1002" s="46"/>
      <c r="M1002" s="47"/>
      <c r="N1002" s="46"/>
      <c r="O1002" s="57"/>
      <c r="P1002" s="46"/>
      <c r="Q1002" s="46"/>
      <c r="R1002" s="57"/>
      <c r="S1002" s="7"/>
      <c r="T1002" s="54"/>
      <c r="U1002" s="58"/>
      <c r="V1002" s="47"/>
      <c r="W1002" s="18"/>
      <c r="X1002" s="46"/>
      <c r="Y1002" s="9"/>
      <c r="Z1002" s="46"/>
      <c r="AA1002" s="7"/>
      <c r="AB1002" s="46"/>
      <c r="AC1002" s="47"/>
      <c r="AD1002" s="7"/>
      <c r="AE1002" s="47"/>
      <c r="AF1002" s="18"/>
      <c r="AG1002" s="26"/>
      <c r="AH1002" s="34"/>
      <c r="AI1002" s="34"/>
      <c r="AJ1002" s="18"/>
      <c r="AK1002" s="48"/>
      <c r="AL1002" s="26"/>
      <c r="AM1002" s="26"/>
    </row>
    <row r="1003">
      <c r="A1003" s="51"/>
      <c r="B1003" s="51"/>
      <c r="C1003" s="52"/>
      <c r="D1003" s="51"/>
      <c r="E1003" s="53"/>
      <c r="F1003" s="54"/>
      <c r="G1003" s="51"/>
      <c r="H1003" s="51"/>
      <c r="I1003" s="55"/>
      <c r="J1003" s="56"/>
      <c r="K1003" s="46"/>
      <c r="L1003" s="46"/>
      <c r="M1003" s="47"/>
      <c r="N1003" s="46"/>
      <c r="O1003" s="57"/>
      <c r="P1003" s="46"/>
      <c r="Q1003" s="46"/>
      <c r="R1003" s="57"/>
      <c r="S1003" s="7"/>
      <c r="T1003" s="54"/>
      <c r="U1003" s="58"/>
      <c r="V1003" s="47"/>
      <c r="W1003" s="18"/>
      <c r="X1003" s="46"/>
      <c r="Y1003" s="9"/>
      <c r="Z1003" s="46"/>
      <c r="AA1003" s="7"/>
      <c r="AB1003" s="46"/>
      <c r="AC1003" s="47"/>
      <c r="AD1003" s="7"/>
      <c r="AE1003" s="47"/>
      <c r="AF1003" s="18"/>
      <c r="AG1003" s="26"/>
      <c r="AH1003" s="34"/>
      <c r="AI1003" s="34"/>
      <c r="AJ1003" s="18"/>
      <c r="AK1003" s="48"/>
      <c r="AL1003" s="26"/>
      <c r="AM1003" s="26"/>
    </row>
    <row r="1004">
      <c r="A1004" s="51"/>
      <c r="B1004" s="51"/>
      <c r="C1004" s="52"/>
      <c r="D1004" s="51"/>
      <c r="E1004" s="53"/>
      <c r="F1004" s="54"/>
      <c r="G1004" s="51"/>
      <c r="H1004" s="51"/>
      <c r="I1004" s="55"/>
      <c r="J1004" s="56"/>
      <c r="K1004" s="46"/>
      <c r="L1004" s="46"/>
      <c r="M1004" s="47"/>
      <c r="N1004" s="46"/>
      <c r="O1004" s="57"/>
      <c r="P1004" s="46"/>
      <c r="Q1004" s="46"/>
      <c r="R1004" s="57"/>
      <c r="S1004" s="7"/>
      <c r="T1004" s="54"/>
      <c r="U1004" s="58"/>
      <c r="V1004" s="47"/>
      <c r="W1004" s="18"/>
      <c r="X1004" s="46"/>
      <c r="Y1004" s="9"/>
      <c r="Z1004" s="46"/>
      <c r="AA1004" s="7"/>
      <c r="AB1004" s="46"/>
      <c r="AC1004" s="47"/>
      <c r="AD1004" s="7"/>
      <c r="AE1004" s="47"/>
      <c r="AF1004" s="18"/>
      <c r="AG1004" s="26"/>
      <c r="AH1004" s="34"/>
      <c r="AI1004" s="34"/>
      <c r="AJ1004" s="18"/>
      <c r="AK1004" s="48"/>
      <c r="AL1004" s="26"/>
      <c r="AM1004" s="26"/>
    </row>
    <row r="1005">
      <c r="A1005" s="51"/>
      <c r="B1005" s="51"/>
      <c r="C1005" s="52"/>
      <c r="D1005" s="51"/>
      <c r="E1005" s="53"/>
      <c r="F1005" s="54"/>
      <c r="G1005" s="51"/>
      <c r="H1005" s="51"/>
      <c r="I1005" s="55"/>
      <c r="J1005" s="56"/>
      <c r="K1005" s="46"/>
      <c r="L1005" s="46"/>
      <c r="M1005" s="47"/>
      <c r="N1005" s="46"/>
      <c r="O1005" s="57"/>
      <c r="P1005" s="46"/>
      <c r="Q1005" s="46"/>
      <c r="R1005" s="57"/>
      <c r="S1005" s="7"/>
      <c r="T1005" s="54"/>
      <c r="U1005" s="58"/>
      <c r="V1005" s="47"/>
      <c r="W1005" s="18"/>
      <c r="X1005" s="46"/>
      <c r="Y1005" s="9"/>
      <c r="Z1005" s="46"/>
      <c r="AA1005" s="7"/>
      <c r="AB1005" s="46"/>
      <c r="AC1005" s="47"/>
      <c r="AD1005" s="7"/>
      <c r="AE1005" s="47"/>
      <c r="AF1005" s="18"/>
      <c r="AG1005" s="26"/>
      <c r="AH1005" s="34"/>
      <c r="AI1005" s="34"/>
      <c r="AJ1005" s="18"/>
      <c r="AK1005" s="48"/>
      <c r="AL1005" s="26"/>
      <c r="AM1005" s="26"/>
    </row>
    <row r="1006">
      <c r="A1006" s="51"/>
      <c r="B1006" s="51"/>
      <c r="C1006" s="52"/>
      <c r="D1006" s="51"/>
      <c r="E1006" s="53"/>
      <c r="F1006" s="54"/>
      <c r="G1006" s="51"/>
      <c r="H1006" s="51"/>
      <c r="I1006" s="55"/>
      <c r="J1006" s="56"/>
      <c r="K1006" s="46"/>
      <c r="L1006" s="46"/>
      <c r="M1006" s="47"/>
      <c r="N1006" s="46"/>
      <c r="O1006" s="57"/>
      <c r="P1006" s="46"/>
      <c r="Q1006" s="46"/>
      <c r="R1006" s="57"/>
      <c r="S1006" s="7"/>
      <c r="T1006" s="54"/>
      <c r="U1006" s="58"/>
      <c r="V1006" s="47"/>
      <c r="W1006" s="18"/>
      <c r="X1006" s="46"/>
      <c r="Y1006" s="9"/>
      <c r="Z1006" s="46"/>
      <c r="AA1006" s="7"/>
      <c r="AB1006" s="46"/>
      <c r="AC1006" s="47"/>
      <c r="AD1006" s="7"/>
      <c r="AE1006" s="47"/>
      <c r="AF1006" s="18"/>
      <c r="AG1006" s="26"/>
      <c r="AH1006" s="34"/>
      <c r="AI1006" s="34"/>
      <c r="AJ1006" s="18"/>
      <c r="AK1006" s="48"/>
      <c r="AL1006" s="26"/>
      <c r="AM1006" s="26"/>
    </row>
    <row r="1007">
      <c r="A1007" s="51"/>
      <c r="B1007" s="51"/>
      <c r="C1007" s="52"/>
      <c r="D1007" s="51"/>
      <c r="E1007" s="53"/>
      <c r="F1007" s="54"/>
      <c r="G1007" s="51"/>
      <c r="H1007" s="51"/>
      <c r="I1007" s="55"/>
      <c r="J1007" s="56"/>
      <c r="K1007" s="46"/>
      <c r="L1007" s="46"/>
      <c r="M1007" s="47"/>
      <c r="N1007" s="46"/>
      <c r="O1007" s="57"/>
      <c r="P1007" s="46"/>
      <c r="Q1007" s="46"/>
      <c r="R1007" s="57"/>
      <c r="S1007" s="7"/>
      <c r="T1007" s="54"/>
      <c r="U1007" s="58"/>
      <c r="V1007" s="47"/>
      <c r="W1007" s="18"/>
      <c r="X1007" s="46"/>
      <c r="Y1007" s="9"/>
      <c r="Z1007" s="46"/>
      <c r="AA1007" s="7"/>
      <c r="AB1007" s="46"/>
      <c r="AC1007" s="47"/>
      <c r="AD1007" s="7"/>
      <c r="AE1007" s="47"/>
      <c r="AF1007" s="18"/>
      <c r="AG1007" s="26"/>
      <c r="AH1007" s="34"/>
      <c r="AI1007" s="34"/>
      <c r="AJ1007" s="18"/>
      <c r="AK1007" s="48"/>
      <c r="AL1007" s="26"/>
      <c r="AM1007" s="26"/>
    </row>
    <row r="1008">
      <c r="A1008" s="51"/>
      <c r="B1008" s="51"/>
      <c r="C1008" s="52"/>
      <c r="D1008" s="51"/>
      <c r="E1008" s="53"/>
      <c r="F1008" s="54"/>
      <c r="G1008" s="51"/>
      <c r="H1008" s="51"/>
      <c r="I1008" s="55"/>
      <c r="J1008" s="56"/>
      <c r="K1008" s="46"/>
      <c r="L1008" s="46"/>
      <c r="M1008" s="47"/>
      <c r="N1008" s="46"/>
      <c r="O1008" s="57"/>
      <c r="P1008" s="46"/>
      <c r="Q1008" s="46"/>
      <c r="R1008" s="57"/>
      <c r="S1008" s="7"/>
      <c r="T1008" s="54"/>
      <c r="U1008" s="58"/>
      <c r="V1008" s="47"/>
      <c r="W1008" s="18"/>
      <c r="X1008" s="46"/>
      <c r="Y1008" s="9"/>
      <c r="Z1008" s="46"/>
      <c r="AA1008" s="7"/>
      <c r="AB1008" s="46"/>
      <c r="AC1008" s="47"/>
      <c r="AD1008" s="7"/>
      <c r="AE1008" s="47"/>
      <c r="AF1008" s="18"/>
      <c r="AG1008" s="26"/>
      <c r="AH1008" s="34"/>
      <c r="AI1008" s="34"/>
      <c r="AJ1008" s="18"/>
      <c r="AK1008" s="48"/>
      <c r="AL1008" s="26"/>
      <c r="AM1008" s="26"/>
    </row>
    <row r="1009">
      <c r="A1009" s="51"/>
      <c r="B1009" s="51"/>
      <c r="C1009" s="52"/>
      <c r="D1009" s="51"/>
      <c r="E1009" s="53"/>
      <c r="F1009" s="54"/>
      <c r="G1009" s="51"/>
      <c r="H1009" s="51"/>
      <c r="I1009" s="55"/>
      <c r="J1009" s="56"/>
      <c r="K1009" s="46"/>
      <c r="L1009" s="46"/>
      <c r="M1009" s="47"/>
      <c r="N1009" s="46"/>
      <c r="O1009" s="57"/>
      <c r="P1009" s="46"/>
      <c r="Q1009" s="46"/>
      <c r="R1009" s="57"/>
      <c r="S1009" s="7"/>
      <c r="T1009" s="54"/>
      <c r="U1009" s="58"/>
      <c r="V1009" s="47"/>
      <c r="W1009" s="18"/>
      <c r="X1009" s="46"/>
      <c r="Y1009" s="9"/>
      <c r="Z1009" s="46"/>
      <c r="AA1009" s="7"/>
      <c r="AB1009" s="46"/>
      <c r="AC1009" s="47"/>
      <c r="AD1009" s="7"/>
      <c r="AE1009" s="47"/>
      <c r="AF1009" s="18"/>
      <c r="AG1009" s="26"/>
      <c r="AH1009" s="34"/>
      <c r="AI1009" s="34"/>
      <c r="AJ1009" s="18"/>
      <c r="AK1009" s="48"/>
      <c r="AL1009" s="26"/>
      <c r="AM1009" s="26"/>
    </row>
    <row r="1010">
      <c r="A1010" s="51"/>
      <c r="B1010" s="51"/>
      <c r="C1010" s="52"/>
      <c r="D1010" s="51"/>
      <c r="E1010" s="53"/>
      <c r="F1010" s="54"/>
      <c r="G1010" s="51"/>
      <c r="H1010" s="51"/>
      <c r="I1010" s="55"/>
      <c r="J1010" s="56"/>
      <c r="K1010" s="46"/>
      <c r="L1010" s="46"/>
      <c r="M1010" s="47"/>
      <c r="N1010" s="46"/>
      <c r="O1010" s="57"/>
      <c r="P1010" s="46"/>
      <c r="Q1010" s="46"/>
      <c r="R1010" s="57"/>
      <c r="S1010" s="7"/>
      <c r="T1010" s="54"/>
      <c r="U1010" s="58"/>
      <c r="V1010" s="47"/>
      <c r="W1010" s="18"/>
      <c r="X1010" s="46"/>
      <c r="Y1010" s="9"/>
      <c r="Z1010" s="46"/>
      <c r="AA1010" s="7"/>
      <c r="AB1010" s="46"/>
      <c r="AC1010" s="47"/>
      <c r="AD1010" s="7"/>
      <c r="AE1010" s="47"/>
      <c r="AF1010" s="18"/>
      <c r="AG1010" s="26"/>
      <c r="AH1010" s="34"/>
      <c r="AI1010" s="34"/>
      <c r="AJ1010" s="18"/>
      <c r="AK1010" s="48"/>
      <c r="AL1010" s="26"/>
      <c r="AM1010" s="26"/>
    </row>
    <row r="1011">
      <c r="A1011" s="51"/>
      <c r="B1011" s="51"/>
      <c r="C1011" s="52"/>
      <c r="D1011" s="51"/>
      <c r="E1011" s="53"/>
      <c r="F1011" s="54"/>
      <c r="G1011" s="51"/>
      <c r="H1011" s="51"/>
      <c r="I1011" s="55"/>
      <c r="J1011" s="56"/>
      <c r="K1011" s="46"/>
      <c r="L1011" s="46"/>
      <c r="M1011" s="47"/>
      <c r="N1011" s="46"/>
      <c r="O1011" s="57"/>
      <c r="P1011" s="46"/>
      <c r="Q1011" s="46"/>
      <c r="R1011" s="57"/>
      <c r="S1011" s="7"/>
      <c r="T1011" s="54"/>
      <c r="U1011" s="58"/>
      <c r="V1011" s="47"/>
      <c r="W1011" s="18"/>
      <c r="X1011" s="46"/>
      <c r="Y1011" s="9"/>
      <c r="Z1011" s="46"/>
      <c r="AA1011" s="7"/>
      <c r="AB1011" s="46"/>
      <c r="AC1011" s="47"/>
      <c r="AD1011" s="7"/>
      <c r="AE1011" s="47"/>
      <c r="AF1011" s="18"/>
      <c r="AG1011" s="26"/>
      <c r="AH1011" s="34"/>
      <c r="AI1011" s="34"/>
      <c r="AJ1011" s="18"/>
      <c r="AK1011" s="48"/>
      <c r="AL1011" s="26"/>
      <c r="AM1011" s="26"/>
    </row>
    <row r="1012">
      <c r="A1012" s="51"/>
      <c r="B1012" s="51"/>
      <c r="C1012" s="52"/>
      <c r="D1012" s="51"/>
      <c r="E1012" s="53"/>
      <c r="F1012" s="54"/>
      <c r="G1012" s="51"/>
      <c r="H1012" s="51"/>
      <c r="I1012" s="55"/>
      <c r="J1012" s="56"/>
      <c r="K1012" s="46"/>
      <c r="L1012" s="46"/>
      <c r="M1012" s="47"/>
      <c r="N1012" s="46"/>
      <c r="O1012" s="57"/>
      <c r="P1012" s="46"/>
      <c r="Q1012" s="46"/>
      <c r="R1012" s="57"/>
      <c r="S1012" s="7"/>
      <c r="T1012" s="54"/>
      <c r="U1012" s="58"/>
      <c r="V1012" s="47"/>
      <c r="W1012" s="18"/>
      <c r="X1012" s="46"/>
      <c r="Y1012" s="9"/>
      <c r="Z1012" s="46"/>
      <c r="AA1012" s="7"/>
      <c r="AB1012" s="46"/>
      <c r="AC1012" s="47"/>
      <c r="AD1012" s="7"/>
      <c r="AE1012" s="47"/>
      <c r="AF1012" s="18"/>
      <c r="AG1012" s="26"/>
      <c r="AH1012" s="34"/>
      <c r="AI1012" s="34"/>
      <c r="AJ1012" s="18"/>
      <c r="AK1012" s="48"/>
      <c r="AL1012" s="26"/>
      <c r="AM1012" s="26"/>
    </row>
    <row r="1013">
      <c r="A1013" s="51"/>
      <c r="B1013" s="51"/>
      <c r="C1013" s="52"/>
      <c r="D1013" s="51"/>
      <c r="E1013" s="53"/>
      <c r="F1013" s="54"/>
      <c r="G1013" s="51"/>
      <c r="H1013" s="51"/>
      <c r="I1013" s="55"/>
      <c r="J1013" s="56"/>
      <c r="K1013" s="46"/>
      <c r="L1013" s="46"/>
      <c r="M1013" s="47"/>
      <c r="N1013" s="46"/>
      <c r="O1013" s="57"/>
      <c r="P1013" s="46"/>
      <c r="Q1013" s="46"/>
      <c r="R1013" s="57"/>
      <c r="S1013" s="7"/>
      <c r="T1013" s="54"/>
      <c r="U1013" s="58"/>
      <c r="V1013" s="47"/>
      <c r="W1013" s="18"/>
      <c r="X1013" s="46"/>
      <c r="Y1013" s="9"/>
      <c r="Z1013" s="46"/>
      <c r="AA1013" s="7"/>
      <c r="AB1013" s="46"/>
      <c r="AC1013" s="47"/>
      <c r="AD1013" s="7"/>
      <c r="AE1013" s="47"/>
      <c r="AF1013" s="18"/>
      <c r="AG1013" s="26"/>
      <c r="AH1013" s="34"/>
      <c r="AI1013" s="34"/>
      <c r="AJ1013" s="18"/>
      <c r="AK1013" s="48"/>
      <c r="AL1013" s="26"/>
      <c r="AM1013" s="26"/>
    </row>
    <row r="1014">
      <c r="A1014" s="51"/>
      <c r="B1014" s="51"/>
      <c r="C1014" s="52"/>
      <c r="D1014" s="51"/>
      <c r="E1014" s="53"/>
      <c r="F1014" s="54"/>
      <c r="G1014" s="51"/>
      <c r="H1014" s="51"/>
      <c r="I1014" s="55"/>
      <c r="J1014" s="56"/>
      <c r="K1014" s="46"/>
      <c r="L1014" s="46"/>
      <c r="M1014" s="47"/>
      <c r="N1014" s="46"/>
      <c r="O1014" s="57"/>
      <c r="P1014" s="46"/>
      <c r="Q1014" s="46"/>
      <c r="R1014" s="57"/>
      <c r="S1014" s="7"/>
      <c r="T1014" s="54"/>
      <c r="U1014" s="58"/>
      <c r="V1014" s="47"/>
      <c r="W1014" s="18"/>
      <c r="X1014" s="46"/>
      <c r="Y1014" s="9"/>
      <c r="Z1014" s="46"/>
      <c r="AA1014" s="7"/>
      <c r="AB1014" s="46"/>
      <c r="AC1014" s="47"/>
      <c r="AD1014" s="7"/>
      <c r="AE1014" s="47"/>
      <c r="AF1014" s="18"/>
      <c r="AG1014" s="26"/>
      <c r="AH1014" s="34"/>
      <c r="AI1014" s="34"/>
      <c r="AJ1014" s="18"/>
      <c r="AK1014" s="48"/>
      <c r="AL1014" s="26"/>
      <c r="AM1014" s="26"/>
    </row>
    <row r="1015">
      <c r="A1015" s="51"/>
      <c r="B1015" s="51"/>
      <c r="C1015" s="52"/>
      <c r="D1015" s="51"/>
      <c r="E1015" s="53"/>
      <c r="F1015" s="54"/>
      <c r="G1015" s="51"/>
      <c r="H1015" s="51"/>
      <c r="I1015" s="55"/>
      <c r="J1015" s="56"/>
      <c r="K1015" s="46"/>
      <c r="L1015" s="46"/>
      <c r="M1015" s="47"/>
      <c r="N1015" s="46"/>
      <c r="O1015" s="57"/>
      <c r="P1015" s="46"/>
      <c r="Q1015" s="46"/>
      <c r="R1015" s="57"/>
      <c r="S1015" s="7"/>
      <c r="T1015" s="54"/>
      <c r="U1015" s="58"/>
      <c r="V1015" s="47"/>
      <c r="W1015" s="18"/>
      <c r="X1015" s="46"/>
      <c r="Y1015" s="9"/>
      <c r="Z1015" s="46"/>
      <c r="AA1015" s="7"/>
      <c r="AB1015" s="46"/>
      <c r="AC1015" s="47"/>
      <c r="AD1015" s="7"/>
      <c r="AE1015" s="47"/>
      <c r="AF1015" s="18"/>
      <c r="AG1015" s="26"/>
      <c r="AH1015" s="34"/>
      <c r="AI1015" s="34"/>
      <c r="AJ1015" s="18"/>
      <c r="AK1015" s="48"/>
      <c r="AL1015" s="26"/>
      <c r="AM1015" s="26"/>
    </row>
    <row r="1016">
      <c r="A1016" s="51"/>
      <c r="B1016" s="51"/>
      <c r="C1016" s="52"/>
      <c r="D1016" s="51"/>
      <c r="E1016" s="53"/>
      <c r="F1016" s="54"/>
      <c r="G1016" s="51"/>
      <c r="H1016" s="51"/>
      <c r="I1016" s="55"/>
      <c r="J1016" s="56"/>
      <c r="K1016" s="46"/>
      <c r="L1016" s="46"/>
      <c r="M1016" s="47"/>
      <c r="N1016" s="46"/>
      <c r="O1016" s="57"/>
      <c r="P1016" s="46"/>
      <c r="Q1016" s="46"/>
      <c r="R1016" s="57"/>
      <c r="S1016" s="7"/>
      <c r="T1016" s="54"/>
      <c r="U1016" s="58"/>
      <c r="V1016" s="47"/>
      <c r="W1016" s="18"/>
      <c r="X1016" s="46"/>
      <c r="Y1016" s="9"/>
      <c r="Z1016" s="46"/>
      <c r="AA1016" s="7"/>
      <c r="AB1016" s="46"/>
      <c r="AC1016" s="47"/>
      <c r="AD1016" s="7"/>
      <c r="AE1016" s="47"/>
      <c r="AF1016" s="18"/>
      <c r="AG1016" s="26"/>
      <c r="AH1016" s="34"/>
      <c r="AI1016" s="34"/>
      <c r="AJ1016" s="18"/>
      <c r="AK1016" s="48"/>
      <c r="AL1016" s="26"/>
      <c r="AM1016" s="26"/>
    </row>
    <row r="1017">
      <c r="A1017" s="51"/>
      <c r="B1017" s="51"/>
      <c r="C1017" s="52"/>
      <c r="D1017" s="51"/>
      <c r="E1017" s="53"/>
      <c r="F1017" s="54"/>
      <c r="G1017" s="51"/>
      <c r="H1017" s="51"/>
      <c r="I1017" s="55"/>
      <c r="J1017" s="56"/>
      <c r="K1017" s="46"/>
      <c r="L1017" s="46"/>
      <c r="M1017" s="47"/>
      <c r="N1017" s="46"/>
      <c r="O1017" s="57"/>
      <c r="P1017" s="46"/>
      <c r="Q1017" s="46"/>
      <c r="R1017" s="57"/>
      <c r="S1017" s="7"/>
      <c r="T1017" s="54"/>
      <c r="U1017" s="58"/>
      <c r="V1017" s="47"/>
      <c r="W1017" s="18"/>
      <c r="X1017" s="46"/>
      <c r="Y1017" s="9"/>
      <c r="Z1017" s="46"/>
      <c r="AA1017" s="7"/>
      <c r="AB1017" s="46"/>
      <c r="AC1017" s="47"/>
      <c r="AD1017" s="7"/>
      <c r="AE1017" s="47"/>
      <c r="AF1017" s="18"/>
      <c r="AG1017" s="26"/>
      <c r="AH1017" s="34"/>
      <c r="AI1017" s="34"/>
      <c r="AJ1017" s="18"/>
      <c r="AK1017" s="48"/>
      <c r="AL1017" s="26"/>
      <c r="AM1017" s="26"/>
    </row>
    <row r="1018">
      <c r="A1018" s="51"/>
      <c r="B1018" s="51"/>
      <c r="C1018" s="52"/>
      <c r="D1018" s="51"/>
      <c r="E1018" s="53"/>
      <c r="F1018" s="54"/>
      <c r="G1018" s="51"/>
      <c r="H1018" s="51"/>
      <c r="I1018" s="55"/>
      <c r="J1018" s="56"/>
      <c r="K1018" s="46"/>
      <c r="L1018" s="46"/>
      <c r="M1018" s="47"/>
      <c r="N1018" s="46"/>
      <c r="O1018" s="57"/>
      <c r="P1018" s="46"/>
      <c r="Q1018" s="46"/>
      <c r="R1018" s="57"/>
      <c r="S1018" s="7"/>
      <c r="T1018" s="54"/>
      <c r="U1018" s="58"/>
      <c r="V1018" s="47"/>
      <c r="W1018" s="18"/>
      <c r="X1018" s="46"/>
      <c r="Y1018" s="9"/>
      <c r="Z1018" s="46"/>
      <c r="AA1018" s="7"/>
      <c r="AB1018" s="46"/>
      <c r="AC1018" s="47"/>
      <c r="AD1018" s="7"/>
      <c r="AE1018" s="47"/>
      <c r="AF1018" s="18"/>
      <c r="AG1018" s="26"/>
      <c r="AH1018" s="34"/>
      <c r="AI1018" s="34"/>
      <c r="AJ1018" s="18"/>
      <c r="AK1018" s="48"/>
      <c r="AL1018" s="26"/>
      <c r="AM1018" s="26"/>
    </row>
    <row r="1019">
      <c r="A1019" s="51"/>
      <c r="B1019" s="51"/>
      <c r="C1019" s="52"/>
      <c r="D1019" s="51"/>
      <c r="E1019" s="53"/>
      <c r="F1019" s="54"/>
      <c r="G1019" s="51"/>
      <c r="H1019" s="51"/>
      <c r="I1019" s="55"/>
      <c r="J1019" s="56"/>
      <c r="K1019" s="46"/>
      <c r="L1019" s="46"/>
      <c r="M1019" s="47"/>
      <c r="N1019" s="46"/>
      <c r="O1019" s="57"/>
      <c r="P1019" s="46"/>
      <c r="Q1019" s="46"/>
      <c r="R1019" s="57"/>
      <c r="S1019" s="7"/>
      <c r="T1019" s="54"/>
      <c r="U1019" s="58"/>
      <c r="V1019" s="47"/>
      <c r="W1019" s="18"/>
      <c r="X1019" s="46"/>
      <c r="Y1019" s="9"/>
      <c r="Z1019" s="46"/>
      <c r="AA1019" s="7"/>
      <c r="AB1019" s="46"/>
      <c r="AC1019" s="47"/>
      <c r="AD1019" s="7"/>
      <c r="AE1019" s="47"/>
      <c r="AF1019" s="18"/>
      <c r="AG1019" s="26"/>
      <c r="AH1019" s="34"/>
      <c r="AI1019" s="34"/>
      <c r="AJ1019" s="18"/>
      <c r="AK1019" s="48"/>
      <c r="AL1019" s="26"/>
      <c r="AM1019" s="26"/>
    </row>
    <row r="1020">
      <c r="A1020" s="51"/>
      <c r="B1020" s="51"/>
      <c r="C1020" s="52"/>
      <c r="D1020" s="51"/>
      <c r="E1020" s="53"/>
      <c r="F1020" s="54"/>
      <c r="G1020" s="51"/>
      <c r="H1020" s="51"/>
      <c r="I1020" s="55"/>
      <c r="J1020" s="56"/>
      <c r="K1020" s="46"/>
      <c r="L1020" s="46"/>
      <c r="M1020" s="47"/>
      <c r="N1020" s="46"/>
      <c r="O1020" s="57"/>
      <c r="P1020" s="46"/>
      <c r="Q1020" s="46"/>
      <c r="R1020" s="57"/>
      <c r="S1020" s="7"/>
      <c r="T1020" s="54"/>
      <c r="U1020" s="58"/>
      <c r="V1020" s="47"/>
      <c r="W1020" s="18"/>
      <c r="X1020" s="46"/>
      <c r="Y1020" s="9"/>
      <c r="Z1020" s="46"/>
      <c r="AA1020" s="7"/>
      <c r="AB1020" s="46"/>
      <c r="AC1020" s="47"/>
      <c r="AD1020" s="7"/>
      <c r="AE1020" s="47"/>
      <c r="AF1020" s="18"/>
      <c r="AG1020" s="26"/>
      <c r="AH1020" s="34"/>
      <c r="AI1020" s="34"/>
      <c r="AJ1020" s="18"/>
      <c r="AK1020" s="48"/>
      <c r="AL1020" s="26"/>
      <c r="AM1020" s="26"/>
    </row>
    <row r="1021">
      <c r="A1021" s="51"/>
      <c r="B1021" s="51"/>
      <c r="C1021" s="52"/>
      <c r="D1021" s="51"/>
      <c r="E1021" s="53"/>
      <c r="F1021" s="54"/>
      <c r="G1021" s="51"/>
      <c r="H1021" s="51"/>
      <c r="I1021" s="55"/>
      <c r="J1021" s="56"/>
      <c r="K1021" s="46"/>
      <c r="L1021" s="46"/>
      <c r="M1021" s="47"/>
      <c r="N1021" s="46"/>
      <c r="O1021" s="57"/>
      <c r="P1021" s="46"/>
      <c r="Q1021" s="46"/>
      <c r="R1021" s="57"/>
      <c r="S1021" s="7"/>
      <c r="T1021" s="54"/>
      <c r="U1021" s="58"/>
      <c r="V1021" s="47"/>
      <c r="W1021" s="18"/>
      <c r="X1021" s="46"/>
      <c r="Y1021" s="9"/>
      <c r="Z1021" s="46"/>
      <c r="AA1021" s="7"/>
      <c r="AB1021" s="46"/>
      <c r="AC1021" s="47"/>
      <c r="AD1021" s="7"/>
      <c r="AE1021" s="47"/>
      <c r="AF1021" s="18"/>
      <c r="AG1021" s="26"/>
      <c r="AH1021" s="34"/>
      <c r="AI1021" s="34"/>
      <c r="AJ1021" s="18"/>
      <c r="AK1021" s="48"/>
      <c r="AL1021" s="26"/>
      <c r="AM1021" s="26"/>
    </row>
    <row r="1022">
      <c r="A1022" s="51"/>
      <c r="B1022" s="51"/>
      <c r="C1022" s="52"/>
      <c r="D1022" s="51"/>
      <c r="E1022" s="53"/>
      <c r="F1022" s="54"/>
      <c r="G1022" s="51"/>
      <c r="H1022" s="51"/>
      <c r="I1022" s="55"/>
      <c r="J1022" s="56"/>
      <c r="K1022" s="46"/>
      <c r="L1022" s="46"/>
      <c r="M1022" s="47"/>
      <c r="N1022" s="46"/>
      <c r="O1022" s="57"/>
      <c r="P1022" s="46"/>
      <c r="Q1022" s="46"/>
      <c r="R1022" s="57"/>
      <c r="S1022" s="7"/>
      <c r="T1022" s="54"/>
      <c r="U1022" s="58"/>
      <c r="V1022" s="47"/>
      <c r="W1022" s="18"/>
      <c r="X1022" s="46"/>
      <c r="Y1022" s="9"/>
      <c r="Z1022" s="46"/>
      <c r="AA1022" s="7"/>
      <c r="AB1022" s="46"/>
      <c r="AC1022" s="47"/>
      <c r="AD1022" s="7"/>
      <c r="AE1022" s="47"/>
      <c r="AF1022" s="18"/>
      <c r="AG1022" s="26"/>
      <c r="AH1022" s="34"/>
      <c r="AI1022" s="34"/>
      <c r="AJ1022" s="18"/>
      <c r="AK1022" s="48"/>
      <c r="AL1022" s="26"/>
      <c r="AM1022" s="26"/>
    </row>
    <row r="1023">
      <c r="A1023" s="51"/>
      <c r="B1023" s="51"/>
      <c r="C1023" s="52"/>
      <c r="D1023" s="51"/>
      <c r="E1023" s="53"/>
      <c r="F1023" s="54"/>
      <c r="G1023" s="51"/>
      <c r="H1023" s="51"/>
      <c r="I1023" s="55"/>
      <c r="J1023" s="56"/>
      <c r="K1023" s="46"/>
      <c r="L1023" s="46"/>
      <c r="M1023" s="47"/>
      <c r="N1023" s="46"/>
      <c r="O1023" s="57"/>
      <c r="P1023" s="46"/>
      <c r="Q1023" s="46"/>
      <c r="R1023" s="57"/>
      <c r="S1023" s="7"/>
      <c r="T1023" s="54"/>
      <c r="U1023" s="58"/>
      <c r="V1023" s="47"/>
      <c r="W1023" s="18"/>
      <c r="X1023" s="46"/>
      <c r="Y1023" s="9"/>
      <c r="Z1023" s="46"/>
      <c r="AA1023" s="7"/>
      <c r="AB1023" s="46"/>
      <c r="AC1023" s="47"/>
      <c r="AD1023" s="7"/>
      <c r="AE1023" s="47"/>
      <c r="AF1023" s="18"/>
      <c r="AG1023" s="26"/>
      <c r="AH1023" s="34"/>
      <c r="AI1023" s="34"/>
      <c r="AJ1023" s="18"/>
      <c r="AK1023" s="48"/>
      <c r="AL1023" s="26"/>
      <c r="AM1023" s="26"/>
    </row>
    <row r="1024">
      <c r="A1024" s="51"/>
      <c r="B1024" s="51"/>
      <c r="C1024" s="52"/>
      <c r="D1024" s="51"/>
      <c r="E1024" s="53"/>
      <c r="F1024" s="54"/>
      <c r="G1024" s="51"/>
      <c r="H1024" s="51"/>
      <c r="I1024" s="55"/>
      <c r="J1024" s="56"/>
      <c r="K1024" s="46"/>
      <c r="L1024" s="46"/>
      <c r="M1024" s="47"/>
      <c r="N1024" s="46"/>
      <c r="O1024" s="57"/>
      <c r="P1024" s="46"/>
      <c r="Q1024" s="46"/>
      <c r="R1024" s="57"/>
      <c r="S1024" s="7"/>
      <c r="T1024" s="54"/>
      <c r="U1024" s="58"/>
      <c r="V1024" s="47"/>
      <c r="W1024" s="18"/>
      <c r="X1024" s="46"/>
      <c r="Y1024" s="9"/>
      <c r="Z1024" s="46"/>
      <c r="AA1024" s="7"/>
      <c r="AB1024" s="46"/>
      <c r="AC1024" s="47"/>
      <c r="AD1024" s="7"/>
      <c r="AE1024" s="47"/>
      <c r="AF1024" s="18"/>
      <c r="AG1024" s="26"/>
      <c r="AH1024" s="34"/>
      <c r="AI1024" s="34"/>
      <c r="AJ1024" s="18"/>
      <c r="AK1024" s="48"/>
      <c r="AL1024" s="26"/>
      <c r="AM1024" s="26"/>
    </row>
    <row r="1025">
      <c r="A1025" s="51"/>
      <c r="B1025" s="51"/>
      <c r="C1025" s="52"/>
      <c r="D1025" s="51"/>
      <c r="E1025" s="53"/>
      <c r="F1025" s="54"/>
      <c r="G1025" s="51"/>
      <c r="H1025" s="51"/>
      <c r="I1025" s="55"/>
      <c r="J1025" s="56"/>
      <c r="K1025" s="46"/>
      <c r="L1025" s="46"/>
      <c r="M1025" s="47"/>
      <c r="N1025" s="46"/>
      <c r="O1025" s="57"/>
      <c r="P1025" s="46"/>
      <c r="Q1025" s="46"/>
      <c r="R1025" s="57"/>
      <c r="S1025" s="7"/>
      <c r="T1025" s="54"/>
      <c r="U1025" s="58"/>
      <c r="V1025" s="47"/>
      <c r="W1025" s="18"/>
      <c r="X1025" s="46"/>
      <c r="Y1025" s="9"/>
      <c r="Z1025" s="46"/>
      <c r="AA1025" s="7"/>
      <c r="AB1025" s="46"/>
      <c r="AC1025" s="47"/>
      <c r="AD1025" s="7"/>
      <c r="AE1025" s="47"/>
      <c r="AF1025" s="18"/>
      <c r="AG1025" s="26"/>
      <c r="AH1025" s="34"/>
      <c r="AI1025" s="34"/>
      <c r="AJ1025" s="18"/>
      <c r="AK1025" s="48"/>
      <c r="AL1025" s="26"/>
      <c r="AM1025" s="26"/>
    </row>
    <row r="1026">
      <c r="A1026" s="51"/>
      <c r="B1026" s="51"/>
      <c r="C1026" s="52"/>
      <c r="D1026" s="51"/>
      <c r="E1026" s="53"/>
      <c r="F1026" s="54"/>
      <c r="G1026" s="51"/>
      <c r="H1026" s="51"/>
      <c r="I1026" s="55"/>
      <c r="J1026" s="56"/>
      <c r="K1026" s="46"/>
      <c r="L1026" s="46"/>
      <c r="M1026" s="47"/>
      <c r="N1026" s="46"/>
      <c r="O1026" s="57"/>
      <c r="P1026" s="46"/>
      <c r="Q1026" s="46"/>
      <c r="R1026" s="57"/>
      <c r="S1026" s="7"/>
      <c r="T1026" s="54"/>
      <c r="U1026" s="58"/>
      <c r="V1026" s="47"/>
      <c r="W1026" s="18"/>
      <c r="X1026" s="46"/>
      <c r="Y1026" s="9"/>
      <c r="Z1026" s="46"/>
      <c r="AA1026" s="7"/>
      <c r="AB1026" s="46"/>
      <c r="AC1026" s="47"/>
      <c r="AD1026" s="7"/>
      <c r="AE1026" s="47"/>
      <c r="AF1026" s="18"/>
      <c r="AG1026" s="26"/>
      <c r="AH1026" s="34"/>
      <c r="AI1026" s="34"/>
      <c r="AJ1026" s="18"/>
      <c r="AK1026" s="48"/>
      <c r="AL1026" s="26"/>
      <c r="AM1026" s="26"/>
    </row>
    <row r="1027">
      <c r="A1027" s="51"/>
      <c r="B1027" s="51"/>
      <c r="C1027" s="52"/>
      <c r="D1027" s="51"/>
      <c r="E1027" s="53"/>
      <c r="F1027" s="54"/>
      <c r="G1027" s="51"/>
      <c r="H1027" s="51"/>
      <c r="I1027" s="55"/>
      <c r="J1027" s="56"/>
      <c r="K1027" s="46"/>
      <c r="L1027" s="46"/>
      <c r="M1027" s="47"/>
      <c r="N1027" s="46"/>
      <c r="O1027" s="57"/>
      <c r="P1027" s="46"/>
      <c r="Q1027" s="46"/>
      <c r="R1027" s="57"/>
      <c r="S1027" s="7"/>
      <c r="T1027" s="54"/>
      <c r="U1027" s="58"/>
      <c r="V1027" s="47"/>
      <c r="W1027" s="18"/>
      <c r="X1027" s="46"/>
      <c r="Y1027" s="9"/>
      <c r="Z1027" s="46"/>
      <c r="AA1027" s="7"/>
      <c r="AB1027" s="46"/>
      <c r="AC1027" s="47"/>
      <c r="AD1027" s="7"/>
      <c r="AE1027" s="47"/>
      <c r="AF1027" s="18"/>
      <c r="AG1027" s="26"/>
      <c r="AH1027" s="34"/>
      <c r="AI1027" s="34"/>
      <c r="AJ1027" s="18"/>
      <c r="AK1027" s="48"/>
      <c r="AL1027" s="26"/>
      <c r="AM1027" s="26"/>
    </row>
    <row r="1028">
      <c r="A1028" s="51"/>
      <c r="B1028" s="51"/>
      <c r="C1028" s="52"/>
      <c r="D1028" s="51"/>
      <c r="E1028" s="53"/>
      <c r="F1028" s="54"/>
      <c r="G1028" s="51"/>
      <c r="H1028" s="51"/>
      <c r="I1028" s="55"/>
      <c r="J1028" s="56"/>
      <c r="K1028" s="46"/>
      <c r="L1028" s="46"/>
      <c r="M1028" s="47"/>
      <c r="N1028" s="46"/>
      <c r="O1028" s="57"/>
      <c r="P1028" s="46"/>
      <c r="Q1028" s="46"/>
      <c r="R1028" s="57"/>
      <c r="S1028" s="7"/>
      <c r="T1028" s="54"/>
      <c r="U1028" s="58"/>
      <c r="V1028" s="47"/>
      <c r="W1028" s="18"/>
      <c r="X1028" s="46"/>
      <c r="Y1028" s="9"/>
      <c r="Z1028" s="46"/>
      <c r="AA1028" s="7"/>
      <c r="AB1028" s="46"/>
      <c r="AC1028" s="47"/>
      <c r="AD1028" s="7"/>
      <c r="AE1028" s="47"/>
      <c r="AF1028" s="18"/>
      <c r="AG1028" s="26"/>
      <c r="AH1028" s="34"/>
      <c r="AI1028" s="34"/>
      <c r="AJ1028" s="18"/>
      <c r="AK1028" s="48"/>
      <c r="AL1028" s="26"/>
      <c r="AM1028" s="26"/>
    </row>
    <row r="1029">
      <c r="A1029" s="51"/>
      <c r="B1029" s="51"/>
      <c r="C1029" s="52"/>
      <c r="D1029" s="51"/>
      <c r="E1029" s="53"/>
      <c r="F1029" s="54"/>
      <c r="G1029" s="51"/>
      <c r="H1029" s="51"/>
      <c r="I1029" s="55"/>
      <c r="J1029" s="56"/>
      <c r="K1029" s="46"/>
      <c r="L1029" s="46"/>
      <c r="M1029" s="47"/>
      <c r="N1029" s="46"/>
      <c r="O1029" s="57"/>
      <c r="P1029" s="46"/>
      <c r="Q1029" s="46"/>
      <c r="R1029" s="57"/>
      <c r="S1029" s="7"/>
      <c r="T1029" s="54"/>
      <c r="U1029" s="58"/>
      <c r="V1029" s="47"/>
      <c r="W1029" s="18"/>
      <c r="X1029" s="46"/>
      <c r="Y1029" s="9"/>
      <c r="Z1029" s="46"/>
      <c r="AA1029" s="7"/>
      <c r="AB1029" s="46"/>
      <c r="AC1029" s="47"/>
      <c r="AD1029" s="7"/>
      <c r="AE1029" s="47"/>
      <c r="AF1029" s="18"/>
      <c r="AG1029" s="26"/>
      <c r="AH1029" s="34"/>
      <c r="AI1029" s="34"/>
      <c r="AJ1029" s="18"/>
      <c r="AK1029" s="48"/>
      <c r="AL1029" s="26"/>
      <c r="AM1029" s="26"/>
    </row>
    <row r="1030">
      <c r="A1030" s="51"/>
      <c r="B1030" s="51"/>
      <c r="C1030" s="52"/>
      <c r="D1030" s="51"/>
      <c r="E1030" s="53"/>
      <c r="F1030" s="54"/>
      <c r="G1030" s="51"/>
      <c r="H1030" s="51"/>
      <c r="I1030" s="55"/>
      <c r="J1030" s="56"/>
      <c r="K1030" s="46"/>
      <c r="L1030" s="46"/>
      <c r="M1030" s="47"/>
      <c r="N1030" s="46"/>
      <c r="O1030" s="57"/>
      <c r="P1030" s="46"/>
      <c r="Q1030" s="46"/>
      <c r="R1030" s="57"/>
      <c r="S1030" s="7"/>
      <c r="T1030" s="54"/>
      <c r="U1030" s="58"/>
      <c r="V1030" s="47"/>
      <c r="W1030" s="18"/>
      <c r="X1030" s="46"/>
      <c r="Y1030" s="9"/>
      <c r="Z1030" s="46"/>
      <c r="AA1030" s="7"/>
      <c r="AB1030" s="46"/>
      <c r="AC1030" s="47"/>
      <c r="AD1030" s="7"/>
      <c r="AE1030" s="47"/>
      <c r="AF1030" s="18"/>
      <c r="AG1030" s="26"/>
      <c r="AH1030" s="34"/>
      <c r="AI1030" s="34"/>
      <c r="AJ1030" s="18"/>
      <c r="AK1030" s="48"/>
      <c r="AL1030" s="26"/>
      <c r="AM1030" s="26"/>
    </row>
    <row r="1031">
      <c r="A1031" s="51"/>
      <c r="B1031" s="51"/>
      <c r="C1031" s="52"/>
      <c r="D1031" s="51"/>
      <c r="E1031" s="53"/>
      <c r="F1031" s="54"/>
      <c r="G1031" s="51"/>
      <c r="H1031" s="51"/>
      <c r="I1031" s="55"/>
      <c r="J1031" s="56"/>
      <c r="K1031" s="46"/>
      <c r="L1031" s="46"/>
      <c r="M1031" s="47"/>
      <c r="N1031" s="46"/>
      <c r="O1031" s="57"/>
      <c r="P1031" s="46"/>
      <c r="Q1031" s="46"/>
      <c r="R1031" s="57"/>
      <c r="S1031" s="7"/>
      <c r="T1031" s="54"/>
      <c r="U1031" s="58"/>
      <c r="V1031" s="47"/>
      <c r="W1031" s="18"/>
      <c r="X1031" s="46"/>
      <c r="Y1031" s="9"/>
      <c r="Z1031" s="46"/>
      <c r="AA1031" s="7"/>
      <c r="AB1031" s="46"/>
      <c r="AC1031" s="47"/>
      <c r="AD1031" s="7"/>
      <c r="AE1031" s="47"/>
      <c r="AF1031" s="18"/>
      <c r="AG1031" s="26"/>
      <c r="AH1031" s="34"/>
      <c r="AI1031" s="34"/>
      <c r="AJ1031" s="18"/>
      <c r="AK1031" s="48"/>
      <c r="AL1031" s="26"/>
      <c r="AM1031" s="26"/>
    </row>
    <row r="1032">
      <c r="A1032" s="51"/>
      <c r="B1032" s="51"/>
      <c r="C1032" s="52"/>
      <c r="D1032" s="51"/>
      <c r="E1032" s="53"/>
      <c r="F1032" s="54"/>
      <c r="G1032" s="51"/>
      <c r="H1032" s="51"/>
      <c r="I1032" s="55"/>
      <c r="J1032" s="56"/>
      <c r="K1032" s="46"/>
      <c r="L1032" s="46"/>
      <c r="M1032" s="47"/>
      <c r="N1032" s="46"/>
      <c r="O1032" s="57"/>
      <c r="P1032" s="46"/>
      <c r="Q1032" s="46"/>
      <c r="R1032" s="57"/>
      <c r="S1032" s="7"/>
      <c r="T1032" s="54"/>
      <c r="U1032" s="58"/>
      <c r="V1032" s="47"/>
      <c r="W1032" s="18"/>
      <c r="X1032" s="46"/>
      <c r="Y1032" s="9"/>
      <c r="Z1032" s="46"/>
      <c r="AA1032" s="7"/>
      <c r="AB1032" s="46"/>
      <c r="AC1032" s="47"/>
      <c r="AD1032" s="7"/>
      <c r="AE1032" s="47"/>
      <c r="AF1032" s="18"/>
      <c r="AG1032" s="26"/>
      <c r="AH1032" s="34"/>
      <c r="AI1032" s="34"/>
      <c r="AJ1032" s="18"/>
      <c r="AK1032" s="48"/>
      <c r="AL1032" s="26"/>
      <c r="AM1032" s="26"/>
    </row>
    <row r="1033">
      <c r="A1033" s="51"/>
      <c r="B1033" s="51"/>
      <c r="C1033" s="52"/>
      <c r="D1033" s="51"/>
      <c r="E1033" s="53"/>
      <c r="F1033" s="54"/>
      <c r="G1033" s="51"/>
      <c r="H1033" s="51"/>
      <c r="I1033" s="55"/>
      <c r="J1033" s="56"/>
      <c r="K1033" s="46"/>
      <c r="L1033" s="46"/>
      <c r="M1033" s="47"/>
      <c r="N1033" s="46"/>
      <c r="O1033" s="57"/>
      <c r="P1033" s="46"/>
      <c r="Q1033" s="46"/>
      <c r="R1033" s="57"/>
      <c r="S1033" s="7"/>
      <c r="T1033" s="54"/>
      <c r="U1033" s="58"/>
      <c r="V1033" s="47"/>
      <c r="W1033" s="18"/>
      <c r="X1033" s="46"/>
      <c r="Y1033" s="9"/>
      <c r="Z1033" s="46"/>
      <c r="AA1033" s="7"/>
      <c r="AB1033" s="46"/>
      <c r="AC1033" s="47"/>
      <c r="AD1033" s="7"/>
      <c r="AE1033" s="47"/>
      <c r="AF1033" s="18"/>
      <c r="AG1033" s="26"/>
      <c r="AH1033" s="34"/>
      <c r="AI1033" s="34"/>
      <c r="AJ1033" s="18"/>
      <c r="AK1033" s="48"/>
      <c r="AL1033" s="26"/>
      <c r="AM1033" s="26"/>
    </row>
    <row r="1034">
      <c r="A1034" s="51"/>
      <c r="B1034" s="51"/>
      <c r="C1034" s="52"/>
      <c r="D1034" s="51"/>
      <c r="E1034" s="53"/>
      <c r="F1034" s="54"/>
      <c r="G1034" s="51"/>
      <c r="H1034" s="51"/>
      <c r="I1034" s="55"/>
      <c r="J1034" s="56"/>
      <c r="K1034" s="46"/>
      <c r="L1034" s="46"/>
      <c r="M1034" s="47"/>
      <c r="N1034" s="46"/>
      <c r="O1034" s="57"/>
      <c r="P1034" s="46"/>
      <c r="Q1034" s="46"/>
      <c r="R1034" s="57"/>
      <c r="S1034" s="7"/>
      <c r="T1034" s="54"/>
      <c r="U1034" s="58"/>
      <c r="V1034" s="47"/>
      <c r="W1034" s="18"/>
      <c r="X1034" s="46"/>
      <c r="Y1034" s="9"/>
      <c r="Z1034" s="46"/>
      <c r="AA1034" s="7"/>
      <c r="AB1034" s="46"/>
      <c r="AC1034" s="47"/>
      <c r="AD1034" s="7"/>
      <c r="AE1034" s="47"/>
      <c r="AF1034" s="18"/>
      <c r="AG1034" s="26"/>
      <c r="AH1034" s="34"/>
      <c r="AI1034" s="34"/>
      <c r="AJ1034" s="18"/>
      <c r="AK1034" s="48"/>
      <c r="AL1034" s="26"/>
      <c r="AM1034" s="26"/>
    </row>
    <row r="1035">
      <c r="A1035" s="51"/>
      <c r="B1035" s="51"/>
      <c r="C1035" s="52"/>
      <c r="D1035" s="51"/>
      <c r="E1035" s="53"/>
      <c r="F1035" s="54"/>
      <c r="G1035" s="51"/>
      <c r="H1035" s="51"/>
      <c r="I1035" s="55"/>
      <c r="J1035" s="56"/>
      <c r="K1035" s="46"/>
      <c r="L1035" s="46"/>
      <c r="M1035" s="47"/>
      <c r="N1035" s="46"/>
      <c r="O1035" s="57"/>
      <c r="P1035" s="46"/>
      <c r="Q1035" s="46"/>
      <c r="R1035" s="57"/>
      <c r="S1035" s="7"/>
      <c r="T1035" s="54"/>
      <c r="U1035" s="58"/>
      <c r="V1035" s="47"/>
      <c r="W1035" s="18"/>
      <c r="X1035" s="46"/>
      <c r="Y1035" s="9"/>
      <c r="Z1035" s="46"/>
      <c r="AA1035" s="7"/>
      <c r="AB1035" s="46"/>
      <c r="AC1035" s="47"/>
      <c r="AD1035" s="7"/>
      <c r="AE1035" s="47"/>
      <c r="AF1035" s="18"/>
      <c r="AG1035" s="26"/>
      <c r="AH1035" s="34"/>
      <c r="AI1035" s="34"/>
      <c r="AJ1035" s="18"/>
      <c r="AK1035" s="48"/>
      <c r="AL1035" s="26"/>
      <c r="AM1035" s="26"/>
    </row>
    <row r="1036">
      <c r="A1036" s="51"/>
      <c r="B1036" s="51"/>
      <c r="C1036" s="52"/>
      <c r="D1036" s="51"/>
      <c r="E1036" s="53"/>
      <c r="F1036" s="54"/>
      <c r="G1036" s="51"/>
      <c r="H1036" s="51"/>
      <c r="I1036" s="55"/>
      <c r="J1036" s="56"/>
      <c r="K1036" s="46"/>
      <c r="L1036" s="46"/>
      <c r="M1036" s="47"/>
      <c r="N1036" s="46"/>
      <c r="O1036" s="57"/>
      <c r="P1036" s="46"/>
      <c r="Q1036" s="46"/>
      <c r="R1036" s="57"/>
      <c r="S1036" s="7"/>
      <c r="T1036" s="54"/>
      <c r="U1036" s="58"/>
      <c r="V1036" s="47"/>
      <c r="W1036" s="18"/>
      <c r="X1036" s="46"/>
      <c r="Y1036" s="9"/>
      <c r="Z1036" s="46"/>
      <c r="AA1036" s="7"/>
      <c r="AB1036" s="46"/>
      <c r="AC1036" s="47"/>
      <c r="AD1036" s="7"/>
      <c r="AE1036" s="47"/>
      <c r="AF1036" s="18"/>
      <c r="AG1036" s="26"/>
      <c r="AH1036" s="34"/>
      <c r="AI1036" s="34"/>
      <c r="AJ1036" s="18"/>
      <c r="AK1036" s="48"/>
      <c r="AL1036" s="26"/>
      <c r="AM1036" s="26"/>
    </row>
    <row r="1037">
      <c r="A1037" s="51"/>
      <c r="B1037" s="51"/>
      <c r="C1037" s="52"/>
      <c r="D1037" s="51"/>
      <c r="E1037" s="53"/>
      <c r="F1037" s="54"/>
      <c r="G1037" s="51"/>
      <c r="H1037" s="51"/>
      <c r="I1037" s="55"/>
      <c r="J1037" s="56"/>
      <c r="K1037" s="46"/>
      <c r="L1037" s="46"/>
      <c r="M1037" s="47"/>
      <c r="N1037" s="46"/>
      <c r="O1037" s="57"/>
      <c r="P1037" s="46"/>
      <c r="Q1037" s="46"/>
      <c r="R1037" s="57"/>
      <c r="S1037" s="7"/>
      <c r="T1037" s="54"/>
      <c r="U1037" s="58"/>
      <c r="V1037" s="47"/>
      <c r="W1037" s="18"/>
      <c r="X1037" s="46"/>
      <c r="Y1037" s="9"/>
      <c r="Z1037" s="46"/>
      <c r="AA1037" s="7"/>
      <c r="AB1037" s="46"/>
      <c r="AC1037" s="47"/>
      <c r="AD1037" s="7"/>
      <c r="AE1037" s="47"/>
      <c r="AF1037" s="18"/>
      <c r="AG1037" s="26"/>
      <c r="AH1037" s="34"/>
      <c r="AI1037" s="34"/>
      <c r="AJ1037" s="18"/>
      <c r="AK1037" s="48"/>
      <c r="AL1037" s="26"/>
      <c r="AM1037" s="26"/>
    </row>
    <row r="1038">
      <c r="A1038" s="51"/>
      <c r="B1038" s="51"/>
      <c r="C1038" s="52"/>
      <c r="D1038" s="51"/>
      <c r="E1038" s="53"/>
      <c r="F1038" s="54"/>
      <c r="G1038" s="51"/>
      <c r="H1038" s="51"/>
      <c r="I1038" s="55"/>
      <c r="J1038" s="56"/>
      <c r="K1038" s="46"/>
      <c r="L1038" s="46"/>
      <c r="M1038" s="47"/>
      <c r="N1038" s="46"/>
      <c r="O1038" s="57"/>
      <c r="P1038" s="46"/>
      <c r="Q1038" s="46"/>
      <c r="R1038" s="57"/>
      <c r="S1038" s="7"/>
      <c r="T1038" s="54"/>
      <c r="U1038" s="58"/>
      <c r="V1038" s="47"/>
      <c r="W1038" s="18"/>
      <c r="X1038" s="46"/>
      <c r="Y1038" s="9"/>
      <c r="Z1038" s="46"/>
      <c r="AA1038" s="7"/>
      <c r="AB1038" s="46"/>
      <c r="AC1038" s="47"/>
      <c r="AD1038" s="7"/>
      <c r="AE1038" s="47"/>
      <c r="AF1038" s="18"/>
      <c r="AG1038" s="26"/>
      <c r="AH1038" s="34"/>
      <c r="AI1038" s="34"/>
      <c r="AJ1038" s="18"/>
      <c r="AK1038" s="48"/>
      <c r="AL1038" s="26"/>
      <c r="AM1038" s="26"/>
    </row>
    <row r="1039">
      <c r="A1039" s="51"/>
      <c r="B1039" s="51"/>
      <c r="C1039" s="52"/>
      <c r="D1039" s="51"/>
      <c r="E1039" s="53"/>
      <c r="F1039" s="54"/>
      <c r="G1039" s="51"/>
      <c r="H1039" s="51"/>
      <c r="I1039" s="55"/>
      <c r="J1039" s="56"/>
      <c r="K1039" s="46"/>
      <c r="L1039" s="46"/>
      <c r="M1039" s="47"/>
      <c r="N1039" s="46"/>
      <c r="O1039" s="57"/>
      <c r="P1039" s="46"/>
      <c r="Q1039" s="46"/>
      <c r="R1039" s="57"/>
      <c r="S1039" s="7"/>
      <c r="T1039" s="54"/>
      <c r="U1039" s="58"/>
      <c r="V1039" s="47"/>
      <c r="W1039" s="18"/>
      <c r="X1039" s="46"/>
      <c r="Y1039" s="9"/>
      <c r="Z1039" s="46"/>
      <c r="AA1039" s="7"/>
      <c r="AB1039" s="46"/>
      <c r="AC1039" s="47"/>
      <c r="AD1039" s="7"/>
      <c r="AE1039" s="47"/>
      <c r="AF1039" s="18"/>
      <c r="AG1039" s="26"/>
      <c r="AH1039" s="34"/>
      <c r="AI1039" s="34"/>
      <c r="AJ1039" s="18"/>
      <c r="AK1039" s="48"/>
      <c r="AL1039" s="26"/>
      <c r="AM1039" s="26"/>
    </row>
    <row r="1040">
      <c r="A1040" s="51"/>
      <c r="B1040" s="51"/>
      <c r="C1040" s="52"/>
      <c r="D1040" s="51"/>
      <c r="E1040" s="53"/>
      <c r="F1040" s="54"/>
      <c r="G1040" s="51"/>
      <c r="H1040" s="51"/>
      <c r="I1040" s="55"/>
      <c r="J1040" s="56"/>
      <c r="K1040" s="46"/>
      <c r="L1040" s="46"/>
      <c r="M1040" s="47"/>
      <c r="N1040" s="46"/>
      <c r="O1040" s="57"/>
      <c r="P1040" s="46"/>
      <c r="Q1040" s="46"/>
      <c r="R1040" s="57"/>
      <c r="S1040" s="7"/>
      <c r="T1040" s="54"/>
      <c r="U1040" s="58"/>
      <c r="V1040" s="47"/>
      <c r="W1040" s="18"/>
      <c r="X1040" s="46"/>
      <c r="Y1040" s="9"/>
      <c r="Z1040" s="46"/>
      <c r="AA1040" s="7"/>
      <c r="AB1040" s="46"/>
      <c r="AC1040" s="47"/>
      <c r="AD1040" s="7"/>
      <c r="AE1040" s="47"/>
      <c r="AF1040" s="18"/>
      <c r="AG1040" s="26"/>
      <c r="AH1040" s="34"/>
      <c r="AI1040" s="34"/>
      <c r="AJ1040" s="18"/>
      <c r="AK1040" s="48"/>
      <c r="AL1040" s="26"/>
      <c r="AM1040" s="26"/>
    </row>
    <row r="1041">
      <c r="A1041" s="51"/>
      <c r="B1041" s="51"/>
      <c r="C1041" s="52"/>
      <c r="D1041" s="51"/>
      <c r="E1041" s="53"/>
      <c r="F1041" s="54"/>
      <c r="G1041" s="51"/>
      <c r="H1041" s="51"/>
      <c r="I1041" s="55"/>
      <c r="J1041" s="56"/>
      <c r="K1041" s="46"/>
      <c r="L1041" s="46"/>
      <c r="M1041" s="47"/>
      <c r="N1041" s="46"/>
      <c r="O1041" s="57"/>
      <c r="P1041" s="46"/>
      <c r="Q1041" s="46"/>
      <c r="R1041" s="57"/>
      <c r="S1041" s="7"/>
      <c r="T1041" s="54"/>
      <c r="U1041" s="58"/>
      <c r="V1041" s="47"/>
      <c r="W1041" s="18"/>
      <c r="X1041" s="46"/>
      <c r="Y1041" s="9"/>
      <c r="Z1041" s="46"/>
      <c r="AA1041" s="7"/>
      <c r="AB1041" s="46"/>
      <c r="AC1041" s="47"/>
      <c r="AD1041" s="7"/>
      <c r="AE1041" s="47"/>
      <c r="AF1041" s="18"/>
      <c r="AG1041" s="26"/>
      <c r="AH1041" s="34"/>
      <c r="AI1041" s="34"/>
      <c r="AJ1041" s="18"/>
      <c r="AK1041" s="48"/>
      <c r="AL1041" s="26"/>
      <c r="AM1041" s="26"/>
    </row>
    <row r="1042">
      <c r="A1042" s="51"/>
      <c r="B1042" s="51"/>
      <c r="C1042" s="52"/>
      <c r="D1042" s="51"/>
      <c r="E1042" s="53"/>
      <c r="F1042" s="54"/>
      <c r="G1042" s="51"/>
      <c r="H1042" s="51"/>
      <c r="I1042" s="55"/>
      <c r="J1042" s="56"/>
      <c r="K1042" s="46"/>
      <c r="L1042" s="46"/>
      <c r="M1042" s="47"/>
      <c r="N1042" s="46"/>
      <c r="O1042" s="57"/>
      <c r="P1042" s="46"/>
      <c r="Q1042" s="46"/>
      <c r="R1042" s="57"/>
      <c r="S1042" s="7"/>
      <c r="T1042" s="54"/>
      <c r="U1042" s="58"/>
      <c r="V1042" s="47"/>
      <c r="W1042" s="18"/>
      <c r="X1042" s="46"/>
      <c r="Y1042" s="9"/>
      <c r="Z1042" s="46"/>
      <c r="AA1042" s="7"/>
      <c r="AB1042" s="46"/>
      <c r="AC1042" s="47"/>
      <c r="AD1042" s="7"/>
      <c r="AE1042" s="47"/>
      <c r="AF1042" s="18"/>
      <c r="AG1042" s="26"/>
      <c r="AH1042" s="34"/>
      <c r="AI1042" s="34"/>
      <c r="AJ1042" s="18"/>
      <c r="AK1042" s="48"/>
      <c r="AL1042" s="26"/>
      <c r="AM1042" s="26"/>
    </row>
    <row r="1043">
      <c r="A1043" s="51"/>
      <c r="B1043" s="51"/>
      <c r="C1043" s="52"/>
      <c r="D1043" s="51"/>
      <c r="E1043" s="53"/>
      <c r="F1043" s="54"/>
      <c r="G1043" s="51"/>
      <c r="H1043" s="51"/>
      <c r="I1043" s="55"/>
      <c r="J1043" s="56"/>
      <c r="K1043" s="46"/>
      <c r="L1043" s="46"/>
      <c r="M1043" s="47"/>
      <c r="N1043" s="46"/>
      <c r="O1043" s="57"/>
      <c r="P1043" s="46"/>
      <c r="Q1043" s="46"/>
      <c r="R1043" s="57"/>
      <c r="S1043" s="7"/>
      <c r="T1043" s="54"/>
      <c r="U1043" s="58"/>
      <c r="V1043" s="47"/>
      <c r="W1043" s="18"/>
      <c r="X1043" s="46"/>
      <c r="Y1043" s="9"/>
      <c r="Z1043" s="46"/>
      <c r="AA1043" s="7"/>
      <c r="AB1043" s="46"/>
      <c r="AC1043" s="47"/>
      <c r="AD1043" s="7"/>
      <c r="AE1043" s="47"/>
      <c r="AF1043" s="18"/>
      <c r="AG1043" s="26"/>
      <c r="AH1043" s="34"/>
      <c r="AI1043" s="34"/>
      <c r="AJ1043" s="18"/>
      <c r="AK1043" s="48"/>
      <c r="AL1043" s="26"/>
      <c r="AM1043" s="26"/>
    </row>
    <row r="1044">
      <c r="A1044" s="51"/>
      <c r="B1044" s="51"/>
      <c r="C1044" s="52"/>
      <c r="D1044" s="51"/>
      <c r="E1044" s="53"/>
      <c r="F1044" s="54"/>
      <c r="G1044" s="51"/>
      <c r="H1044" s="51"/>
      <c r="I1044" s="55"/>
      <c r="J1044" s="56"/>
      <c r="K1044" s="46"/>
      <c r="L1044" s="46"/>
      <c r="M1044" s="47"/>
      <c r="N1044" s="46"/>
      <c r="O1044" s="57"/>
      <c r="P1044" s="46"/>
      <c r="Q1044" s="46"/>
      <c r="R1044" s="57"/>
      <c r="S1044" s="7"/>
      <c r="T1044" s="54"/>
      <c r="U1044" s="58"/>
      <c r="V1044" s="47"/>
      <c r="W1044" s="18"/>
      <c r="X1044" s="46"/>
      <c r="Y1044" s="9"/>
      <c r="Z1044" s="46"/>
      <c r="AA1044" s="7"/>
      <c r="AB1044" s="46"/>
      <c r="AC1044" s="47"/>
      <c r="AD1044" s="7"/>
      <c r="AE1044" s="47"/>
      <c r="AF1044" s="18"/>
      <c r="AG1044" s="26"/>
      <c r="AH1044" s="34"/>
      <c r="AI1044" s="34"/>
      <c r="AJ1044" s="18"/>
      <c r="AK1044" s="48"/>
      <c r="AL1044" s="26"/>
      <c r="AM1044" s="26"/>
    </row>
    <row r="1045">
      <c r="A1045" s="51"/>
      <c r="B1045" s="51"/>
      <c r="C1045" s="52"/>
      <c r="D1045" s="51"/>
      <c r="E1045" s="53"/>
      <c r="F1045" s="54"/>
      <c r="G1045" s="51"/>
      <c r="H1045" s="51"/>
      <c r="I1045" s="55"/>
      <c r="J1045" s="56"/>
      <c r="K1045" s="46"/>
      <c r="L1045" s="46"/>
      <c r="M1045" s="47"/>
      <c r="N1045" s="46"/>
      <c r="O1045" s="57"/>
      <c r="P1045" s="46"/>
      <c r="Q1045" s="46"/>
      <c r="R1045" s="57"/>
      <c r="S1045" s="7"/>
      <c r="T1045" s="54"/>
      <c r="U1045" s="58"/>
      <c r="V1045" s="47"/>
      <c r="W1045" s="18"/>
      <c r="X1045" s="46"/>
      <c r="Y1045" s="9"/>
      <c r="Z1045" s="46"/>
      <c r="AA1045" s="7"/>
      <c r="AB1045" s="46"/>
      <c r="AC1045" s="47"/>
      <c r="AD1045" s="7"/>
      <c r="AE1045" s="47"/>
      <c r="AF1045" s="18"/>
      <c r="AG1045" s="26"/>
      <c r="AH1045" s="34"/>
      <c r="AI1045" s="34"/>
      <c r="AJ1045" s="18"/>
      <c r="AK1045" s="48"/>
      <c r="AL1045" s="26"/>
      <c r="AM1045" s="26"/>
    </row>
    <row r="1046">
      <c r="A1046" s="51"/>
      <c r="B1046" s="51"/>
      <c r="C1046" s="52"/>
      <c r="D1046" s="51"/>
      <c r="E1046" s="53"/>
      <c r="F1046" s="54"/>
      <c r="G1046" s="51"/>
      <c r="H1046" s="51"/>
      <c r="I1046" s="55"/>
      <c r="J1046" s="56"/>
      <c r="K1046" s="46"/>
      <c r="L1046" s="46"/>
      <c r="M1046" s="47"/>
      <c r="N1046" s="46"/>
      <c r="O1046" s="57"/>
      <c r="P1046" s="46"/>
      <c r="Q1046" s="46"/>
      <c r="R1046" s="57"/>
      <c r="S1046" s="7"/>
      <c r="T1046" s="54"/>
      <c r="U1046" s="58"/>
      <c r="V1046" s="47"/>
      <c r="W1046" s="18"/>
      <c r="X1046" s="46"/>
      <c r="Y1046" s="9"/>
      <c r="Z1046" s="46"/>
      <c r="AA1046" s="7"/>
      <c r="AB1046" s="46"/>
      <c r="AC1046" s="47"/>
      <c r="AD1046" s="7"/>
      <c r="AE1046" s="47"/>
      <c r="AF1046" s="18"/>
      <c r="AG1046" s="26"/>
      <c r="AH1046" s="34"/>
      <c r="AI1046" s="34"/>
      <c r="AJ1046" s="18"/>
      <c r="AK1046" s="48"/>
      <c r="AL1046" s="26"/>
      <c r="AM1046" s="26"/>
    </row>
    <row r="1047">
      <c r="A1047" s="51"/>
      <c r="B1047" s="51"/>
      <c r="C1047" s="52"/>
      <c r="D1047" s="51"/>
      <c r="E1047" s="53"/>
      <c r="F1047" s="54"/>
      <c r="G1047" s="51"/>
      <c r="H1047" s="51"/>
      <c r="I1047" s="55"/>
      <c r="J1047" s="56"/>
      <c r="K1047" s="46"/>
      <c r="L1047" s="46"/>
      <c r="M1047" s="47"/>
      <c r="N1047" s="46"/>
      <c r="O1047" s="57"/>
      <c r="P1047" s="46"/>
      <c r="Q1047" s="46"/>
      <c r="R1047" s="57"/>
      <c r="S1047" s="7"/>
      <c r="T1047" s="54"/>
      <c r="U1047" s="58"/>
      <c r="V1047" s="47"/>
      <c r="W1047" s="18"/>
      <c r="X1047" s="46"/>
      <c r="Y1047" s="9"/>
      <c r="Z1047" s="46"/>
      <c r="AA1047" s="7"/>
      <c r="AB1047" s="46"/>
      <c r="AC1047" s="47"/>
      <c r="AD1047" s="7"/>
      <c r="AE1047" s="47"/>
      <c r="AF1047" s="18"/>
      <c r="AG1047" s="26"/>
      <c r="AH1047" s="34"/>
      <c r="AI1047" s="34"/>
      <c r="AJ1047" s="18"/>
      <c r="AK1047" s="48"/>
      <c r="AL1047" s="26"/>
      <c r="AM1047" s="26"/>
    </row>
    <row r="1048">
      <c r="A1048" s="51"/>
      <c r="B1048" s="51"/>
      <c r="C1048" s="52"/>
      <c r="D1048" s="51"/>
      <c r="E1048" s="53"/>
      <c r="F1048" s="54"/>
      <c r="G1048" s="51"/>
      <c r="H1048" s="51"/>
      <c r="I1048" s="55"/>
      <c r="J1048" s="56"/>
      <c r="K1048" s="46"/>
      <c r="L1048" s="46"/>
      <c r="M1048" s="47"/>
      <c r="N1048" s="46"/>
      <c r="O1048" s="57"/>
      <c r="P1048" s="46"/>
      <c r="Q1048" s="46"/>
      <c r="R1048" s="57"/>
      <c r="S1048" s="7"/>
      <c r="T1048" s="54"/>
      <c r="U1048" s="58"/>
      <c r="V1048" s="47"/>
      <c r="W1048" s="18"/>
      <c r="X1048" s="46"/>
      <c r="Y1048" s="9"/>
      <c r="Z1048" s="46"/>
      <c r="AA1048" s="7"/>
      <c r="AB1048" s="46"/>
      <c r="AC1048" s="47"/>
      <c r="AD1048" s="7"/>
      <c r="AE1048" s="47"/>
      <c r="AF1048" s="18"/>
      <c r="AG1048" s="26"/>
      <c r="AH1048" s="34"/>
      <c r="AI1048" s="34"/>
      <c r="AJ1048" s="18"/>
      <c r="AK1048" s="48"/>
      <c r="AL1048" s="26"/>
      <c r="AM1048" s="26"/>
    </row>
    <row r="1049">
      <c r="A1049" s="51"/>
      <c r="B1049" s="51"/>
      <c r="C1049" s="52"/>
      <c r="D1049" s="51"/>
      <c r="E1049" s="53"/>
      <c r="F1049" s="54"/>
      <c r="G1049" s="51"/>
      <c r="H1049" s="51"/>
      <c r="I1049" s="55"/>
      <c r="J1049" s="56"/>
      <c r="K1049" s="46"/>
      <c r="L1049" s="46"/>
      <c r="M1049" s="47"/>
      <c r="N1049" s="46"/>
      <c r="O1049" s="57"/>
      <c r="P1049" s="46"/>
      <c r="Q1049" s="46"/>
      <c r="R1049" s="57"/>
      <c r="S1049" s="7"/>
      <c r="T1049" s="54"/>
      <c r="U1049" s="58"/>
      <c r="V1049" s="47"/>
      <c r="W1049" s="18"/>
      <c r="X1049" s="46"/>
      <c r="Y1049" s="9"/>
      <c r="Z1049" s="46"/>
      <c r="AA1049" s="7"/>
      <c r="AB1049" s="46"/>
      <c r="AC1049" s="47"/>
      <c r="AD1049" s="7"/>
      <c r="AE1049" s="47"/>
      <c r="AF1049" s="18"/>
      <c r="AG1049" s="26"/>
      <c r="AH1049" s="34"/>
      <c r="AI1049" s="34"/>
      <c r="AJ1049" s="18"/>
      <c r="AK1049" s="48"/>
      <c r="AL1049" s="26"/>
      <c r="AM1049" s="26"/>
    </row>
    <row r="1050">
      <c r="A1050" s="51"/>
      <c r="B1050" s="51"/>
      <c r="C1050" s="52"/>
      <c r="D1050" s="51"/>
      <c r="E1050" s="53"/>
      <c r="F1050" s="54"/>
      <c r="G1050" s="51"/>
      <c r="H1050" s="51"/>
      <c r="I1050" s="55"/>
      <c r="J1050" s="56"/>
      <c r="K1050" s="46"/>
      <c r="L1050" s="46"/>
      <c r="M1050" s="47"/>
      <c r="N1050" s="46"/>
      <c r="O1050" s="57"/>
      <c r="P1050" s="46"/>
      <c r="Q1050" s="46"/>
      <c r="R1050" s="57"/>
      <c r="S1050" s="7"/>
      <c r="T1050" s="54"/>
      <c r="U1050" s="58"/>
      <c r="V1050" s="47"/>
      <c r="W1050" s="18"/>
      <c r="X1050" s="46"/>
      <c r="Y1050" s="9"/>
      <c r="Z1050" s="46"/>
      <c r="AA1050" s="7"/>
      <c r="AB1050" s="46"/>
      <c r="AC1050" s="47"/>
      <c r="AD1050" s="7"/>
      <c r="AE1050" s="47"/>
      <c r="AF1050" s="18"/>
      <c r="AG1050" s="26"/>
      <c r="AH1050" s="34"/>
      <c r="AI1050" s="34"/>
      <c r="AJ1050" s="18"/>
      <c r="AK1050" s="48"/>
      <c r="AL1050" s="26"/>
      <c r="AM1050" s="26"/>
    </row>
    <row r="1051">
      <c r="A1051" s="51"/>
      <c r="B1051" s="51"/>
      <c r="C1051" s="52"/>
      <c r="D1051" s="51"/>
      <c r="E1051" s="53"/>
      <c r="F1051" s="54"/>
      <c r="G1051" s="51"/>
      <c r="H1051" s="51"/>
      <c r="I1051" s="55"/>
      <c r="J1051" s="56"/>
      <c r="K1051" s="46"/>
      <c r="L1051" s="46"/>
      <c r="M1051" s="47"/>
      <c r="N1051" s="46"/>
      <c r="O1051" s="57"/>
      <c r="P1051" s="46"/>
      <c r="Q1051" s="46"/>
      <c r="R1051" s="57"/>
      <c r="S1051" s="7"/>
      <c r="T1051" s="54"/>
      <c r="U1051" s="58"/>
      <c r="V1051" s="47"/>
      <c r="W1051" s="18"/>
      <c r="X1051" s="46"/>
      <c r="Y1051" s="9"/>
      <c r="Z1051" s="46"/>
      <c r="AA1051" s="7"/>
      <c r="AB1051" s="46"/>
      <c r="AC1051" s="47"/>
      <c r="AD1051" s="7"/>
      <c r="AE1051" s="47"/>
      <c r="AF1051" s="18"/>
      <c r="AG1051" s="26"/>
      <c r="AH1051" s="34"/>
      <c r="AI1051" s="34"/>
      <c r="AJ1051" s="18"/>
      <c r="AK1051" s="48"/>
      <c r="AL1051" s="26"/>
      <c r="AM1051" s="26"/>
    </row>
    <row r="1052">
      <c r="A1052" s="51"/>
      <c r="B1052" s="51"/>
      <c r="C1052" s="52"/>
      <c r="D1052" s="51"/>
      <c r="E1052" s="53"/>
      <c r="F1052" s="54"/>
      <c r="G1052" s="51"/>
      <c r="H1052" s="51"/>
      <c r="I1052" s="55"/>
      <c r="J1052" s="56"/>
      <c r="K1052" s="46"/>
      <c r="L1052" s="46"/>
      <c r="M1052" s="47"/>
      <c r="N1052" s="46"/>
      <c r="O1052" s="57"/>
      <c r="P1052" s="46"/>
      <c r="Q1052" s="46"/>
      <c r="R1052" s="57"/>
      <c r="S1052" s="7"/>
      <c r="T1052" s="54"/>
      <c r="U1052" s="58"/>
      <c r="V1052" s="47"/>
      <c r="W1052" s="18"/>
      <c r="X1052" s="46"/>
      <c r="Y1052" s="9"/>
      <c r="Z1052" s="46"/>
      <c r="AA1052" s="7"/>
      <c r="AB1052" s="46"/>
      <c r="AC1052" s="47"/>
      <c r="AD1052" s="7"/>
      <c r="AE1052" s="47"/>
      <c r="AF1052" s="18"/>
      <c r="AG1052" s="26"/>
      <c r="AH1052" s="34"/>
      <c r="AI1052" s="34"/>
      <c r="AJ1052" s="18"/>
      <c r="AK1052" s="48"/>
      <c r="AL1052" s="26"/>
      <c r="AM1052" s="26"/>
    </row>
    <row r="1053">
      <c r="A1053" s="51"/>
      <c r="B1053" s="51"/>
      <c r="C1053" s="52"/>
      <c r="D1053" s="51"/>
      <c r="E1053" s="53"/>
      <c r="F1053" s="54"/>
      <c r="G1053" s="51"/>
      <c r="H1053" s="51"/>
      <c r="I1053" s="55"/>
      <c r="J1053" s="56"/>
      <c r="K1053" s="46"/>
      <c r="L1053" s="46"/>
      <c r="M1053" s="47"/>
      <c r="N1053" s="46"/>
      <c r="O1053" s="57"/>
      <c r="P1053" s="46"/>
      <c r="Q1053" s="46"/>
      <c r="R1053" s="57"/>
      <c r="S1053" s="7"/>
      <c r="T1053" s="54"/>
      <c r="U1053" s="58"/>
      <c r="V1053" s="47"/>
      <c r="W1053" s="18"/>
      <c r="X1053" s="46"/>
      <c r="Y1053" s="9"/>
      <c r="Z1053" s="46"/>
      <c r="AA1053" s="7"/>
      <c r="AB1053" s="46"/>
      <c r="AC1053" s="47"/>
      <c r="AD1053" s="7"/>
      <c r="AE1053" s="47"/>
      <c r="AF1053" s="18"/>
      <c r="AG1053" s="26"/>
      <c r="AH1053" s="34"/>
      <c r="AI1053" s="34"/>
      <c r="AJ1053" s="18"/>
      <c r="AK1053" s="48"/>
      <c r="AL1053" s="26"/>
      <c r="AM1053" s="26"/>
    </row>
    <row r="1054">
      <c r="A1054" s="51"/>
      <c r="B1054" s="51"/>
      <c r="C1054" s="52"/>
      <c r="D1054" s="51"/>
      <c r="E1054" s="53"/>
      <c r="F1054" s="54"/>
      <c r="G1054" s="51"/>
      <c r="H1054" s="51"/>
      <c r="I1054" s="55"/>
      <c r="J1054" s="56"/>
      <c r="K1054" s="46"/>
      <c r="L1054" s="46"/>
      <c r="M1054" s="47"/>
      <c r="N1054" s="46"/>
      <c r="O1054" s="57"/>
      <c r="P1054" s="46"/>
      <c r="Q1054" s="46"/>
      <c r="R1054" s="57"/>
      <c r="S1054" s="7"/>
      <c r="T1054" s="54"/>
      <c r="U1054" s="58"/>
      <c r="V1054" s="47"/>
      <c r="W1054" s="18"/>
      <c r="X1054" s="46"/>
      <c r="Y1054" s="9"/>
      <c r="Z1054" s="46"/>
      <c r="AA1054" s="7"/>
      <c r="AB1054" s="46"/>
      <c r="AC1054" s="47"/>
      <c r="AD1054" s="7"/>
      <c r="AE1054" s="47"/>
      <c r="AF1054" s="18"/>
      <c r="AG1054" s="26"/>
      <c r="AH1054" s="34"/>
      <c r="AI1054" s="34"/>
      <c r="AJ1054" s="18"/>
      <c r="AK1054" s="48"/>
      <c r="AL1054" s="26"/>
      <c r="AM1054" s="26"/>
    </row>
    <row r="1055">
      <c r="A1055" s="51"/>
      <c r="B1055" s="51"/>
      <c r="C1055" s="52"/>
      <c r="D1055" s="51"/>
      <c r="E1055" s="53"/>
      <c r="F1055" s="54"/>
      <c r="G1055" s="51"/>
      <c r="H1055" s="51"/>
      <c r="I1055" s="55"/>
      <c r="J1055" s="56"/>
      <c r="K1055" s="46"/>
      <c r="L1055" s="46"/>
      <c r="M1055" s="47"/>
      <c r="N1055" s="46"/>
      <c r="O1055" s="57"/>
      <c r="P1055" s="46"/>
      <c r="Q1055" s="46"/>
      <c r="R1055" s="57"/>
      <c r="S1055" s="7"/>
      <c r="T1055" s="54"/>
      <c r="U1055" s="58"/>
      <c r="V1055" s="47"/>
      <c r="W1055" s="18"/>
      <c r="X1055" s="46"/>
      <c r="Y1055" s="9"/>
      <c r="Z1055" s="46"/>
      <c r="AA1055" s="7"/>
      <c r="AB1055" s="46"/>
      <c r="AC1055" s="47"/>
      <c r="AD1055" s="7"/>
      <c r="AE1055" s="47"/>
      <c r="AF1055" s="18"/>
      <c r="AG1055" s="26"/>
      <c r="AH1055" s="34"/>
      <c r="AI1055" s="34"/>
      <c r="AJ1055" s="18"/>
      <c r="AK1055" s="48"/>
      <c r="AL1055" s="26"/>
      <c r="AM1055" s="26"/>
    </row>
    <row r="1056">
      <c r="A1056" s="51"/>
      <c r="B1056" s="51"/>
      <c r="C1056" s="52"/>
      <c r="D1056" s="51"/>
      <c r="E1056" s="53"/>
      <c r="F1056" s="54"/>
      <c r="G1056" s="51"/>
      <c r="H1056" s="51"/>
      <c r="I1056" s="55"/>
      <c r="J1056" s="56"/>
      <c r="K1056" s="46"/>
      <c r="L1056" s="46"/>
      <c r="M1056" s="47"/>
      <c r="N1056" s="46"/>
      <c r="O1056" s="57"/>
      <c r="P1056" s="46"/>
      <c r="Q1056" s="46"/>
      <c r="R1056" s="57"/>
      <c r="S1056" s="7"/>
      <c r="T1056" s="54"/>
      <c r="U1056" s="58"/>
      <c r="V1056" s="47"/>
      <c r="W1056" s="18"/>
      <c r="X1056" s="46"/>
      <c r="Y1056" s="9"/>
      <c r="Z1056" s="46"/>
      <c r="AA1056" s="7"/>
      <c r="AB1056" s="46"/>
      <c r="AC1056" s="47"/>
      <c r="AD1056" s="7"/>
      <c r="AE1056" s="47"/>
      <c r="AF1056" s="18"/>
      <c r="AG1056" s="26"/>
      <c r="AH1056" s="34"/>
      <c r="AI1056" s="34"/>
      <c r="AJ1056" s="18"/>
      <c r="AK1056" s="48"/>
      <c r="AL1056" s="26"/>
      <c r="AM1056" s="26"/>
    </row>
    <row r="1057">
      <c r="A1057" s="51"/>
      <c r="B1057" s="51"/>
      <c r="C1057" s="52"/>
      <c r="D1057" s="51"/>
      <c r="E1057" s="53"/>
      <c r="F1057" s="54"/>
      <c r="G1057" s="51"/>
      <c r="H1057" s="51"/>
      <c r="I1057" s="55"/>
      <c r="J1057" s="56"/>
      <c r="K1057" s="46"/>
      <c r="L1057" s="46"/>
      <c r="M1057" s="47"/>
      <c r="N1057" s="46"/>
      <c r="O1057" s="57"/>
      <c r="P1057" s="46"/>
      <c r="Q1057" s="46"/>
      <c r="R1057" s="57"/>
      <c r="S1057" s="7"/>
      <c r="T1057" s="54"/>
      <c r="U1057" s="58"/>
      <c r="V1057" s="47"/>
      <c r="W1057" s="18"/>
      <c r="X1057" s="46"/>
      <c r="Y1057" s="9"/>
      <c r="Z1057" s="46"/>
      <c r="AA1057" s="7"/>
      <c r="AB1057" s="46"/>
      <c r="AC1057" s="47"/>
      <c r="AD1057" s="7"/>
      <c r="AE1057" s="47"/>
      <c r="AF1057" s="18"/>
      <c r="AG1057" s="26"/>
      <c r="AH1057" s="34"/>
      <c r="AI1057" s="34"/>
      <c r="AJ1057" s="18"/>
      <c r="AK1057" s="48"/>
      <c r="AL1057" s="26"/>
      <c r="AM1057" s="26"/>
    </row>
    <row r="1058">
      <c r="A1058" s="51"/>
      <c r="B1058" s="51"/>
      <c r="C1058" s="52"/>
      <c r="D1058" s="51"/>
      <c r="E1058" s="53"/>
      <c r="F1058" s="54"/>
      <c r="G1058" s="51"/>
      <c r="H1058" s="51"/>
      <c r="I1058" s="55"/>
      <c r="J1058" s="56"/>
      <c r="K1058" s="46"/>
      <c r="L1058" s="46"/>
      <c r="M1058" s="47"/>
      <c r="N1058" s="46"/>
      <c r="O1058" s="57"/>
      <c r="P1058" s="46"/>
      <c r="Q1058" s="46"/>
      <c r="R1058" s="57"/>
      <c r="S1058" s="7"/>
      <c r="T1058" s="54"/>
      <c r="U1058" s="58"/>
      <c r="V1058" s="47"/>
      <c r="W1058" s="18"/>
      <c r="X1058" s="46"/>
      <c r="Y1058" s="9"/>
      <c r="Z1058" s="46"/>
      <c r="AA1058" s="7"/>
      <c r="AB1058" s="46"/>
      <c r="AC1058" s="47"/>
      <c r="AD1058" s="7"/>
      <c r="AE1058" s="47"/>
      <c r="AF1058" s="18"/>
      <c r="AG1058" s="26"/>
      <c r="AH1058" s="34"/>
      <c r="AI1058" s="34"/>
      <c r="AJ1058" s="18"/>
      <c r="AK1058" s="48"/>
      <c r="AL1058" s="26"/>
      <c r="AM1058" s="26"/>
    </row>
    <row r="1059">
      <c r="A1059" s="51"/>
      <c r="B1059" s="51"/>
      <c r="C1059" s="52"/>
      <c r="D1059" s="51"/>
      <c r="E1059" s="53"/>
      <c r="F1059" s="54"/>
      <c r="G1059" s="51"/>
      <c r="H1059" s="51"/>
      <c r="I1059" s="55"/>
      <c r="J1059" s="56"/>
      <c r="K1059" s="46"/>
      <c r="L1059" s="46"/>
      <c r="M1059" s="47"/>
      <c r="N1059" s="46"/>
      <c r="O1059" s="57"/>
      <c r="P1059" s="46"/>
      <c r="Q1059" s="46"/>
      <c r="R1059" s="57"/>
      <c r="S1059" s="7"/>
      <c r="T1059" s="54"/>
      <c r="U1059" s="58"/>
      <c r="V1059" s="47"/>
      <c r="W1059" s="18"/>
      <c r="X1059" s="46"/>
      <c r="Y1059" s="9"/>
      <c r="Z1059" s="46"/>
      <c r="AA1059" s="7"/>
      <c r="AB1059" s="46"/>
      <c r="AC1059" s="47"/>
      <c r="AD1059" s="7"/>
      <c r="AE1059" s="47"/>
      <c r="AF1059" s="18"/>
      <c r="AG1059" s="26"/>
      <c r="AH1059" s="34"/>
      <c r="AI1059" s="34"/>
      <c r="AJ1059" s="18"/>
      <c r="AK1059" s="48"/>
      <c r="AL1059" s="26"/>
      <c r="AM1059" s="26"/>
    </row>
    <row r="1060">
      <c r="A1060" s="51"/>
      <c r="B1060" s="51"/>
      <c r="C1060" s="52"/>
      <c r="D1060" s="51"/>
      <c r="E1060" s="53"/>
      <c r="F1060" s="54"/>
      <c r="G1060" s="51"/>
      <c r="H1060" s="51"/>
      <c r="I1060" s="55"/>
      <c r="J1060" s="56"/>
      <c r="K1060" s="46"/>
      <c r="L1060" s="46"/>
      <c r="M1060" s="47"/>
      <c r="N1060" s="46"/>
      <c r="O1060" s="57"/>
      <c r="P1060" s="46"/>
      <c r="Q1060" s="46"/>
      <c r="R1060" s="57"/>
      <c r="S1060" s="7"/>
      <c r="T1060" s="54"/>
      <c r="U1060" s="58"/>
      <c r="V1060" s="47"/>
      <c r="W1060" s="18"/>
      <c r="X1060" s="46"/>
      <c r="Y1060" s="9"/>
      <c r="Z1060" s="46"/>
      <c r="AA1060" s="7"/>
      <c r="AB1060" s="46"/>
      <c r="AC1060" s="47"/>
      <c r="AD1060" s="7"/>
      <c r="AE1060" s="47"/>
      <c r="AF1060" s="18"/>
      <c r="AG1060" s="26"/>
      <c r="AH1060" s="34"/>
      <c r="AI1060" s="34"/>
      <c r="AJ1060" s="18"/>
      <c r="AK1060" s="48"/>
      <c r="AL1060" s="26"/>
      <c r="AM1060" s="26"/>
    </row>
    <row r="1061">
      <c r="A1061" s="51"/>
      <c r="B1061" s="51"/>
      <c r="C1061" s="52"/>
      <c r="D1061" s="51"/>
      <c r="E1061" s="53"/>
      <c r="F1061" s="54"/>
      <c r="G1061" s="51"/>
      <c r="H1061" s="51"/>
      <c r="I1061" s="55"/>
      <c r="J1061" s="56"/>
      <c r="K1061" s="46"/>
      <c r="L1061" s="46"/>
      <c r="M1061" s="47"/>
      <c r="N1061" s="46"/>
      <c r="O1061" s="57"/>
      <c r="P1061" s="46"/>
      <c r="Q1061" s="46"/>
      <c r="R1061" s="57"/>
      <c r="S1061" s="7"/>
      <c r="T1061" s="54"/>
      <c r="U1061" s="58"/>
      <c r="V1061" s="47"/>
      <c r="W1061" s="18"/>
      <c r="X1061" s="46"/>
      <c r="Y1061" s="9"/>
      <c r="Z1061" s="46"/>
      <c r="AA1061" s="7"/>
      <c r="AB1061" s="46"/>
      <c r="AC1061" s="47"/>
      <c r="AD1061" s="7"/>
      <c r="AE1061" s="47"/>
      <c r="AF1061" s="18"/>
      <c r="AG1061" s="26"/>
      <c r="AH1061" s="34"/>
      <c r="AI1061" s="34"/>
      <c r="AJ1061" s="18"/>
      <c r="AK1061" s="48"/>
      <c r="AL1061" s="26"/>
      <c r="AM1061" s="26"/>
    </row>
    <row r="1062">
      <c r="A1062" s="51"/>
      <c r="B1062" s="51"/>
      <c r="C1062" s="52"/>
      <c r="D1062" s="51"/>
      <c r="E1062" s="53"/>
      <c r="F1062" s="54"/>
      <c r="G1062" s="51"/>
      <c r="H1062" s="51"/>
      <c r="I1062" s="55"/>
      <c r="J1062" s="56"/>
      <c r="K1062" s="46"/>
      <c r="L1062" s="46"/>
      <c r="M1062" s="47"/>
      <c r="N1062" s="46"/>
      <c r="O1062" s="57"/>
      <c r="P1062" s="46"/>
      <c r="Q1062" s="46"/>
      <c r="R1062" s="57"/>
      <c r="S1062" s="7"/>
      <c r="T1062" s="54"/>
      <c r="U1062" s="58"/>
      <c r="V1062" s="47"/>
      <c r="W1062" s="18"/>
      <c r="X1062" s="46"/>
      <c r="Y1062" s="9"/>
      <c r="Z1062" s="46"/>
      <c r="AA1062" s="7"/>
      <c r="AB1062" s="46"/>
      <c r="AC1062" s="47"/>
      <c r="AD1062" s="7"/>
      <c r="AE1062" s="47"/>
      <c r="AF1062" s="18"/>
      <c r="AG1062" s="26"/>
      <c r="AH1062" s="34"/>
      <c r="AI1062" s="34"/>
      <c r="AJ1062" s="18"/>
      <c r="AK1062" s="48"/>
      <c r="AL1062" s="26"/>
      <c r="AM1062" s="26"/>
    </row>
    <row r="1063">
      <c r="A1063" s="51"/>
      <c r="B1063" s="51"/>
      <c r="C1063" s="52"/>
      <c r="D1063" s="51"/>
      <c r="E1063" s="53"/>
      <c r="F1063" s="54"/>
      <c r="G1063" s="51"/>
      <c r="H1063" s="51"/>
      <c r="I1063" s="55"/>
      <c r="J1063" s="56"/>
      <c r="K1063" s="46"/>
      <c r="L1063" s="46"/>
      <c r="M1063" s="47"/>
      <c r="N1063" s="46"/>
      <c r="O1063" s="57"/>
      <c r="P1063" s="46"/>
      <c r="Q1063" s="46"/>
      <c r="R1063" s="57"/>
      <c r="S1063" s="7"/>
      <c r="T1063" s="54"/>
      <c r="U1063" s="58"/>
      <c r="V1063" s="47"/>
      <c r="W1063" s="18"/>
      <c r="X1063" s="46"/>
      <c r="Y1063" s="9"/>
      <c r="Z1063" s="46"/>
      <c r="AA1063" s="7"/>
      <c r="AB1063" s="46"/>
      <c r="AC1063" s="47"/>
      <c r="AD1063" s="7"/>
      <c r="AE1063" s="47"/>
      <c r="AF1063" s="18"/>
      <c r="AG1063" s="26"/>
      <c r="AH1063" s="34"/>
      <c r="AI1063" s="34"/>
      <c r="AJ1063" s="18"/>
      <c r="AK1063" s="48"/>
      <c r="AL1063" s="26"/>
      <c r="AM1063" s="26"/>
    </row>
    <row r="1064">
      <c r="A1064" s="51"/>
      <c r="B1064" s="51"/>
      <c r="C1064" s="52"/>
      <c r="D1064" s="51"/>
      <c r="E1064" s="53"/>
      <c r="F1064" s="54"/>
      <c r="G1064" s="51"/>
      <c r="H1064" s="51"/>
      <c r="I1064" s="55"/>
      <c r="J1064" s="56"/>
      <c r="K1064" s="46"/>
      <c r="L1064" s="46"/>
      <c r="M1064" s="47"/>
      <c r="N1064" s="46"/>
      <c r="O1064" s="57"/>
      <c r="P1064" s="46"/>
      <c r="Q1064" s="46"/>
      <c r="R1064" s="57"/>
      <c r="S1064" s="7"/>
      <c r="T1064" s="54"/>
      <c r="U1064" s="58"/>
      <c r="V1064" s="47"/>
      <c r="W1064" s="18"/>
      <c r="X1064" s="46"/>
      <c r="Y1064" s="9"/>
      <c r="Z1064" s="46"/>
      <c r="AA1064" s="7"/>
      <c r="AB1064" s="46"/>
      <c r="AC1064" s="47"/>
      <c r="AD1064" s="7"/>
      <c r="AE1064" s="47"/>
      <c r="AF1064" s="18"/>
      <c r="AG1064" s="26"/>
      <c r="AH1064" s="34"/>
      <c r="AI1064" s="34"/>
      <c r="AJ1064" s="18"/>
      <c r="AK1064" s="48"/>
      <c r="AL1064" s="26"/>
      <c r="AM1064" s="26"/>
    </row>
    <row r="1065">
      <c r="A1065" s="51"/>
      <c r="B1065" s="51"/>
      <c r="C1065" s="52"/>
      <c r="D1065" s="51"/>
      <c r="E1065" s="53"/>
      <c r="F1065" s="54"/>
      <c r="G1065" s="51"/>
      <c r="H1065" s="51"/>
      <c r="I1065" s="55"/>
      <c r="J1065" s="56"/>
      <c r="K1065" s="46"/>
      <c r="L1065" s="46"/>
      <c r="M1065" s="47"/>
      <c r="N1065" s="46"/>
      <c r="O1065" s="57"/>
      <c r="P1065" s="46"/>
      <c r="Q1065" s="46"/>
      <c r="R1065" s="57"/>
      <c r="S1065" s="7"/>
      <c r="T1065" s="54"/>
      <c r="U1065" s="58"/>
      <c r="V1065" s="47"/>
      <c r="W1065" s="18"/>
      <c r="X1065" s="46"/>
      <c r="Y1065" s="9"/>
      <c r="Z1065" s="46"/>
      <c r="AA1065" s="7"/>
      <c r="AB1065" s="46"/>
      <c r="AC1065" s="47"/>
      <c r="AD1065" s="7"/>
      <c r="AE1065" s="47"/>
      <c r="AF1065" s="18"/>
      <c r="AG1065" s="26"/>
      <c r="AH1065" s="34"/>
      <c r="AI1065" s="34"/>
      <c r="AJ1065" s="18"/>
      <c r="AK1065" s="48"/>
      <c r="AL1065" s="26"/>
      <c r="AM1065" s="26"/>
    </row>
    <row r="1066">
      <c r="A1066" s="51"/>
      <c r="B1066" s="51"/>
      <c r="C1066" s="52"/>
      <c r="D1066" s="51"/>
      <c r="E1066" s="53"/>
      <c r="F1066" s="54"/>
      <c r="G1066" s="51"/>
      <c r="H1066" s="51"/>
      <c r="I1066" s="55"/>
      <c r="J1066" s="56"/>
      <c r="K1066" s="46"/>
      <c r="L1066" s="46"/>
      <c r="M1066" s="47"/>
      <c r="N1066" s="46"/>
      <c r="O1066" s="57"/>
      <c r="P1066" s="46"/>
      <c r="Q1066" s="46"/>
      <c r="R1066" s="57"/>
      <c r="S1066" s="7"/>
      <c r="T1066" s="54"/>
      <c r="U1066" s="58"/>
      <c r="V1066" s="47"/>
      <c r="W1066" s="18"/>
      <c r="X1066" s="46"/>
      <c r="Y1066" s="9"/>
      <c r="Z1066" s="46"/>
      <c r="AA1066" s="7"/>
      <c r="AB1066" s="46"/>
      <c r="AC1066" s="47"/>
      <c r="AD1066" s="7"/>
      <c r="AE1066" s="47"/>
      <c r="AF1066" s="18"/>
      <c r="AG1066" s="26"/>
      <c r="AH1066" s="34"/>
      <c r="AI1066" s="34"/>
      <c r="AJ1066" s="18"/>
      <c r="AK1066" s="48"/>
      <c r="AL1066" s="26"/>
      <c r="AM1066" s="26"/>
    </row>
    <row r="1067">
      <c r="A1067" s="51"/>
      <c r="B1067" s="51"/>
      <c r="C1067" s="52"/>
      <c r="D1067" s="51"/>
      <c r="E1067" s="53"/>
      <c r="F1067" s="54"/>
      <c r="G1067" s="51"/>
      <c r="H1067" s="51"/>
      <c r="I1067" s="55"/>
      <c r="J1067" s="56"/>
      <c r="K1067" s="46"/>
      <c r="L1067" s="46"/>
      <c r="M1067" s="47"/>
      <c r="N1067" s="46"/>
      <c r="O1067" s="57"/>
      <c r="P1067" s="46"/>
      <c r="Q1067" s="46"/>
      <c r="R1067" s="57"/>
      <c r="S1067" s="7"/>
      <c r="T1067" s="54"/>
      <c r="U1067" s="58"/>
      <c r="V1067" s="47"/>
      <c r="W1067" s="18"/>
      <c r="X1067" s="46"/>
      <c r="Y1067" s="9"/>
      <c r="Z1067" s="46"/>
      <c r="AA1067" s="7"/>
      <c r="AB1067" s="46"/>
      <c r="AC1067" s="47"/>
      <c r="AD1067" s="7"/>
      <c r="AE1067" s="47"/>
      <c r="AF1067" s="18"/>
      <c r="AG1067" s="26"/>
      <c r="AH1067" s="34"/>
      <c r="AI1067" s="34"/>
      <c r="AJ1067" s="18"/>
      <c r="AK1067" s="48"/>
      <c r="AL1067" s="26"/>
      <c r="AM1067" s="26"/>
    </row>
    <row r="1068">
      <c r="A1068" s="51"/>
      <c r="B1068" s="51"/>
      <c r="C1068" s="52"/>
      <c r="D1068" s="51"/>
      <c r="E1068" s="53"/>
      <c r="F1068" s="54"/>
      <c r="G1068" s="51"/>
      <c r="H1068" s="51"/>
      <c r="I1068" s="55"/>
      <c r="J1068" s="56"/>
      <c r="K1068" s="46"/>
      <c r="L1068" s="46"/>
      <c r="M1068" s="47"/>
      <c r="N1068" s="46"/>
      <c r="O1068" s="57"/>
      <c r="P1068" s="46"/>
      <c r="Q1068" s="46"/>
      <c r="R1068" s="57"/>
      <c r="S1068" s="7"/>
      <c r="T1068" s="54"/>
      <c r="U1068" s="58"/>
      <c r="V1068" s="47"/>
      <c r="W1068" s="18"/>
      <c r="X1068" s="46"/>
      <c r="Y1068" s="9"/>
      <c r="Z1068" s="46"/>
      <c r="AA1068" s="7"/>
      <c r="AB1068" s="46"/>
      <c r="AC1068" s="47"/>
      <c r="AD1068" s="7"/>
      <c r="AE1068" s="47"/>
      <c r="AF1068" s="18"/>
      <c r="AG1068" s="26"/>
      <c r="AH1068" s="34"/>
      <c r="AI1068" s="34"/>
      <c r="AJ1068" s="18"/>
      <c r="AK1068" s="48"/>
      <c r="AL1068" s="26"/>
      <c r="AM1068" s="26"/>
    </row>
    <row r="1069">
      <c r="A1069" s="51"/>
      <c r="B1069" s="51"/>
      <c r="C1069" s="52"/>
      <c r="D1069" s="51"/>
      <c r="E1069" s="53"/>
      <c r="F1069" s="54"/>
      <c r="G1069" s="51"/>
      <c r="H1069" s="51"/>
      <c r="I1069" s="55"/>
      <c r="J1069" s="56"/>
      <c r="K1069" s="46"/>
      <c r="L1069" s="46"/>
      <c r="M1069" s="47"/>
      <c r="N1069" s="46"/>
      <c r="O1069" s="57"/>
      <c r="P1069" s="46"/>
      <c r="Q1069" s="46"/>
      <c r="R1069" s="57"/>
      <c r="S1069" s="7"/>
      <c r="T1069" s="54"/>
      <c r="U1069" s="58"/>
      <c r="V1069" s="47"/>
      <c r="W1069" s="18"/>
      <c r="X1069" s="46"/>
      <c r="Y1069" s="9"/>
      <c r="Z1069" s="46"/>
      <c r="AA1069" s="7"/>
      <c r="AB1069" s="46"/>
      <c r="AC1069" s="47"/>
      <c r="AD1069" s="7"/>
      <c r="AE1069" s="47"/>
      <c r="AF1069" s="18"/>
      <c r="AG1069" s="26"/>
      <c r="AH1069" s="34"/>
      <c r="AI1069" s="34"/>
      <c r="AJ1069" s="18"/>
      <c r="AK1069" s="48"/>
      <c r="AL1069" s="26"/>
      <c r="AM1069" s="26"/>
    </row>
    <row r="1070">
      <c r="A1070" s="51"/>
      <c r="B1070" s="51"/>
      <c r="C1070" s="52"/>
      <c r="D1070" s="51"/>
      <c r="E1070" s="53"/>
      <c r="F1070" s="54"/>
      <c r="G1070" s="51"/>
      <c r="H1070" s="51"/>
      <c r="I1070" s="55"/>
      <c r="J1070" s="56"/>
      <c r="K1070" s="46"/>
      <c r="L1070" s="46"/>
      <c r="M1070" s="47"/>
      <c r="N1070" s="46"/>
      <c r="O1070" s="57"/>
      <c r="P1070" s="46"/>
      <c r="Q1070" s="46"/>
      <c r="R1070" s="57"/>
      <c r="S1070" s="7"/>
      <c r="T1070" s="54"/>
      <c r="U1070" s="58"/>
      <c r="V1070" s="47"/>
      <c r="W1070" s="18"/>
      <c r="X1070" s="46"/>
      <c r="Y1070" s="9"/>
      <c r="Z1070" s="46"/>
      <c r="AA1070" s="7"/>
      <c r="AB1070" s="46"/>
      <c r="AC1070" s="47"/>
      <c r="AD1070" s="7"/>
      <c r="AE1070" s="47"/>
      <c r="AF1070" s="18"/>
      <c r="AG1070" s="26"/>
      <c r="AH1070" s="34"/>
      <c r="AI1070" s="34"/>
      <c r="AJ1070" s="18"/>
      <c r="AK1070" s="48"/>
      <c r="AL1070" s="26"/>
      <c r="AM1070" s="26"/>
    </row>
    <row r="1071">
      <c r="A1071" s="51"/>
      <c r="B1071" s="51"/>
      <c r="C1071" s="52"/>
      <c r="D1071" s="51"/>
      <c r="E1071" s="53"/>
      <c r="F1071" s="54"/>
      <c r="G1071" s="51"/>
      <c r="H1071" s="51"/>
      <c r="I1071" s="55"/>
      <c r="J1071" s="56"/>
      <c r="K1071" s="46"/>
      <c r="L1071" s="46"/>
      <c r="M1071" s="47"/>
      <c r="N1071" s="46"/>
      <c r="O1071" s="57"/>
      <c r="P1071" s="46"/>
      <c r="Q1071" s="46"/>
      <c r="R1071" s="57"/>
      <c r="S1071" s="7"/>
      <c r="T1071" s="54"/>
      <c r="U1071" s="58"/>
      <c r="V1071" s="47"/>
      <c r="W1071" s="18"/>
      <c r="X1071" s="46"/>
      <c r="Y1071" s="9"/>
      <c r="Z1071" s="46"/>
      <c r="AA1071" s="7"/>
      <c r="AB1071" s="46"/>
      <c r="AC1071" s="47"/>
      <c r="AD1071" s="7"/>
      <c r="AE1071" s="47"/>
      <c r="AF1071" s="18"/>
      <c r="AG1071" s="26"/>
      <c r="AH1071" s="34"/>
      <c r="AI1071" s="34"/>
      <c r="AJ1071" s="18"/>
      <c r="AK1071" s="48"/>
      <c r="AL1071" s="26"/>
      <c r="AM1071" s="26"/>
    </row>
    <row r="1072">
      <c r="A1072" s="51"/>
      <c r="B1072" s="51"/>
      <c r="C1072" s="52"/>
      <c r="D1072" s="51"/>
      <c r="E1072" s="53"/>
      <c r="F1072" s="54"/>
      <c r="G1072" s="51"/>
      <c r="H1072" s="51"/>
      <c r="I1072" s="55"/>
      <c r="J1072" s="56"/>
      <c r="K1072" s="46"/>
      <c r="L1072" s="46"/>
      <c r="M1072" s="47"/>
      <c r="N1072" s="46"/>
      <c r="O1072" s="57"/>
      <c r="P1072" s="46"/>
      <c r="Q1072" s="46"/>
      <c r="R1072" s="57"/>
      <c r="S1072" s="7"/>
      <c r="T1072" s="54"/>
      <c r="U1072" s="58"/>
      <c r="V1072" s="47"/>
      <c r="W1072" s="18"/>
      <c r="X1072" s="46"/>
      <c r="Y1072" s="9"/>
      <c r="Z1072" s="46"/>
      <c r="AA1072" s="7"/>
      <c r="AB1072" s="46"/>
      <c r="AC1072" s="47"/>
      <c r="AD1072" s="7"/>
      <c r="AE1072" s="47"/>
      <c r="AF1072" s="18"/>
      <c r="AG1072" s="26"/>
      <c r="AH1072" s="34"/>
      <c r="AI1072" s="34"/>
      <c r="AJ1072" s="18"/>
      <c r="AK1072" s="48"/>
      <c r="AL1072" s="26"/>
      <c r="AM1072" s="26"/>
    </row>
    <row r="1073">
      <c r="A1073" s="51"/>
      <c r="B1073" s="51"/>
      <c r="C1073" s="52"/>
      <c r="D1073" s="51"/>
      <c r="E1073" s="53"/>
      <c r="F1073" s="54"/>
      <c r="G1073" s="51"/>
      <c r="H1073" s="51"/>
      <c r="I1073" s="55"/>
      <c r="J1073" s="56"/>
      <c r="K1073" s="46"/>
      <c r="L1073" s="46"/>
      <c r="M1073" s="47"/>
      <c r="N1073" s="46"/>
      <c r="O1073" s="57"/>
      <c r="P1073" s="46"/>
      <c r="Q1073" s="46"/>
      <c r="R1073" s="57"/>
      <c r="S1073" s="7"/>
      <c r="T1073" s="54"/>
      <c r="U1073" s="58"/>
      <c r="V1073" s="47"/>
      <c r="W1073" s="18"/>
      <c r="X1073" s="46"/>
      <c r="Y1073" s="9"/>
      <c r="Z1073" s="46"/>
      <c r="AA1073" s="7"/>
      <c r="AB1073" s="46"/>
      <c r="AC1073" s="47"/>
      <c r="AD1073" s="7"/>
      <c r="AE1073" s="47"/>
      <c r="AF1073" s="18"/>
      <c r="AG1073" s="26"/>
      <c r="AH1073" s="34"/>
      <c r="AI1073" s="34"/>
      <c r="AJ1073" s="18"/>
      <c r="AK1073" s="48"/>
      <c r="AL1073" s="26"/>
      <c r="AM1073" s="26"/>
    </row>
    <row r="1074">
      <c r="A1074" s="51"/>
      <c r="B1074" s="51"/>
      <c r="C1074" s="52"/>
      <c r="D1074" s="51"/>
      <c r="E1074" s="53"/>
      <c r="F1074" s="54"/>
      <c r="G1074" s="51"/>
      <c r="H1074" s="51"/>
      <c r="I1074" s="55"/>
      <c r="J1074" s="56"/>
      <c r="K1074" s="46"/>
      <c r="L1074" s="46"/>
      <c r="M1074" s="47"/>
      <c r="N1074" s="46"/>
      <c r="O1074" s="57"/>
      <c r="P1074" s="46"/>
      <c r="Q1074" s="46"/>
      <c r="R1074" s="57"/>
      <c r="S1074" s="7"/>
      <c r="T1074" s="54"/>
      <c r="U1074" s="58"/>
      <c r="V1074" s="47"/>
      <c r="W1074" s="18"/>
      <c r="X1074" s="46"/>
      <c r="Y1074" s="9"/>
      <c r="Z1074" s="46"/>
      <c r="AA1074" s="7"/>
      <c r="AB1074" s="46"/>
      <c r="AC1074" s="47"/>
      <c r="AD1074" s="7"/>
      <c r="AE1074" s="47"/>
      <c r="AF1074" s="18"/>
      <c r="AG1074" s="26"/>
      <c r="AH1074" s="34"/>
      <c r="AI1074" s="34"/>
      <c r="AJ1074" s="18"/>
      <c r="AK1074" s="48"/>
      <c r="AL1074" s="26"/>
      <c r="AM1074" s="26"/>
    </row>
    <row r="1075">
      <c r="A1075" s="51"/>
      <c r="B1075" s="51"/>
      <c r="C1075" s="52"/>
      <c r="D1075" s="51"/>
      <c r="E1075" s="53"/>
      <c r="F1075" s="54"/>
      <c r="G1075" s="51"/>
      <c r="H1075" s="51"/>
      <c r="I1075" s="55"/>
      <c r="J1075" s="56"/>
      <c r="K1075" s="46"/>
      <c r="L1075" s="46"/>
      <c r="M1075" s="47"/>
      <c r="N1075" s="46"/>
      <c r="O1075" s="57"/>
      <c r="P1075" s="46"/>
      <c r="Q1075" s="46"/>
      <c r="R1075" s="57"/>
      <c r="S1075" s="7"/>
      <c r="T1075" s="54"/>
      <c r="U1075" s="58"/>
      <c r="V1075" s="47"/>
      <c r="W1075" s="18"/>
      <c r="X1075" s="46"/>
      <c r="Y1075" s="9"/>
      <c r="Z1075" s="46"/>
      <c r="AA1075" s="7"/>
      <c r="AB1075" s="46"/>
      <c r="AC1075" s="47"/>
      <c r="AD1075" s="7"/>
      <c r="AE1075" s="47"/>
      <c r="AF1075" s="18"/>
      <c r="AG1075" s="26"/>
      <c r="AH1075" s="34"/>
      <c r="AI1075" s="34"/>
      <c r="AJ1075" s="18"/>
      <c r="AK1075" s="48"/>
      <c r="AL1075" s="26"/>
      <c r="AM1075" s="26"/>
    </row>
    <row r="1076">
      <c r="A1076" s="51"/>
      <c r="B1076" s="51"/>
      <c r="C1076" s="52"/>
      <c r="D1076" s="51"/>
      <c r="E1076" s="53"/>
      <c r="F1076" s="54"/>
      <c r="G1076" s="51"/>
      <c r="H1076" s="51"/>
      <c r="I1076" s="55"/>
      <c r="J1076" s="56"/>
      <c r="K1076" s="46"/>
      <c r="L1076" s="46"/>
      <c r="M1076" s="47"/>
      <c r="N1076" s="46"/>
      <c r="O1076" s="57"/>
      <c r="P1076" s="46"/>
      <c r="Q1076" s="46"/>
      <c r="R1076" s="57"/>
      <c r="S1076" s="7"/>
      <c r="T1076" s="54"/>
      <c r="U1076" s="58"/>
      <c r="V1076" s="47"/>
      <c r="W1076" s="18"/>
      <c r="X1076" s="46"/>
      <c r="Y1076" s="9"/>
      <c r="Z1076" s="46"/>
      <c r="AA1076" s="7"/>
      <c r="AB1076" s="46"/>
      <c r="AC1076" s="47"/>
      <c r="AD1076" s="7"/>
      <c r="AE1076" s="47"/>
      <c r="AF1076" s="18"/>
      <c r="AG1076" s="26"/>
      <c r="AH1076" s="34"/>
      <c r="AI1076" s="34"/>
      <c r="AJ1076" s="18"/>
      <c r="AK1076" s="48"/>
      <c r="AL1076" s="26"/>
      <c r="AM1076" s="26"/>
    </row>
    <row r="1077">
      <c r="A1077" s="51"/>
      <c r="B1077" s="51"/>
      <c r="C1077" s="52"/>
      <c r="D1077" s="51"/>
      <c r="E1077" s="53"/>
      <c r="F1077" s="54"/>
      <c r="G1077" s="51"/>
      <c r="H1077" s="51"/>
      <c r="I1077" s="55"/>
      <c r="J1077" s="56"/>
      <c r="K1077" s="46"/>
      <c r="L1077" s="46"/>
      <c r="M1077" s="47"/>
      <c r="N1077" s="46"/>
      <c r="O1077" s="57"/>
      <c r="P1077" s="46"/>
      <c r="Q1077" s="46"/>
      <c r="R1077" s="57"/>
      <c r="S1077" s="7"/>
      <c r="T1077" s="54"/>
      <c r="U1077" s="58"/>
      <c r="V1077" s="47"/>
      <c r="W1077" s="18"/>
      <c r="X1077" s="46"/>
      <c r="Y1077" s="9"/>
      <c r="Z1077" s="46"/>
      <c r="AA1077" s="7"/>
      <c r="AB1077" s="46"/>
      <c r="AC1077" s="47"/>
      <c r="AD1077" s="7"/>
      <c r="AE1077" s="47"/>
      <c r="AF1077" s="18"/>
      <c r="AG1077" s="26"/>
      <c r="AH1077" s="34"/>
      <c r="AI1077" s="34"/>
      <c r="AJ1077" s="18"/>
      <c r="AK1077" s="48"/>
      <c r="AL1077" s="26"/>
      <c r="AM1077" s="26"/>
    </row>
    <row r="1078">
      <c r="A1078" s="51"/>
      <c r="B1078" s="51"/>
      <c r="C1078" s="52"/>
      <c r="D1078" s="51"/>
      <c r="E1078" s="53"/>
      <c r="F1078" s="54"/>
      <c r="G1078" s="51"/>
      <c r="H1078" s="51"/>
      <c r="I1078" s="55"/>
      <c r="J1078" s="56"/>
      <c r="K1078" s="46"/>
      <c r="L1078" s="46"/>
      <c r="M1078" s="47"/>
      <c r="N1078" s="46"/>
      <c r="O1078" s="57"/>
      <c r="P1078" s="46"/>
      <c r="Q1078" s="46"/>
      <c r="R1078" s="57"/>
      <c r="S1078" s="7"/>
      <c r="T1078" s="54"/>
      <c r="U1078" s="58"/>
      <c r="V1078" s="47"/>
      <c r="W1078" s="18"/>
      <c r="X1078" s="46"/>
      <c r="Y1078" s="9"/>
      <c r="Z1078" s="46"/>
      <c r="AA1078" s="7"/>
      <c r="AB1078" s="46"/>
      <c r="AC1078" s="47"/>
      <c r="AD1078" s="7"/>
      <c r="AE1078" s="47"/>
      <c r="AF1078" s="18"/>
      <c r="AG1078" s="26"/>
      <c r="AH1078" s="34"/>
      <c r="AI1078" s="34"/>
      <c r="AJ1078" s="18"/>
      <c r="AK1078" s="48"/>
      <c r="AL1078" s="26"/>
      <c r="AM1078" s="26"/>
    </row>
    <row r="1079">
      <c r="A1079" s="51"/>
      <c r="B1079" s="51"/>
      <c r="C1079" s="52"/>
      <c r="D1079" s="51"/>
      <c r="E1079" s="53"/>
      <c r="F1079" s="54"/>
      <c r="G1079" s="51"/>
      <c r="H1079" s="51"/>
      <c r="I1079" s="55"/>
      <c r="J1079" s="56"/>
      <c r="K1079" s="46"/>
      <c r="L1079" s="46"/>
      <c r="M1079" s="47"/>
      <c r="N1079" s="46"/>
      <c r="O1079" s="57"/>
      <c r="P1079" s="46"/>
      <c r="Q1079" s="46"/>
      <c r="R1079" s="57"/>
      <c r="S1079" s="7"/>
      <c r="T1079" s="54"/>
      <c r="U1079" s="58"/>
      <c r="V1079" s="47"/>
      <c r="W1079" s="18"/>
      <c r="X1079" s="46"/>
      <c r="Y1079" s="9"/>
      <c r="Z1079" s="46"/>
      <c r="AA1079" s="7"/>
      <c r="AB1079" s="46"/>
      <c r="AC1079" s="47"/>
      <c r="AD1079" s="7"/>
      <c r="AE1079" s="47"/>
      <c r="AF1079" s="18"/>
      <c r="AG1079" s="26"/>
      <c r="AH1079" s="34"/>
      <c r="AI1079" s="34"/>
      <c r="AJ1079" s="18"/>
      <c r="AK1079" s="48"/>
      <c r="AL1079" s="26"/>
      <c r="AM1079" s="26"/>
    </row>
    <row r="1080">
      <c r="A1080" s="51"/>
      <c r="B1080" s="51"/>
      <c r="C1080" s="52"/>
      <c r="D1080" s="51"/>
      <c r="E1080" s="53"/>
      <c r="F1080" s="54"/>
      <c r="G1080" s="51"/>
      <c r="H1080" s="51"/>
      <c r="I1080" s="55"/>
      <c r="J1080" s="56"/>
      <c r="K1080" s="46"/>
      <c r="L1080" s="46"/>
      <c r="M1080" s="47"/>
      <c r="N1080" s="46"/>
      <c r="O1080" s="57"/>
      <c r="P1080" s="46"/>
      <c r="Q1080" s="46"/>
      <c r="R1080" s="57"/>
      <c r="S1080" s="7"/>
      <c r="T1080" s="54"/>
      <c r="U1080" s="58"/>
      <c r="V1080" s="47"/>
      <c r="W1080" s="18"/>
      <c r="X1080" s="46"/>
      <c r="Y1080" s="9"/>
      <c r="Z1080" s="46"/>
      <c r="AA1080" s="7"/>
      <c r="AB1080" s="46"/>
      <c r="AC1080" s="47"/>
      <c r="AD1080" s="7"/>
      <c r="AE1080" s="47"/>
      <c r="AF1080" s="18"/>
      <c r="AG1080" s="26"/>
      <c r="AH1080" s="34"/>
      <c r="AI1080" s="34"/>
      <c r="AJ1080" s="18"/>
      <c r="AK1080" s="48"/>
      <c r="AL1080" s="26"/>
      <c r="AM1080" s="26"/>
    </row>
    <row r="1081">
      <c r="A1081" s="51"/>
      <c r="B1081" s="51"/>
      <c r="C1081" s="52"/>
      <c r="D1081" s="51"/>
      <c r="E1081" s="53"/>
      <c r="F1081" s="54"/>
      <c r="G1081" s="51"/>
      <c r="H1081" s="51"/>
      <c r="I1081" s="55"/>
      <c r="J1081" s="56"/>
      <c r="K1081" s="46"/>
      <c r="L1081" s="46"/>
      <c r="M1081" s="47"/>
      <c r="N1081" s="46"/>
      <c r="O1081" s="57"/>
      <c r="P1081" s="46"/>
      <c r="Q1081" s="46"/>
      <c r="R1081" s="57"/>
      <c r="S1081" s="7"/>
      <c r="T1081" s="54"/>
      <c r="U1081" s="58"/>
      <c r="V1081" s="47"/>
      <c r="W1081" s="18"/>
      <c r="X1081" s="46"/>
      <c r="Y1081" s="9"/>
      <c r="Z1081" s="46"/>
      <c r="AA1081" s="7"/>
      <c r="AB1081" s="46"/>
      <c r="AC1081" s="47"/>
      <c r="AD1081" s="7"/>
      <c r="AE1081" s="47"/>
      <c r="AF1081" s="18"/>
      <c r="AG1081" s="26"/>
      <c r="AH1081" s="34"/>
      <c r="AI1081" s="34"/>
      <c r="AJ1081" s="18"/>
      <c r="AK1081" s="48"/>
      <c r="AL1081" s="26"/>
      <c r="AM1081" s="26"/>
    </row>
    <row r="1082">
      <c r="A1082" s="51"/>
      <c r="B1082" s="51"/>
      <c r="C1082" s="52"/>
      <c r="D1082" s="51"/>
      <c r="E1082" s="53"/>
      <c r="F1082" s="54"/>
      <c r="G1082" s="51"/>
      <c r="H1082" s="51"/>
      <c r="I1082" s="55"/>
      <c r="J1082" s="56"/>
      <c r="K1082" s="46"/>
      <c r="L1082" s="46"/>
      <c r="M1082" s="47"/>
      <c r="N1082" s="46"/>
      <c r="O1082" s="57"/>
      <c r="P1082" s="46"/>
      <c r="Q1082" s="46"/>
      <c r="R1082" s="57"/>
      <c r="S1082" s="7"/>
      <c r="T1082" s="54"/>
      <c r="U1082" s="58"/>
      <c r="V1082" s="47"/>
      <c r="W1082" s="18"/>
      <c r="X1082" s="46"/>
      <c r="Y1082" s="9"/>
      <c r="Z1082" s="46"/>
      <c r="AA1082" s="7"/>
      <c r="AB1082" s="46"/>
      <c r="AC1082" s="47"/>
      <c r="AD1082" s="7"/>
      <c r="AE1082" s="47"/>
      <c r="AF1082" s="18"/>
      <c r="AG1082" s="26"/>
      <c r="AH1082" s="34"/>
      <c r="AI1082" s="34"/>
      <c r="AJ1082" s="18"/>
      <c r="AK1082" s="48"/>
      <c r="AL1082" s="26"/>
      <c r="AM1082" s="26"/>
    </row>
    <row r="1083">
      <c r="A1083" s="51"/>
      <c r="B1083" s="51"/>
      <c r="C1083" s="52"/>
      <c r="D1083" s="51"/>
      <c r="E1083" s="53"/>
      <c r="F1083" s="54"/>
      <c r="G1083" s="51"/>
      <c r="H1083" s="51"/>
      <c r="I1083" s="55"/>
      <c r="J1083" s="56"/>
      <c r="K1083" s="46"/>
      <c r="L1083" s="46"/>
      <c r="M1083" s="47"/>
      <c r="N1083" s="46"/>
      <c r="O1083" s="57"/>
      <c r="P1083" s="46"/>
      <c r="Q1083" s="46"/>
      <c r="R1083" s="57"/>
      <c r="S1083" s="7"/>
      <c r="T1083" s="54"/>
      <c r="U1083" s="58"/>
      <c r="V1083" s="47"/>
      <c r="W1083" s="18"/>
      <c r="X1083" s="46"/>
      <c r="Y1083" s="9"/>
      <c r="Z1083" s="46"/>
      <c r="AA1083" s="7"/>
      <c r="AB1083" s="46"/>
      <c r="AC1083" s="47"/>
      <c r="AD1083" s="7"/>
      <c r="AE1083" s="47"/>
      <c r="AF1083" s="18"/>
      <c r="AG1083" s="26"/>
      <c r="AH1083" s="34"/>
      <c r="AI1083" s="34"/>
      <c r="AJ1083" s="18"/>
      <c r="AK1083" s="48"/>
      <c r="AL1083" s="26"/>
      <c r="AM1083" s="26"/>
    </row>
    <row r="1084">
      <c r="A1084" s="51"/>
      <c r="B1084" s="51"/>
      <c r="C1084" s="52"/>
      <c r="D1084" s="51"/>
      <c r="E1084" s="53"/>
      <c r="F1084" s="54"/>
      <c r="G1084" s="51"/>
      <c r="H1084" s="51"/>
      <c r="I1084" s="55"/>
      <c r="J1084" s="56"/>
      <c r="K1084" s="46"/>
      <c r="L1084" s="46"/>
      <c r="M1084" s="47"/>
      <c r="N1084" s="46"/>
      <c r="O1084" s="57"/>
      <c r="P1084" s="46"/>
      <c r="Q1084" s="46"/>
      <c r="R1084" s="57"/>
      <c r="S1084" s="7"/>
      <c r="T1084" s="54"/>
      <c r="U1084" s="58"/>
      <c r="V1084" s="47"/>
      <c r="W1084" s="18"/>
      <c r="X1084" s="46"/>
      <c r="Y1084" s="9"/>
      <c r="Z1084" s="46"/>
      <c r="AA1084" s="7"/>
      <c r="AB1084" s="46"/>
      <c r="AC1084" s="47"/>
      <c r="AD1084" s="7"/>
      <c r="AE1084" s="47"/>
      <c r="AF1084" s="18"/>
      <c r="AG1084" s="26"/>
      <c r="AH1084" s="34"/>
      <c r="AI1084" s="34"/>
      <c r="AJ1084" s="18"/>
      <c r="AK1084" s="48"/>
      <c r="AL1084" s="26"/>
      <c r="AM1084" s="26"/>
    </row>
    <row r="1085">
      <c r="A1085" s="51"/>
      <c r="B1085" s="51"/>
      <c r="C1085" s="52"/>
      <c r="D1085" s="51"/>
      <c r="E1085" s="53"/>
      <c r="F1085" s="54"/>
      <c r="G1085" s="51"/>
      <c r="H1085" s="51"/>
      <c r="I1085" s="55"/>
      <c r="J1085" s="56"/>
      <c r="K1085" s="46"/>
      <c r="L1085" s="46"/>
      <c r="M1085" s="47"/>
      <c r="N1085" s="46"/>
      <c r="O1085" s="57"/>
      <c r="P1085" s="46"/>
      <c r="Q1085" s="46"/>
      <c r="R1085" s="57"/>
      <c r="S1085" s="7"/>
      <c r="T1085" s="54"/>
      <c r="U1085" s="58"/>
      <c r="V1085" s="47"/>
      <c r="W1085" s="18"/>
      <c r="X1085" s="46"/>
      <c r="Y1085" s="9"/>
      <c r="Z1085" s="46"/>
      <c r="AA1085" s="7"/>
      <c r="AB1085" s="46"/>
      <c r="AC1085" s="47"/>
      <c r="AD1085" s="7"/>
      <c r="AE1085" s="47"/>
      <c r="AF1085" s="18"/>
      <c r="AG1085" s="26"/>
      <c r="AH1085" s="34"/>
      <c r="AI1085" s="34"/>
      <c r="AJ1085" s="18"/>
      <c r="AK1085" s="48"/>
      <c r="AL1085" s="26"/>
      <c r="AM1085" s="26"/>
    </row>
    <row r="1086">
      <c r="A1086" s="51"/>
      <c r="B1086" s="51"/>
      <c r="C1086" s="52"/>
      <c r="D1086" s="51"/>
      <c r="E1086" s="53"/>
      <c r="F1086" s="54"/>
      <c r="G1086" s="51"/>
      <c r="H1086" s="51"/>
      <c r="I1086" s="55"/>
      <c r="J1086" s="56"/>
      <c r="K1086" s="46"/>
      <c r="L1086" s="46"/>
      <c r="M1086" s="47"/>
      <c r="N1086" s="46"/>
      <c r="O1086" s="57"/>
      <c r="P1086" s="46"/>
      <c r="Q1086" s="46"/>
      <c r="R1086" s="57"/>
      <c r="S1086" s="7"/>
      <c r="T1086" s="54"/>
      <c r="U1086" s="58"/>
      <c r="V1086" s="47"/>
      <c r="W1086" s="18"/>
      <c r="X1086" s="46"/>
      <c r="Y1086" s="9"/>
      <c r="Z1086" s="46"/>
      <c r="AA1086" s="7"/>
      <c r="AB1086" s="46"/>
      <c r="AC1086" s="47"/>
      <c r="AD1086" s="7"/>
      <c r="AE1086" s="47"/>
      <c r="AF1086" s="18"/>
      <c r="AG1086" s="26"/>
      <c r="AH1086" s="34"/>
      <c r="AI1086" s="34"/>
      <c r="AJ1086" s="18"/>
      <c r="AK1086" s="48"/>
      <c r="AL1086" s="26"/>
      <c r="AM1086" s="26"/>
    </row>
    <row r="1087">
      <c r="A1087" s="51"/>
      <c r="B1087" s="51"/>
      <c r="C1087" s="52"/>
      <c r="D1087" s="51"/>
      <c r="E1087" s="53"/>
      <c r="F1087" s="54"/>
      <c r="G1087" s="51"/>
      <c r="H1087" s="51"/>
      <c r="I1087" s="55"/>
      <c r="J1087" s="56"/>
      <c r="K1087" s="46"/>
      <c r="L1087" s="46"/>
      <c r="M1087" s="47"/>
      <c r="N1087" s="46"/>
      <c r="O1087" s="57"/>
      <c r="P1087" s="46"/>
      <c r="Q1087" s="46"/>
      <c r="R1087" s="57"/>
      <c r="S1087" s="7"/>
      <c r="T1087" s="54"/>
      <c r="U1087" s="58"/>
      <c r="V1087" s="47"/>
      <c r="W1087" s="18"/>
      <c r="X1087" s="46"/>
      <c r="Y1087" s="9"/>
      <c r="Z1087" s="46"/>
      <c r="AA1087" s="7"/>
      <c r="AB1087" s="46"/>
      <c r="AC1087" s="47"/>
      <c r="AD1087" s="7"/>
      <c r="AE1087" s="47"/>
      <c r="AF1087" s="18"/>
      <c r="AG1087" s="26"/>
      <c r="AH1087" s="34"/>
      <c r="AI1087" s="34"/>
      <c r="AJ1087" s="18"/>
      <c r="AK1087" s="48"/>
      <c r="AL1087" s="26"/>
      <c r="AM1087" s="26"/>
    </row>
    <row r="1088">
      <c r="A1088" s="51"/>
      <c r="B1088" s="51"/>
      <c r="C1088" s="52"/>
      <c r="D1088" s="51"/>
      <c r="E1088" s="53"/>
      <c r="F1088" s="54"/>
      <c r="G1088" s="51"/>
      <c r="H1088" s="51"/>
      <c r="I1088" s="55"/>
      <c r="J1088" s="56"/>
      <c r="K1088" s="46"/>
      <c r="L1088" s="46"/>
      <c r="M1088" s="47"/>
      <c r="N1088" s="46"/>
      <c r="O1088" s="57"/>
      <c r="P1088" s="46"/>
      <c r="Q1088" s="46"/>
      <c r="R1088" s="57"/>
      <c r="S1088" s="7"/>
      <c r="T1088" s="54"/>
      <c r="U1088" s="58"/>
      <c r="V1088" s="47"/>
      <c r="W1088" s="18"/>
      <c r="X1088" s="46"/>
      <c r="Y1088" s="9"/>
      <c r="Z1088" s="46"/>
      <c r="AA1088" s="7"/>
      <c r="AB1088" s="46"/>
      <c r="AC1088" s="47"/>
      <c r="AD1088" s="7"/>
      <c r="AE1088" s="47"/>
      <c r="AF1088" s="18"/>
      <c r="AG1088" s="26"/>
      <c r="AH1088" s="34"/>
      <c r="AI1088" s="34"/>
      <c r="AJ1088" s="18"/>
      <c r="AK1088" s="48"/>
      <c r="AL1088" s="26"/>
      <c r="AM1088" s="26"/>
    </row>
    <row r="1089">
      <c r="A1089" s="51"/>
      <c r="B1089" s="51"/>
      <c r="C1089" s="52"/>
      <c r="D1089" s="51"/>
      <c r="E1089" s="53"/>
      <c r="F1089" s="54"/>
      <c r="G1089" s="51"/>
      <c r="H1089" s="51"/>
      <c r="I1089" s="55"/>
      <c r="J1089" s="56"/>
      <c r="K1089" s="46"/>
      <c r="L1089" s="46"/>
      <c r="M1089" s="47"/>
      <c r="N1089" s="46"/>
      <c r="O1089" s="57"/>
      <c r="P1089" s="46"/>
      <c r="Q1089" s="46"/>
      <c r="R1089" s="57"/>
      <c r="S1089" s="7"/>
      <c r="T1089" s="54"/>
      <c r="U1089" s="58"/>
      <c r="V1089" s="47"/>
      <c r="W1089" s="18"/>
      <c r="X1089" s="46"/>
      <c r="Y1089" s="9"/>
      <c r="Z1089" s="46"/>
      <c r="AA1089" s="7"/>
      <c r="AB1089" s="46"/>
      <c r="AC1089" s="47"/>
      <c r="AD1089" s="7"/>
      <c r="AE1089" s="47"/>
      <c r="AF1089" s="18"/>
      <c r="AG1089" s="26"/>
      <c r="AH1089" s="34"/>
      <c r="AI1089" s="34"/>
      <c r="AJ1089" s="18"/>
      <c r="AK1089" s="48"/>
      <c r="AL1089" s="26"/>
      <c r="AM1089" s="26"/>
    </row>
    <row r="1090">
      <c r="A1090" s="51"/>
      <c r="B1090" s="51"/>
      <c r="C1090" s="52"/>
      <c r="D1090" s="51"/>
      <c r="E1090" s="53"/>
      <c r="F1090" s="54"/>
      <c r="G1090" s="51"/>
      <c r="H1090" s="51"/>
      <c r="I1090" s="55"/>
      <c r="J1090" s="56"/>
      <c r="K1090" s="46"/>
      <c r="L1090" s="46"/>
      <c r="M1090" s="47"/>
      <c r="N1090" s="46"/>
      <c r="O1090" s="57"/>
      <c r="P1090" s="46"/>
      <c r="Q1090" s="46"/>
      <c r="R1090" s="57"/>
      <c r="S1090" s="7"/>
      <c r="T1090" s="54"/>
      <c r="U1090" s="58"/>
      <c r="V1090" s="47"/>
      <c r="W1090" s="18"/>
      <c r="X1090" s="46"/>
      <c r="Y1090" s="9"/>
      <c r="Z1090" s="46"/>
      <c r="AA1090" s="7"/>
      <c r="AB1090" s="46"/>
      <c r="AC1090" s="47"/>
      <c r="AD1090" s="7"/>
      <c r="AE1090" s="47"/>
      <c r="AF1090" s="18"/>
      <c r="AG1090" s="26"/>
      <c r="AH1090" s="34"/>
      <c r="AI1090" s="34"/>
      <c r="AJ1090" s="18"/>
      <c r="AK1090" s="48"/>
      <c r="AL1090" s="26"/>
      <c r="AM1090" s="26"/>
    </row>
    <row r="1091">
      <c r="A1091" s="51"/>
      <c r="B1091" s="51"/>
      <c r="C1091" s="52"/>
      <c r="D1091" s="51"/>
      <c r="E1091" s="53"/>
      <c r="F1091" s="54"/>
      <c r="G1091" s="51"/>
      <c r="H1091" s="51"/>
      <c r="I1091" s="55"/>
      <c r="J1091" s="56"/>
      <c r="K1091" s="46"/>
      <c r="L1091" s="46"/>
      <c r="M1091" s="47"/>
      <c r="N1091" s="46"/>
      <c r="O1091" s="57"/>
      <c r="P1091" s="46"/>
      <c r="Q1091" s="46"/>
      <c r="R1091" s="57"/>
      <c r="S1091" s="7"/>
      <c r="T1091" s="54"/>
      <c r="U1091" s="58"/>
      <c r="V1091" s="47"/>
      <c r="W1091" s="18"/>
      <c r="X1091" s="46"/>
      <c r="Y1091" s="9"/>
      <c r="Z1091" s="46"/>
      <c r="AA1091" s="7"/>
      <c r="AB1091" s="46"/>
      <c r="AC1091" s="47"/>
      <c r="AD1091" s="7"/>
      <c r="AE1091" s="47"/>
      <c r="AF1091" s="18"/>
      <c r="AG1091" s="26"/>
      <c r="AH1091" s="34"/>
      <c r="AI1091" s="34"/>
      <c r="AJ1091" s="18"/>
      <c r="AK1091" s="48"/>
      <c r="AL1091" s="26"/>
      <c r="AM1091" s="26"/>
    </row>
    <row r="1092">
      <c r="A1092" s="51"/>
      <c r="B1092" s="51"/>
      <c r="C1092" s="52"/>
      <c r="D1092" s="51"/>
      <c r="E1092" s="53"/>
      <c r="F1092" s="54"/>
      <c r="G1092" s="51"/>
      <c r="H1092" s="51"/>
      <c r="I1092" s="55"/>
      <c r="J1092" s="56"/>
      <c r="K1092" s="46"/>
      <c r="L1092" s="46"/>
      <c r="M1092" s="47"/>
      <c r="N1092" s="46"/>
      <c r="O1092" s="57"/>
      <c r="P1092" s="46"/>
      <c r="Q1092" s="46"/>
      <c r="R1092" s="57"/>
      <c r="S1092" s="7"/>
      <c r="T1092" s="54"/>
      <c r="U1092" s="58"/>
      <c r="V1092" s="47"/>
      <c r="W1092" s="18"/>
      <c r="X1092" s="46"/>
      <c r="Y1092" s="9"/>
      <c r="Z1092" s="46"/>
      <c r="AA1092" s="7"/>
      <c r="AB1092" s="46"/>
      <c r="AC1092" s="47"/>
      <c r="AD1092" s="7"/>
      <c r="AE1092" s="47"/>
      <c r="AF1092" s="18"/>
      <c r="AG1092" s="26"/>
      <c r="AH1092" s="34"/>
      <c r="AI1092" s="34"/>
      <c r="AJ1092" s="18"/>
      <c r="AK1092" s="48"/>
      <c r="AL1092" s="26"/>
      <c r="AM1092" s="26"/>
    </row>
    <row r="1093">
      <c r="A1093" s="51"/>
      <c r="B1093" s="51"/>
      <c r="C1093" s="52"/>
      <c r="D1093" s="51"/>
      <c r="E1093" s="53"/>
      <c r="F1093" s="54"/>
      <c r="G1093" s="51"/>
      <c r="H1093" s="51"/>
      <c r="I1093" s="55"/>
      <c r="J1093" s="56"/>
      <c r="K1093" s="46"/>
      <c r="L1093" s="46"/>
      <c r="M1093" s="47"/>
      <c r="N1093" s="46"/>
      <c r="O1093" s="57"/>
      <c r="P1093" s="46"/>
      <c r="Q1093" s="46"/>
      <c r="R1093" s="57"/>
      <c r="S1093" s="7"/>
      <c r="T1093" s="54"/>
      <c r="U1093" s="58"/>
      <c r="V1093" s="47"/>
      <c r="W1093" s="18"/>
      <c r="X1093" s="46"/>
      <c r="Y1093" s="9"/>
      <c r="Z1093" s="46"/>
      <c r="AA1093" s="7"/>
      <c r="AB1093" s="46"/>
      <c r="AC1093" s="47"/>
      <c r="AD1093" s="7"/>
      <c r="AE1093" s="47"/>
      <c r="AF1093" s="18"/>
      <c r="AG1093" s="26"/>
      <c r="AH1093" s="34"/>
      <c r="AI1093" s="34"/>
      <c r="AJ1093" s="18"/>
      <c r="AK1093" s="48"/>
      <c r="AL1093" s="26"/>
      <c r="AM1093" s="26"/>
    </row>
    <row r="1094">
      <c r="A1094" s="51"/>
      <c r="B1094" s="51"/>
      <c r="C1094" s="52"/>
      <c r="D1094" s="51"/>
      <c r="E1094" s="53"/>
      <c r="F1094" s="54"/>
      <c r="G1094" s="51"/>
      <c r="H1094" s="51"/>
      <c r="I1094" s="55"/>
      <c r="J1094" s="56"/>
      <c r="K1094" s="46"/>
      <c r="L1094" s="46"/>
      <c r="M1094" s="47"/>
      <c r="N1094" s="46"/>
      <c r="O1094" s="57"/>
      <c r="P1094" s="46"/>
      <c r="Q1094" s="46"/>
      <c r="R1094" s="57"/>
      <c r="S1094" s="7"/>
      <c r="T1094" s="54"/>
      <c r="U1094" s="58"/>
      <c r="V1094" s="47"/>
      <c r="W1094" s="18"/>
      <c r="X1094" s="46"/>
      <c r="Y1094" s="9"/>
      <c r="Z1094" s="46"/>
      <c r="AA1094" s="7"/>
      <c r="AB1094" s="46"/>
      <c r="AC1094" s="47"/>
      <c r="AD1094" s="7"/>
      <c r="AE1094" s="47"/>
      <c r="AF1094" s="18"/>
      <c r="AG1094" s="26"/>
      <c r="AH1094" s="34"/>
      <c r="AI1094" s="34"/>
      <c r="AJ1094" s="18"/>
      <c r="AK1094" s="48"/>
      <c r="AL1094" s="26"/>
      <c r="AM1094" s="26"/>
    </row>
    <row r="1095">
      <c r="A1095" s="51"/>
      <c r="B1095" s="51"/>
      <c r="C1095" s="52"/>
      <c r="D1095" s="51"/>
      <c r="E1095" s="53"/>
      <c r="F1095" s="54"/>
      <c r="G1095" s="51"/>
      <c r="H1095" s="51"/>
      <c r="I1095" s="55"/>
      <c r="J1095" s="56"/>
      <c r="K1095" s="46"/>
      <c r="L1095" s="46"/>
      <c r="M1095" s="47"/>
      <c r="N1095" s="46"/>
      <c r="O1095" s="57"/>
      <c r="P1095" s="46"/>
      <c r="Q1095" s="46"/>
      <c r="R1095" s="57"/>
      <c r="S1095" s="7"/>
      <c r="T1095" s="54"/>
      <c r="U1095" s="58"/>
      <c r="V1095" s="47"/>
      <c r="W1095" s="18"/>
      <c r="X1095" s="46"/>
      <c r="Y1095" s="9"/>
      <c r="Z1095" s="46"/>
      <c r="AA1095" s="7"/>
      <c r="AB1095" s="46"/>
      <c r="AC1095" s="47"/>
      <c r="AD1095" s="7"/>
      <c r="AE1095" s="47"/>
      <c r="AF1095" s="18"/>
      <c r="AG1095" s="26"/>
      <c r="AH1095" s="34"/>
      <c r="AI1095" s="34"/>
      <c r="AJ1095" s="18"/>
      <c r="AK1095" s="48"/>
      <c r="AL1095" s="26"/>
      <c r="AM1095" s="26"/>
    </row>
  </sheetData>
  <mergeCells count="2">
    <mergeCell ref="AL1:AM1"/>
    <mergeCell ref="AG26:AG27"/>
  </mergeCells>
  <conditionalFormatting sqref="U1:U1095 S2:S1095">
    <cfRule type="cellIs" dxfId="0" priority="1" operator="greaterThanOrEqual">
      <formula>"10%"</formula>
    </cfRule>
  </conditionalFormatting>
  <conditionalFormatting sqref="U1:U1095 S2:S1095">
    <cfRule type="cellIs" dxfId="1" priority="2" operator="between">
      <formula>"1%"</formula>
      <formula>"10%"</formula>
    </cfRule>
  </conditionalFormatting>
  <conditionalFormatting sqref="U1:U1095 S2:S1095">
    <cfRule type="cellIs" dxfId="2" priority="3" operator="lessThanOrEqual">
      <formula>"-10%"</formula>
    </cfRule>
  </conditionalFormatting>
  <conditionalFormatting sqref="U1:U1095 S2:S1095">
    <cfRule type="cellIs" dxfId="3" priority="4" operator="between">
      <formula>"-1%"</formula>
      <formula>"-10%"</formula>
    </cfRule>
  </conditionalFormatting>
  <conditionalFormatting sqref="U1:U1095 S2:S1095">
    <cfRule type="cellIs" dxfId="4" priority="5" operator="between">
      <formula>"-1%"</formula>
      <formula>"1%"</formula>
    </cfRule>
  </conditionalFormatting>
  <conditionalFormatting sqref="K2:L1095 Y2:Y1095">
    <cfRule type="expression" dxfId="5" priority="6">
      <formula>K2&gt;I2</formula>
    </cfRule>
  </conditionalFormatting>
  <conditionalFormatting sqref="K2:L1095 Y2:Y1095">
    <cfRule type="expression" dxfId="6" priority="7">
      <formula>K2&lt;I2</formula>
    </cfRule>
  </conditionalFormatting>
  <conditionalFormatting sqref="D2:D1095">
    <cfRule type="containsText" dxfId="7" priority="8" operator="containsText" text="ABIERTA">
      <formula>NOT(ISERROR(SEARCH(("ABIERTA"),(D2))))</formula>
    </cfRule>
  </conditionalFormatting>
  <conditionalFormatting sqref="D2:D1095">
    <cfRule type="containsText" dxfId="8" priority="9" operator="containsText" text="CERRADA">
      <formula>NOT(ISERROR(SEARCH(("CERRADA"),(D2))))</formula>
    </cfRule>
  </conditionalFormatting>
  <conditionalFormatting sqref="U4:U8">
    <cfRule type="notContainsBlanks" dxfId="9" priority="10">
      <formula>LEN(TRIM(U4))&gt;0</formula>
    </cfRule>
  </conditionalFormatting>
  <dataValidations>
    <dataValidation type="list" allowBlank="1" sqref="D2:D1095">
      <formula1>"ABIERTA,CERRADA"</formula1>
    </dataValidation>
    <dataValidation type="list" allowBlank="1" sqref="A2:A1095">
      <formula1>Config!$A$3:$A$5</formula1>
    </dataValidation>
    <dataValidation type="list" allowBlank="1" sqref="AI27">
      <formula1>"7,14,28,365"</formula1>
    </dataValidation>
    <dataValidation type="list" allowBlank="1" sqref="AI26">
      <formula1>"line,column"</formula1>
    </dataValidation>
    <dataValidation type="custom" allowBlank="1" showDropDown="1" sqref="C2:C1095 E2:E1095">
      <formula1>OR(NOT(ISERROR(DATEVALUE(C2))), AND(ISNUMBER(C2), LEFT(CELL("format", C2))="D"))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75"/>
    <col customWidth="1" min="2" max="2" width="17.13"/>
    <col customWidth="1" min="3" max="5" width="10.75"/>
    <col customWidth="1" min="6" max="6" width="6.38"/>
    <col customWidth="1" min="7" max="10" width="10.75"/>
    <col customWidth="1" min="11" max="11" width="17.38"/>
    <col customWidth="1" min="12" max="12" width="12.63"/>
    <col customWidth="1" min="13" max="13" width="14.88"/>
    <col customWidth="1" min="14" max="14" width="11.88"/>
    <col customWidth="1" min="15" max="15" width="12.63"/>
    <col customWidth="1" min="16" max="16" width="12.0"/>
    <col customWidth="1" min="17" max="18" width="16.25"/>
    <col customWidth="1" min="19" max="19" width="12.0"/>
    <col customWidth="1" min="20" max="20" width="15.5"/>
    <col customWidth="1" min="21" max="21" width="10.63"/>
    <col customWidth="1" min="22" max="22" width="12.0"/>
    <col customWidth="1" min="23" max="23" width="3.0"/>
    <col customWidth="1" min="24" max="25" width="14.5"/>
    <col customWidth="1" min="26" max="26" width="10.13"/>
    <col customWidth="1" min="32" max="32" width="3.0"/>
    <col customWidth="1" min="37" max="37" width="3.88"/>
    <col customWidth="1" min="38" max="39" width="19.88"/>
    <col customWidth="1" hidden="1" min="40" max="40" width="28.75"/>
    <col customWidth="1" hidden="1" min="41" max="41" width="12.88"/>
    <col customWidth="1" hidden="1" min="42" max="42" width="18.38"/>
    <col customWidth="1" hidden="1" min="43" max="43" width="12.25"/>
    <col customWidth="1" min="44" max="50" width="12.25"/>
    <col customWidth="1" min="51" max="51" width="16.88"/>
    <col customWidth="1" min="52" max="55" width="12.25"/>
  </cols>
  <sheetData>
    <row r="1">
      <c r="A1" s="3"/>
      <c r="B1" s="3" t="s">
        <v>63</v>
      </c>
      <c r="C1" s="3" t="s">
        <v>16</v>
      </c>
      <c r="D1" s="3" t="s">
        <v>17</v>
      </c>
      <c r="E1" s="16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64</v>
      </c>
      <c r="M1" s="13" t="s">
        <v>25</v>
      </c>
      <c r="N1" s="3" t="s">
        <v>65</v>
      </c>
      <c r="O1" s="3" t="s">
        <v>27</v>
      </c>
      <c r="P1" s="3" t="s">
        <v>28</v>
      </c>
      <c r="Q1" s="3" t="s">
        <v>66</v>
      </c>
      <c r="R1" s="3" t="s">
        <v>30</v>
      </c>
      <c r="S1" s="3" t="s">
        <v>33</v>
      </c>
      <c r="T1" s="3" t="s">
        <v>34</v>
      </c>
      <c r="U1" s="17" t="s">
        <v>31</v>
      </c>
      <c r="V1" s="13" t="s">
        <v>32</v>
      </c>
      <c r="W1" s="18"/>
      <c r="X1" s="3" t="s">
        <v>15</v>
      </c>
      <c r="Y1" s="3" t="s">
        <v>24</v>
      </c>
      <c r="Z1" s="3" t="s">
        <v>21</v>
      </c>
      <c r="AA1" s="3" t="s">
        <v>36</v>
      </c>
      <c r="AB1" s="3" t="s">
        <v>37</v>
      </c>
      <c r="AC1" s="13" t="s">
        <v>38</v>
      </c>
      <c r="AD1" s="3" t="s">
        <v>33</v>
      </c>
      <c r="AE1" s="13" t="s">
        <v>39</v>
      </c>
      <c r="AF1" s="18"/>
      <c r="AG1" s="18"/>
      <c r="AH1" s="18"/>
      <c r="AI1" s="18"/>
      <c r="AJ1" s="18"/>
      <c r="AK1" s="48"/>
      <c r="AL1" s="26" t="s">
        <v>77</v>
      </c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</row>
    <row r="2">
      <c r="A2" s="5" t="s">
        <v>40</v>
      </c>
      <c r="B2" s="22" t="s">
        <v>78</v>
      </c>
      <c r="C2" s="50">
        <v>45324.0</v>
      </c>
      <c r="D2" s="5" t="s">
        <v>61</v>
      </c>
      <c r="E2" s="19">
        <v>45551.0</v>
      </c>
      <c r="F2" s="20">
        <f>if(B2=0,"...", IF(E2=0,today()-C2,E2-C2))</f>
        <v>227</v>
      </c>
      <c r="G2" s="5" t="s">
        <v>43</v>
      </c>
      <c r="H2" s="5">
        <v>1455.0</v>
      </c>
      <c r="I2" s="21">
        <v>77.613</v>
      </c>
      <c r="J2" s="21">
        <v>107.65</v>
      </c>
      <c r="K2" s="9" t="str">
        <f>if(B2=0,"...",VLOOKUP(B2,$AL2:$AM29,2,false))</f>
        <v>187,01</v>
      </c>
      <c r="L2" s="9">
        <f>if(B2=0,"...",K2/IF(G2="DOLARES",1,Q2))</f>
        <v>0.153826539</v>
      </c>
      <c r="M2" s="15">
        <f>if(B2=0,"...",$H2*I2)</f>
        <v>112926.915</v>
      </c>
      <c r="N2" s="29">
        <v>1237.43</v>
      </c>
      <c r="O2" s="23">
        <f>M2/IF(G2="DOLARES",1,N2)</f>
        <v>91.25923487</v>
      </c>
      <c r="P2" s="9">
        <f>if(B2=0,"...",$H2*(IF(D2="ABIERTA",K2,J2)*(1-VLOOKUP(A2,Config!$A$3:$B$5,2,FALSE))))</f>
        <v>156622.9185</v>
      </c>
      <c r="Q2" s="29">
        <v>1215.72</v>
      </c>
      <c r="R2" s="23">
        <f>P2/IF(G2="DOLARES",1,Q2)</f>
        <v>128.8314073</v>
      </c>
      <c r="S2" s="10">
        <f>if(B2=0,"...",P2/M2-1)</f>
        <v>0.3869405576</v>
      </c>
      <c r="T2" s="9">
        <f>if(B2=0,"...",P2-M2)</f>
        <v>43696.00346</v>
      </c>
      <c r="U2" s="24">
        <f>if(B2=0,"...",R2/O2-1)</f>
        <v>0.4117081682</v>
      </c>
      <c r="V2" s="15">
        <f>if(B2=0,"...",R2-O2)</f>
        <v>37.57217242</v>
      </c>
      <c r="W2" s="18"/>
      <c r="X2" s="9" t="str">
        <f t="array" ref="X2:X3">Unique(B2:B29)</f>
        <v>CONIOLA </v>
      </c>
      <c r="Y2" s="9" t="str">
        <f>if(B2=0,"...",VLOOKUP(B2,$AL2:$AM29,2,false))</f>
        <v>187,01</v>
      </c>
      <c r="Z2" s="9">
        <f t="shared" ref="Z2:Z28" si="1">if(X2=0,"...",sumifs($H$2:$H29,$B$2:$B29,X2,$D$2:$D29,"ABIERTA"))</f>
        <v>0</v>
      </c>
      <c r="AA2" s="10" t="str">
        <f t="shared" ref="AA2:AA28" si="2">if(X2=0,"",AC2/$AH$18)</f>
        <v>#DIV/0!</v>
      </c>
      <c r="AB2" s="9" t="str">
        <f t="shared" ref="AB2:AB28" si="3">if(Z2=0,"...",if(X2=0,"...",sumifs($O$2:$O29,$B$2:$B29,X2,$D$2:$D29,"ABIERTA")/Z2))</f>
        <v>...</v>
      </c>
      <c r="AC2" s="15">
        <f t="shared" ref="AC2:AC28" si="4">if(X2=0,"...",sumifs($R$2:$R29,$B$2:$B29,X2,$D$2:$D29,"ABIERTA"))</f>
        <v>0</v>
      </c>
      <c r="AD2" s="10" t="str">
        <f t="shared" ref="AD2:AD28" si="5">if(Z2=0,"...",if(X2=0,"...",AE2/(AC2-AE2)))</f>
        <v>...</v>
      </c>
      <c r="AE2" s="15" t="str">
        <f t="shared" ref="AE2:AE28" si="6">if(Z2=0,"...",if(X2=0,"...",sumifs($V$2:$V29,$B$2:$B29,X2,$D$2:$D29,"ABIERTA")))</f>
        <v>...</v>
      </c>
      <c r="AF2" s="18"/>
      <c r="AG2" s="18"/>
      <c r="AH2" s="18"/>
      <c r="AI2" s="18"/>
      <c r="AJ2" s="18"/>
      <c r="AK2" s="48"/>
      <c r="AL2" s="26" t="s">
        <v>79</v>
      </c>
      <c r="AM2" s="26" t="s">
        <v>18</v>
      </c>
      <c r="AN2" s="26" t="str">
        <f>IFERROR(__xludf.DUMMYFUNCTION("QUERY(IMPORTHTML(DataImports!B7,DataImports!D7,1),""select Col1, Col2, Col3, Col4"",1)"),"Símbolo")</f>
        <v>Símbolo</v>
      </c>
      <c r="AO2" s="26" t="str">
        <f>IFERROR(__xludf.DUMMYFUNCTION("""COMPUTED_VALUE"""),"Tipo y moneda")</f>
        <v>Tipo y moneda</v>
      </c>
      <c r="AP2" s="26" t="str">
        <f>IFERROR(__xludf.DUMMYFUNCTION("""COMPUTED_VALUE"""),"Horizonte de Inversión")</f>
        <v>Horizonte de Inversión</v>
      </c>
      <c r="AQ2" s="26" t="str">
        <f>IFERROR(__xludf.DUMMYFUNCTION("""COMPUTED_VALUE"""),"Último")</f>
        <v>Último</v>
      </c>
      <c r="AR2" s="49"/>
      <c r="AS2" s="49"/>
      <c r="AT2" s="49"/>
      <c r="AU2" s="49"/>
      <c r="AV2" s="49"/>
      <c r="AW2" s="49"/>
      <c r="AX2" s="49"/>
    </row>
    <row r="3">
      <c r="A3" s="5"/>
      <c r="B3" s="5"/>
      <c r="C3" s="11"/>
      <c r="D3" s="5"/>
      <c r="E3" s="11"/>
      <c r="F3" s="20"/>
      <c r="G3" s="5"/>
      <c r="H3" s="5"/>
      <c r="I3" s="21"/>
      <c r="J3" s="21"/>
      <c r="K3" s="9"/>
      <c r="L3" s="9"/>
      <c r="M3" s="15"/>
      <c r="N3" s="9"/>
      <c r="O3" s="23"/>
      <c r="P3" s="9"/>
      <c r="Q3" s="9"/>
      <c r="R3" s="23"/>
      <c r="S3" s="10"/>
      <c r="T3" s="20"/>
      <c r="U3" s="24"/>
      <c r="V3" s="15"/>
      <c r="W3" s="18"/>
      <c r="X3" s="9"/>
      <c r="Y3" s="9" t="str">
        <f t="shared" ref="Y3:Y28" si="7">if(X3=0,"...",VLOOKUP("*"&amp;X3&amp;"*",$AN$2:$AO29,2,false))</f>
        <v>...</v>
      </c>
      <c r="Z3" s="9" t="str">
        <f t="shared" si="1"/>
        <v>...</v>
      </c>
      <c r="AA3" s="10" t="str">
        <f t="shared" si="2"/>
        <v/>
      </c>
      <c r="AB3" s="9" t="str">
        <f t="shared" si="3"/>
        <v>...</v>
      </c>
      <c r="AC3" s="15" t="str">
        <f t="shared" si="4"/>
        <v>...</v>
      </c>
      <c r="AD3" s="10" t="str">
        <f t="shared" si="5"/>
        <v>...</v>
      </c>
      <c r="AE3" s="15" t="str">
        <f t="shared" si="6"/>
        <v>...</v>
      </c>
      <c r="AF3" s="18"/>
      <c r="AG3" s="18"/>
      <c r="AH3" s="18"/>
      <c r="AI3" s="18"/>
      <c r="AJ3" s="18"/>
      <c r="AK3" s="48"/>
      <c r="AL3" s="9" t="str">
        <f t="shared" ref="AL3:AL29" si="8">IF($AN3="","...", Left(RIGHT($AN3,LEN($AN3)-FIND("*", $AN3)),FIND("*", RIGHT($AN3,LEN($AN3)-FIND("*", $AN3)))-1))</f>
        <v>ADBAICA </v>
      </c>
      <c r="AM3" s="9" t="str">
        <f t="shared" ref="AM3:AM29" si="9">IF($AN3="","...", RIGHT($AQ3,LEN($AQ3)-FIND(" ", $AQ3)))</f>
        <v>32,71</v>
      </c>
      <c r="AN3" s="9" t="str">
        <f>IFERROR(__xludf.DUMMYFUNCTION("""COMPUTED_VALUE"""),"*ADBAICA *
Adcap Cobertura")</f>
        <v>*ADBAICA *
Adcap Cobertura</v>
      </c>
      <c r="AO3" s="9" t="str">
        <f>IFERROR(__xludf.DUMMYFUNCTION("""COMPUTED_VALUE"""),"Renta Fija Pesos")</f>
        <v>Renta Fija Pesos</v>
      </c>
      <c r="AP3" s="9" t="str">
        <f>IFERROR(__xludf.DUMMYFUNCTION("""COMPUTED_VALUE"""),"Corto Plazo")</f>
        <v>Corto Plazo</v>
      </c>
      <c r="AQ3" s="9" t="str">
        <f>IFERROR(__xludf.DUMMYFUNCTION("""COMPUTED_VALUE"""),"AR$ 32,71")</f>
        <v>AR$ 32,71</v>
      </c>
    </row>
    <row r="4">
      <c r="A4" s="5"/>
      <c r="B4" s="5"/>
      <c r="C4" s="11"/>
      <c r="D4" s="5"/>
      <c r="E4" s="11"/>
      <c r="F4" s="20"/>
      <c r="G4" s="5"/>
      <c r="H4" s="5"/>
      <c r="I4" s="21"/>
      <c r="J4" s="21"/>
      <c r="K4" s="9"/>
      <c r="L4" s="9"/>
      <c r="M4" s="15"/>
      <c r="N4" s="9"/>
      <c r="O4" s="23"/>
      <c r="P4" s="9"/>
      <c r="Q4" s="9"/>
      <c r="R4" s="23"/>
      <c r="S4" s="10"/>
      <c r="T4" s="20"/>
      <c r="U4" s="24"/>
      <c r="V4" s="15"/>
      <c r="W4" s="18"/>
      <c r="X4" s="9"/>
      <c r="Y4" s="9" t="str">
        <f t="shared" si="7"/>
        <v>...</v>
      </c>
      <c r="Z4" s="9" t="str">
        <f t="shared" si="1"/>
        <v>...</v>
      </c>
      <c r="AA4" s="10" t="str">
        <f t="shared" si="2"/>
        <v/>
      </c>
      <c r="AB4" s="9" t="str">
        <f t="shared" si="3"/>
        <v>...</v>
      </c>
      <c r="AC4" s="15" t="str">
        <f t="shared" si="4"/>
        <v>...</v>
      </c>
      <c r="AD4" s="10" t="str">
        <f t="shared" si="5"/>
        <v>...</v>
      </c>
      <c r="AE4" s="15" t="str">
        <f t="shared" si="6"/>
        <v>...</v>
      </c>
      <c r="AF4" s="18"/>
      <c r="AG4" s="18"/>
      <c r="AH4" s="18"/>
      <c r="AI4" s="18"/>
      <c r="AJ4" s="18"/>
      <c r="AK4" s="48"/>
      <c r="AL4" s="9" t="str">
        <f t="shared" si="8"/>
        <v>ADBARFA </v>
      </c>
      <c r="AM4" s="9" t="str">
        <f t="shared" si="9"/>
        <v>5,00</v>
      </c>
      <c r="AN4" s="9" t="str">
        <f>IFERROR(__xludf.DUMMYFUNCTION("""COMPUTED_VALUE"""),"*ADBARFA *
Adcap Balanceado XVI")</f>
        <v>*ADBARFA *
Adcap Balanceado XVI</v>
      </c>
      <c r="AO4" s="9" t="str">
        <f>IFERROR(__xludf.DUMMYFUNCTION("""COMPUTED_VALUE"""),"Renta Fija Pesos")</f>
        <v>Renta Fija Pesos</v>
      </c>
      <c r="AP4" s="9" t="str">
        <f>IFERROR(__xludf.DUMMYFUNCTION("""COMPUTED_VALUE"""),"Mediano Plazo")</f>
        <v>Mediano Plazo</v>
      </c>
      <c r="AQ4" s="9" t="str">
        <f>IFERROR(__xludf.DUMMYFUNCTION("""COMPUTED_VALUE"""),"AR$ 5,00")</f>
        <v>AR$ 5,00</v>
      </c>
    </row>
    <row r="5">
      <c r="A5" s="5"/>
      <c r="B5" s="5"/>
      <c r="C5" s="11"/>
      <c r="D5" s="5"/>
      <c r="E5" s="11"/>
      <c r="F5" s="20"/>
      <c r="G5" s="5"/>
      <c r="H5" s="5"/>
      <c r="I5" s="21"/>
      <c r="J5" s="21"/>
      <c r="K5" s="9"/>
      <c r="L5" s="9"/>
      <c r="M5" s="15"/>
      <c r="N5" s="9"/>
      <c r="O5" s="23"/>
      <c r="P5" s="9"/>
      <c r="Q5" s="9"/>
      <c r="R5" s="23"/>
      <c r="S5" s="10"/>
      <c r="T5" s="20"/>
      <c r="U5" s="24"/>
      <c r="V5" s="15"/>
      <c r="W5" s="18"/>
      <c r="X5" s="9"/>
      <c r="Y5" s="9" t="str">
        <f t="shared" si="7"/>
        <v>...</v>
      </c>
      <c r="Z5" s="9" t="str">
        <f t="shared" si="1"/>
        <v>...</v>
      </c>
      <c r="AA5" s="10" t="str">
        <f t="shared" si="2"/>
        <v/>
      </c>
      <c r="AB5" s="9" t="str">
        <f t="shared" si="3"/>
        <v>...</v>
      </c>
      <c r="AC5" s="15" t="str">
        <f t="shared" si="4"/>
        <v>...</v>
      </c>
      <c r="AD5" s="10" t="str">
        <f t="shared" si="5"/>
        <v>...</v>
      </c>
      <c r="AE5" s="15" t="str">
        <f t="shared" si="6"/>
        <v>...</v>
      </c>
      <c r="AF5" s="18"/>
      <c r="AG5" s="18"/>
      <c r="AH5" s="18"/>
      <c r="AI5" s="18"/>
      <c r="AJ5" s="18"/>
      <c r="AK5" s="48"/>
      <c r="AL5" s="9" t="str">
        <f t="shared" si="8"/>
        <v>ADBWCPA </v>
      </c>
      <c r="AM5" s="9" t="str">
        <f t="shared" si="9"/>
        <v>9,89</v>
      </c>
      <c r="AN5" s="9" t="str">
        <f>IFERROR(__xludf.DUMMYFUNCTION("""COMPUTED_VALUE"""),"*ADBWCPA *
Adcap Wise Capital Growth")</f>
        <v>*ADBWCPA *
Adcap Wise Capital Growth</v>
      </c>
      <c r="AO5" s="9" t="str">
        <f>IFERROR(__xludf.DUMMYFUNCTION("""COMPUTED_VALUE"""),"Renta Fija Pesos")</f>
        <v>Renta Fija Pesos</v>
      </c>
      <c r="AP5" s="9" t="str">
        <f>IFERROR(__xludf.DUMMYFUNCTION("""COMPUTED_VALUE"""),"Mediano plazo")</f>
        <v>Mediano plazo</v>
      </c>
      <c r="AQ5" s="9" t="str">
        <f>IFERROR(__xludf.DUMMYFUNCTION("""COMPUTED_VALUE"""),"AR$ 9,89")</f>
        <v>AR$ 9,89</v>
      </c>
    </row>
    <row r="6">
      <c r="A6" s="5"/>
      <c r="B6" s="5"/>
      <c r="C6" s="11"/>
      <c r="D6" s="5"/>
      <c r="E6" s="11"/>
      <c r="F6" s="20"/>
      <c r="G6" s="5"/>
      <c r="H6" s="5"/>
      <c r="I6" s="21"/>
      <c r="J6" s="21"/>
      <c r="K6" s="9"/>
      <c r="L6" s="9"/>
      <c r="M6" s="15"/>
      <c r="N6" s="9"/>
      <c r="O6" s="23"/>
      <c r="P6" s="9"/>
      <c r="Q6" s="9"/>
      <c r="R6" s="23"/>
      <c r="S6" s="10"/>
      <c r="T6" s="20"/>
      <c r="U6" s="24"/>
      <c r="V6" s="15"/>
      <c r="W6" s="18"/>
      <c r="X6" s="9"/>
      <c r="Y6" s="9" t="str">
        <f t="shared" si="7"/>
        <v>...</v>
      </c>
      <c r="Z6" s="9" t="str">
        <f t="shared" si="1"/>
        <v>...</v>
      </c>
      <c r="AA6" s="10" t="str">
        <f t="shared" si="2"/>
        <v/>
      </c>
      <c r="AB6" s="9" t="str">
        <f t="shared" si="3"/>
        <v>...</v>
      </c>
      <c r="AC6" s="15" t="str">
        <f t="shared" si="4"/>
        <v>...</v>
      </c>
      <c r="AD6" s="10" t="str">
        <f t="shared" si="5"/>
        <v>...</v>
      </c>
      <c r="AE6" s="15" t="str">
        <f t="shared" si="6"/>
        <v>...</v>
      </c>
      <c r="AF6" s="18"/>
      <c r="AG6" s="18"/>
      <c r="AH6" s="18"/>
      <c r="AI6" s="18"/>
      <c r="AJ6" s="18"/>
      <c r="AK6" s="48"/>
      <c r="AL6" s="9" t="str">
        <f t="shared" si="8"/>
        <v>ADCGLOA </v>
      </c>
      <c r="AM6" s="9" t="str">
        <f t="shared" si="9"/>
        <v>1,28</v>
      </c>
      <c r="AN6" s="9" t="str">
        <f>IFERROR(__xludf.DUMMYFUNCTION("""COMPUTED_VALUE"""),"*ADCGLOA *
Adcap Renta Dólar")</f>
        <v>*ADCGLOA *
Adcap Renta Dólar</v>
      </c>
      <c r="AO6" s="9" t="str">
        <f>IFERROR(__xludf.DUMMYFUNCTION("""COMPUTED_VALUE"""),"Renta Fija Dólares")</f>
        <v>Renta Fija Dólares</v>
      </c>
      <c r="AP6" s="9" t="str">
        <f>IFERROR(__xludf.DUMMYFUNCTION("""COMPUTED_VALUE"""),"Corto Plazo")</f>
        <v>Corto Plazo</v>
      </c>
      <c r="AQ6" s="9" t="str">
        <f>IFERROR(__xludf.DUMMYFUNCTION("""COMPUTED_VALUE"""),"US$ 1,28")</f>
        <v>US$ 1,28</v>
      </c>
    </row>
    <row r="7">
      <c r="A7" s="5"/>
      <c r="B7" s="5"/>
      <c r="C7" s="11"/>
      <c r="D7" s="5"/>
      <c r="E7" s="11"/>
      <c r="F7" s="20"/>
      <c r="G7" s="5"/>
      <c r="H7" s="5"/>
      <c r="I7" s="21"/>
      <c r="J7" s="21"/>
      <c r="K7" s="9"/>
      <c r="L7" s="9"/>
      <c r="M7" s="15"/>
      <c r="N7" s="9"/>
      <c r="O7" s="23"/>
      <c r="P7" s="9"/>
      <c r="Q7" s="9"/>
      <c r="R7" s="23"/>
      <c r="S7" s="10"/>
      <c r="T7" s="20"/>
      <c r="U7" s="24"/>
      <c r="V7" s="15"/>
      <c r="W7" s="18"/>
      <c r="X7" s="9"/>
      <c r="Y7" s="9" t="str">
        <f t="shared" si="7"/>
        <v>...</v>
      </c>
      <c r="Z7" s="9" t="str">
        <f t="shared" si="1"/>
        <v>...</v>
      </c>
      <c r="AA7" s="10" t="str">
        <f t="shared" si="2"/>
        <v/>
      </c>
      <c r="AB7" s="9" t="str">
        <f t="shared" si="3"/>
        <v>...</v>
      </c>
      <c r="AC7" s="15" t="str">
        <f t="shared" si="4"/>
        <v>...</v>
      </c>
      <c r="AD7" s="10" t="str">
        <f t="shared" si="5"/>
        <v>...</v>
      </c>
      <c r="AE7" s="15" t="str">
        <f t="shared" si="6"/>
        <v>...</v>
      </c>
      <c r="AF7" s="18"/>
      <c r="AG7" s="18"/>
      <c r="AH7" s="18"/>
      <c r="AI7" s="18"/>
      <c r="AJ7" s="18"/>
      <c r="AK7" s="48"/>
      <c r="AL7" s="9" t="str">
        <f t="shared" si="8"/>
        <v>ADCUSAD </v>
      </c>
      <c r="AM7" s="9" t="str">
        <f t="shared" si="9"/>
        <v>1,03</v>
      </c>
      <c r="AN7" s="9" t="str">
        <f>IFERROR(__xludf.DUMMYFUNCTION("""COMPUTED_VALUE"""),"*ADCUSAD *
Adcap Ahorro Dólares")</f>
        <v>*ADCUSAD *
Adcap Ahorro Dólares</v>
      </c>
      <c r="AO7" s="9" t="str">
        <f>IFERROR(__xludf.DUMMYFUNCTION("""COMPUTED_VALUE"""),"Plazos Fijos Dólares")</f>
        <v>Plazos Fijos Dólares</v>
      </c>
      <c r="AP7" s="9" t="str">
        <f>IFERROR(__xludf.DUMMYFUNCTION("""COMPUTED_VALUE"""),"Corto Plazo")</f>
        <v>Corto Plazo</v>
      </c>
      <c r="AQ7" s="9" t="str">
        <f>IFERROR(__xludf.DUMMYFUNCTION("""COMPUTED_VALUE"""),"US$ 1,03")</f>
        <v>US$ 1,03</v>
      </c>
    </row>
    <row r="8">
      <c r="A8" s="5"/>
      <c r="B8" s="5"/>
      <c r="C8" s="11"/>
      <c r="D8" s="5"/>
      <c r="E8" s="11"/>
      <c r="F8" s="20"/>
      <c r="G8" s="5"/>
      <c r="H8" s="5"/>
      <c r="I8" s="21"/>
      <c r="J8" s="21"/>
      <c r="K8" s="9"/>
      <c r="L8" s="9"/>
      <c r="M8" s="15"/>
      <c r="N8" s="9"/>
      <c r="O8" s="23"/>
      <c r="P8" s="9"/>
      <c r="Q8" s="9"/>
      <c r="R8" s="23"/>
      <c r="S8" s="10"/>
      <c r="T8" s="20"/>
      <c r="U8" s="24"/>
      <c r="V8" s="15"/>
      <c r="W8" s="18"/>
      <c r="X8" s="9"/>
      <c r="Y8" s="9" t="str">
        <f t="shared" si="7"/>
        <v>...</v>
      </c>
      <c r="Z8" s="9" t="str">
        <f t="shared" si="1"/>
        <v>...</v>
      </c>
      <c r="AA8" s="10" t="str">
        <f t="shared" si="2"/>
        <v/>
      </c>
      <c r="AB8" s="9" t="str">
        <f t="shared" si="3"/>
        <v>...</v>
      </c>
      <c r="AC8" s="15" t="str">
        <f t="shared" si="4"/>
        <v>...</v>
      </c>
      <c r="AD8" s="10" t="str">
        <f t="shared" si="5"/>
        <v>...</v>
      </c>
      <c r="AE8" s="15" t="str">
        <f t="shared" si="6"/>
        <v>...</v>
      </c>
      <c r="AF8" s="18"/>
      <c r="AG8" s="18"/>
      <c r="AH8" s="18"/>
      <c r="AI8" s="18"/>
      <c r="AJ8" s="18"/>
      <c r="AK8" s="48"/>
      <c r="AL8" s="9" t="str">
        <f t="shared" si="8"/>
        <v>ADRDOLA </v>
      </c>
      <c r="AM8" s="9" t="str">
        <f t="shared" si="9"/>
        <v>16,07</v>
      </c>
      <c r="AN8" s="9" t="str">
        <f>IFERROR(__xludf.DUMMYFUNCTION("""COMPUTED_VALUE"""),"*ADRDOLA *
Adcap Ahorro Pesos Fondo De Dinero")</f>
        <v>*ADRDOLA *
Adcap Ahorro Pesos Fondo De Dinero</v>
      </c>
      <c r="AO8" s="9" t="str">
        <f>IFERROR(__xludf.DUMMYFUNCTION("""COMPUTED_VALUE"""),"Plazos Fijos Pesos")</f>
        <v>Plazos Fijos Pesos</v>
      </c>
      <c r="AP8" s="9" t="str">
        <f>IFERROR(__xludf.DUMMYFUNCTION("""COMPUTED_VALUE"""),"Corto Plazo")</f>
        <v>Corto Plazo</v>
      </c>
      <c r="AQ8" s="9" t="str">
        <f>IFERROR(__xludf.DUMMYFUNCTION("""COMPUTED_VALUE"""),"AR$ 16,07")</f>
        <v>AR$ 16,07</v>
      </c>
    </row>
    <row r="9">
      <c r="A9" s="5"/>
      <c r="B9" s="5"/>
      <c r="C9" s="11"/>
      <c r="D9" s="5"/>
      <c r="E9" s="11"/>
      <c r="F9" s="20"/>
      <c r="G9" s="5"/>
      <c r="H9" s="5"/>
      <c r="I9" s="21"/>
      <c r="J9" s="21"/>
      <c r="K9" s="9" t="str">
        <f t="shared" ref="K9:K28" si="10">if(B9=0,"...",VLOOKUP(B9,$X$2:$Y29,2,false))</f>
        <v>...</v>
      </c>
      <c r="L9" s="9" t="str">
        <f t="shared" ref="L9:L28" si="11">if(B9=0,"...",K9/IF(G9="DOLARES",1,Q9))</f>
        <v>...</v>
      </c>
      <c r="M9" s="15"/>
      <c r="N9" s="9"/>
      <c r="O9" s="23"/>
      <c r="P9" s="9" t="str">
        <f>if(B9=0,"...",$H9*(IF(D9="ABIERTA",K9,J9)*(1-VLOOKUP(A9,Config!$A$3:$B$5,2,FALSE)))/100)</f>
        <v>...</v>
      </c>
      <c r="Q9" s="9"/>
      <c r="R9" s="23"/>
      <c r="S9" s="10" t="str">
        <f t="shared" ref="S9:S28" si="12">if(B9=0,"...",P9/M9-1)</f>
        <v>...</v>
      </c>
      <c r="T9" s="20" t="str">
        <f t="shared" ref="T9:T28" si="13">if(B9=0,"...",P9-M9)</f>
        <v>...</v>
      </c>
      <c r="U9" s="24" t="str">
        <f t="shared" ref="U9:U28" si="14">if(B9=0,"...",R9/O9-1)</f>
        <v>...</v>
      </c>
      <c r="V9" s="15" t="str">
        <f t="shared" ref="V9:V28" si="15">if(B9=0,"...",R9-O9)</f>
        <v>...</v>
      </c>
      <c r="W9" s="18"/>
      <c r="X9" s="9"/>
      <c r="Y9" s="9" t="str">
        <f t="shared" si="7"/>
        <v>...</v>
      </c>
      <c r="Z9" s="9" t="str">
        <f t="shared" si="1"/>
        <v>...</v>
      </c>
      <c r="AA9" s="10" t="str">
        <f t="shared" si="2"/>
        <v/>
      </c>
      <c r="AB9" s="9" t="str">
        <f t="shared" si="3"/>
        <v>...</v>
      </c>
      <c r="AC9" s="15" t="str">
        <f t="shared" si="4"/>
        <v>...</v>
      </c>
      <c r="AD9" s="10" t="str">
        <f t="shared" si="5"/>
        <v>...</v>
      </c>
      <c r="AE9" s="15" t="str">
        <f t="shared" si="6"/>
        <v>...</v>
      </c>
      <c r="AF9" s="18"/>
      <c r="AG9" s="18"/>
      <c r="AH9" s="18"/>
      <c r="AI9" s="18"/>
      <c r="AJ9" s="18"/>
      <c r="AK9" s="48"/>
      <c r="AL9" s="9" t="str">
        <f t="shared" si="8"/>
        <v>ADREMIA </v>
      </c>
      <c r="AM9" s="9" t="str">
        <f t="shared" si="9"/>
        <v>93,67</v>
      </c>
      <c r="AN9" s="9" t="str">
        <f>IFERROR(__xludf.DUMMYFUNCTION("""COMPUTED_VALUE"""),"*ADREMIA *
Adcap Balanceado Vi")</f>
        <v>*ADREMIA *
Adcap Balanceado Vi</v>
      </c>
      <c r="AO9" s="9" t="str">
        <f>IFERROR(__xludf.DUMMYFUNCTION("""COMPUTED_VALUE"""),"Renta Fija Pesos")</f>
        <v>Renta Fija Pesos</v>
      </c>
      <c r="AP9" s="9" t="str">
        <f>IFERROR(__xludf.DUMMYFUNCTION("""COMPUTED_VALUE"""),"Mediano Plazo")</f>
        <v>Mediano Plazo</v>
      </c>
      <c r="AQ9" s="9" t="str">
        <f>IFERROR(__xludf.DUMMYFUNCTION("""COMPUTED_VALUE"""),"AR$ 93,67")</f>
        <v>AR$ 93,67</v>
      </c>
    </row>
    <row r="10">
      <c r="A10" s="5"/>
      <c r="B10" s="5"/>
      <c r="C10" s="11"/>
      <c r="D10" s="5"/>
      <c r="E10" s="11"/>
      <c r="F10" s="20"/>
      <c r="G10" s="5"/>
      <c r="H10" s="5"/>
      <c r="I10" s="21"/>
      <c r="J10" s="21"/>
      <c r="K10" s="9" t="str">
        <f t="shared" si="10"/>
        <v>...</v>
      </c>
      <c r="L10" s="9" t="str">
        <f t="shared" si="11"/>
        <v>...</v>
      </c>
      <c r="M10" s="15"/>
      <c r="N10" s="9"/>
      <c r="O10" s="23"/>
      <c r="P10" s="9" t="str">
        <f>if(B10=0,"...",$H10*(IF(D10="ABIERTA",K10,J10)*(1-VLOOKUP(A10,Config!$A$3:$B$5,2,FALSE)))/100)</f>
        <v>...</v>
      </c>
      <c r="Q10" s="9"/>
      <c r="R10" s="23"/>
      <c r="S10" s="10" t="str">
        <f t="shared" si="12"/>
        <v>...</v>
      </c>
      <c r="T10" s="20" t="str">
        <f t="shared" si="13"/>
        <v>...</v>
      </c>
      <c r="U10" s="24" t="str">
        <f t="shared" si="14"/>
        <v>...</v>
      </c>
      <c r="V10" s="15" t="str">
        <f t="shared" si="15"/>
        <v>...</v>
      </c>
      <c r="W10" s="18"/>
      <c r="X10" s="9"/>
      <c r="Y10" s="9" t="str">
        <f t="shared" si="7"/>
        <v>...</v>
      </c>
      <c r="Z10" s="9" t="str">
        <f t="shared" si="1"/>
        <v>...</v>
      </c>
      <c r="AA10" s="10" t="str">
        <f t="shared" si="2"/>
        <v/>
      </c>
      <c r="AB10" s="9" t="str">
        <f t="shared" si="3"/>
        <v>...</v>
      </c>
      <c r="AC10" s="15" t="str">
        <f t="shared" si="4"/>
        <v>...</v>
      </c>
      <c r="AD10" s="10" t="str">
        <f t="shared" si="5"/>
        <v>...</v>
      </c>
      <c r="AE10" s="15" t="str">
        <f t="shared" si="6"/>
        <v>...</v>
      </c>
      <c r="AF10" s="18"/>
      <c r="AG10" s="18"/>
      <c r="AH10" s="18"/>
      <c r="AI10" s="18"/>
      <c r="AJ10" s="18"/>
      <c r="AK10" s="48"/>
      <c r="AL10" s="9" t="str">
        <f t="shared" si="8"/>
        <v>CNXPOPA </v>
      </c>
      <c r="AM10" s="9" t="str">
        <f t="shared" si="9"/>
        <v>113,02</v>
      </c>
      <c r="AN10" s="9" t="str">
        <f>IFERROR(__xludf.DUMMYFUNCTION("""COMPUTED_VALUE"""),"*CNXPOPA *
Adcap Pesos Plus")</f>
        <v>*CNXPOPA *
Adcap Pesos Plus</v>
      </c>
      <c r="AO10" s="9" t="str">
        <f>IFERROR(__xludf.DUMMYFUNCTION("""COMPUTED_VALUE"""),"Renta Fija Pesos")</f>
        <v>Renta Fija Pesos</v>
      </c>
      <c r="AP10" s="9" t="str">
        <f>IFERROR(__xludf.DUMMYFUNCTION("""COMPUTED_VALUE"""),"Corto Plazo")</f>
        <v>Corto Plazo</v>
      </c>
      <c r="AQ10" s="9" t="str">
        <f>IFERROR(__xludf.DUMMYFUNCTION("""COMPUTED_VALUE"""),"AR$ 113,02")</f>
        <v>AR$ 113,02</v>
      </c>
    </row>
    <row r="11">
      <c r="A11" s="5"/>
      <c r="B11" s="5"/>
      <c r="C11" s="11"/>
      <c r="D11" s="5"/>
      <c r="E11" s="11"/>
      <c r="F11" s="20"/>
      <c r="G11" s="5"/>
      <c r="H11" s="5"/>
      <c r="I11" s="21"/>
      <c r="J11" s="21"/>
      <c r="K11" s="9" t="str">
        <f t="shared" si="10"/>
        <v>...</v>
      </c>
      <c r="L11" s="9" t="str">
        <f t="shared" si="11"/>
        <v>...</v>
      </c>
      <c r="M11" s="15"/>
      <c r="N11" s="9"/>
      <c r="O11" s="23"/>
      <c r="P11" s="9" t="str">
        <f>if(B11=0,"...",$H11*(IF(D11="ABIERTA",K11,J11)*(1-VLOOKUP(A11,Config!$A$3:$B$5,2,FALSE)))/100)</f>
        <v>...</v>
      </c>
      <c r="Q11" s="9"/>
      <c r="R11" s="23"/>
      <c r="S11" s="10" t="str">
        <f t="shared" si="12"/>
        <v>...</v>
      </c>
      <c r="T11" s="20" t="str">
        <f t="shared" si="13"/>
        <v>...</v>
      </c>
      <c r="U11" s="24" t="str">
        <f t="shared" si="14"/>
        <v>...</v>
      </c>
      <c r="V11" s="15" t="str">
        <f t="shared" si="15"/>
        <v>...</v>
      </c>
      <c r="W11" s="18"/>
      <c r="X11" s="9"/>
      <c r="Y11" s="9" t="str">
        <f t="shared" si="7"/>
        <v>...</v>
      </c>
      <c r="Z11" s="9" t="str">
        <f t="shared" si="1"/>
        <v>...</v>
      </c>
      <c r="AA11" s="10" t="str">
        <f t="shared" si="2"/>
        <v/>
      </c>
      <c r="AB11" s="9" t="str">
        <f t="shared" si="3"/>
        <v>...</v>
      </c>
      <c r="AC11" s="15" t="str">
        <f t="shared" si="4"/>
        <v>...</v>
      </c>
      <c r="AD11" s="10" t="str">
        <f t="shared" si="5"/>
        <v>...</v>
      </c>
      <c r="AE11" s="15" t="str">
        <f t="shared" si="6"/>
        <v>...</v>
      </c>
      <c r="AF11" s="18"/>
      <c r="AG11" s="18"/>
      <c r="AH11" s="18"/>
      <c r="AI11" s="18"/>
      <c r="AJ11" s="18"/>
      <c r="AK11" s="48"/>
      <c r="AL11" s="9" t="str">
        <f t="shared" si="8"/>
        <v>CONBAA </v>
      </c>
      <c r="AM11" s="9" t="str">
        <f t="shared" si="9"/>
        <v>125,20</v>
      </c>
      <c r="AN11" s="9" t="str">
        <f>IFERROR(__xludf.DUMMYFUNCTION("""COMPUTED_VALUE"""),"*CONBAA *
Adcap Balanceado")</f>
        <v>*CONBAA *
Adcap Balanceado</v>
      </c>
      <c r="AO11" s="9" t="str">
        <f>IFERROR(__xludf.DUMMYFUNCTION("""COMPUTED_VALUE"""),"Renta Mixta Pesos")</f>
        <v>Renta Mixta Pesos</v>
      </c>
      <c r="AP11" s="9" t="str">
        <f>IFERROR(__xludf.DUMMYFUNCTION("""COMPUTED_VALUE"""),"Largo Plazo")</f>
        <v>Largo Plazo</v>
      </c>
      <c r="AQ11" s="9" t="str">
        <f>IFERROR(__xludf.DUMMYFUNCTION("""COMPUTED_VALUE"""),"AR$ 125,20")</f>
        <v>AR$ 125,20</v>
      </c>
    </row>
    <row r="12">
      <c r="A12" s="5"/>
      <c r="B12" s="5"/>
      <c r="C12" s="11"/>
      <c r="D12" s="5"/>
      <c r="E12" s="11"/>
      <c r="F12" s="20"/>
      <c r="G12" s="5"/>
      <c r="H12" s="5"/>
      <c r="I12" s="21"/>
      <c r="J12" s="21"/>
      <c r="K12" s="9" t="str">
        <f t="shared" si="10"/>
        <v>...</v>
      </c>
      <c r="L12" s="9" t="str">
        <f t="shared" si="11"/>
        <v>...</v>
      </c>
      <c r="M12" s="15"/>
      <c r="N12" s="9"/>
      <c r="O12" s="23"/>
      <c r="P12" s="9" t="str">
        <f>if(B12=0,"...",$H12*(IF(D12="ABIERTA",K12,J12)*(1-VLOOKUP(A12,Config!$A$3:$B$5,2,FALSE)))/100)</f>
        <v>...</v>
      </c>
      <c r="Q12" s="9"/>
      <c r="R12" s="23"/>
      <c r="S12" s="10" t="str">
        <f t="shared" si="12"/>
        <v>...</v>
      </c>
      <c r="T12" s="20" t="str">
        <f t="shared" si="13"/>
        <v>...</v>
      </c>
      <c r="U12" s="24" t="str">
        <f t="shared" si="14"/>
        <v>...</v>
      </c>
      <c r="V12" s="15" t="str">
        <f t="shared" si="15"/>
        <v>...</v>
      </c>
      <c r="W12" s="18"/>
      <c r="X12" s="9"/>
      <c r="Y12" s="9" t="str">
        <f t="shared" si="7"/>
        <v>...</v>
      </c>
      <c r="Z12" s="9" t="str">
        <f t="shared" si="1"/>
        <v>...</v>
      </c>
      <c r="AA12" s="10" t="str">
        <f t="shared" si="2"/>
        <v/>
      </c>
      <c r="AB12" s="9" t="str">
        <f t="shared" si="3"/>
        <v>...</v>
      </c>
      <c r="AC12" s="15" t="str">
        <f t="shared" si="4"/>
        <v>...</v>
      </c>
      <c r="AD12" s="10" t="str">
        <f t="shared" si="5"/>
        <v>...</v>
      </c>
      <c r="AE12" s="15" t="str">
        <f t="shared" si="6"/>
        <v>...</v>
      </c>
      <c r="AF12" s="18"/>
      <c r="AG12" s="18"/>
      <c r="AH12" s="18"/>
      <c r="AI12" s="18"/>
      <c r="AJ12" s="18"/>
      <c r="AK12" s="48"/>
      <c r="AL12" s="9" t="str">
        <f t="shared" si="8"/>
        <v>CONIOLA </v>
      </c>
      <c r="AM12" s="9" t="str">
        <f t="shared" si="9"/>
        <v>187,01</v>
      </c>
      <c r="AN12" s="9" t="str">
        <f>IFERROR(__xludf.DUMMYFUNCTION("""COMPUTED_VALUE"""),"*CONIOLA *
Adcap Acciones")</f>
        <v>*CONIOLA *
Adcap Acciones</v>
      </c>
      <c r="AO12" s="9" t="str">
        <f>IFERROR(__xludf.DUMMYFUNCTION("""COMPUTED_VALUE"""),"Renta Variable Pesos")</f>
        <v>Renta Variable Pesos</v>
      </c>
      <c r="AP12" s="9" t="str">
        <f>IFERROR(__xludf.DUMMYFUNCTION("""COMPUTED_VALUE"""),"Largo Plazo")</f>
        <v>Largo Plazo</v>
      </c>
      <c r="AQ12" s="9" t="str">
        <f>IFERROR(__xludf.DUMMYFUNCTION("""COMPUTED_VALUE"""),"AR$ 187,01")</f>
        <v>AR$ 187,01</v>
      </c>
    </row>
    <row r="13">
      <c r="A13" s="5"/>
      <c r="B13" s="5"/>
      <c r="C13" s="11"/>
      <c r="D13" s="5"/>
      <c r="E13" s="19"/>
      <c r="F13" s="20"/>
      <c r="G13" s="5"/>
      <c r="H13" s="5"/>
      <c r="I13" s="21"/>
      <c r="J13" s="22"/>
      <c r="K13" s="9" t="str">
        <f t="shared" si="10"/>
        <v>...</v>
      </c>
      <c r="L13" s="9" t="str">
        <f t="shared" si="11"/>
        <v>...</v>
      </c>
      <c r="M13" s="15"/>
      <c r="N13" s="9"/>
      <c r="O13" s="23"/>
      <c r="P13" s="9" t="str">
        <f>if(B13=0,"...",$H13*(IF(D13="ABIERTA",K13,J13)*(1-VLOOKUP(A13,Config!$A$3:$B$5,2,FALSE)))/100)</f>
        <v>...</v>
      </c>
      <c r="Q13" s="9"/>
      <c r="R13" s="23"/>
      <c r="S13" s="10" t="str">
        <f t="shared" si="12"/>
        <v>...</v>
      </c>
      <c r="T13" s="20" t="str">
        <f t="shared" si="13"/>
        <v>...</v>
      </c>
      <c r="U13" s="24" t="str">
        <f t="shared" si="14"/>
        <v>...</v>
      </c>
      <c r="V13" s="15" t="str">
        <f t="shared" si="15"/>
        <v>...</v>
      </c>
      <c r="W13" s="18"/>
      <c r="X13" s="9"/>
      <c r="Y13" s="9" t="str">
        <f t="shared" si="7"/>
        <v>...</v>
      </c>
      <c r="Z13" s="9" t="str">
        <f t="shared" si="1"/>
        <v>...</v>
      </c>
      <c r="AA13" s="10" t="str">
        <f t="shared" si="2"/>
        <v/>
      </c>
      <c r="AB13" s="9" t="str">
        <f t="shared" si="3"/>
        <v>...</v>
      </c>
      <c r="AC13" s="15" t="str">
        <f t="shared" si="4"/>
        <v>...</v>
      </c>
      <c r="AD13" s="10" t="str">
        <f t="shared" si="5"/>
        <v>...</v>
      </c>
      <c r="AE13" s="15" t="str">
        <f t="shared" si="6"/>
        <v>...</v>
      </c>
      <c r="AF13" s="18"/>
      <c r="AG13" s="18"/>
      <c r="AH13" s="18"/>
      <c r="AI13" s="18"/>
      <c r="AJ13" s="18"/>
      <c r="AK13" s="48"/>
      <c r="AL13" s="9" t="str">
        <f t="shared" si="8"/>
        <v>CONRETO </v>
      </c>
      <c r="AM13" s="9" t="str">
        <f t="shared" si="9"/>
        <v>28,85</v>
      </c>
      <c r="AN13" s="9" t="str">
        <f>IFERROR(__xludf.DUMMYFUNCTION("""COMPUTED_VALUE"""),"*CONRETO *
Adcap Moneda")</f>
        <v>*CONRETO *
Adcap Moneda</v>
      </c>
      <c r="AO13" s="9" t="str">
        <f>IFERROR(__xludf.DUMMYFUNCTION("""COMPUTED_VALUE"""),"Renta Variable Pesos")</f>
        <v>Renta Variable Pesos</v>
      </c>
      <c r="AP13" s="9" t="str">
        <f>IFERROR(__xludf.DUMMYFUNCTION("""COMPUTED_VALUE"""),"Mediano Plazo")</f>
        <v>Mediano Plazo</v>
      </c>
      <c r="AQ13" s="9" t="str">
        <f>IFERROR(__xludf.DUMMYFUNCTION("""COMPUTED_VALUE"""),"AR$ 28,85")</f>
        <v>AR$ 28,85</v>
      </c>
    </row>
    <row r="14">
      <c r="A14" s="5"/>
      <c r="B14" s="5"/>
      <c r="C14" s="11"/>
      <c r="D14" s="5"/>
      <c r="E14" s="25"/>
      <c r="F14" s="20"/>
      <c r="G14" s="5"/>
      <c r="H14" s="5"/>
      <c r="I14" s="21"/>
      <c r="J14" s="22"/>
      <c r="K14" s="9" t="str">
        <f t="shared" si="10"/>
        <v>...</v>
      </c>
      <c r="L14" s="9" t="str">
        <f t="shared" si="11"/>
        <v>...</v>
      </c>
      <c r="M14" s="15"/>
      <c r="N14" s="9"/>
      <c r="O14" s="23"/>
      <c r="P14" s="9" t="str">
        <f>if(B14=0,"...",$H14*(IF(D14="ABIERTA",K14,J14)*(1-VLOOKUP(A14,Config!$A$3:$B$5,2,FALSE)))/100)</f>
        <v>...</v>
      </c>
      <c r="Q14" s="9"/>
      <c r="R14" s="23"/>
      <c r="S14" s="10" t="str">
        <f t="shared" si="12"/>
        <v>...</v>
      </c>
      <c r="T14" s="20" t="str">
        <f t="shared" si="13"/>
        <v>...</v>
      </c>
      <c r="U14" s="24" t="str">
        <f t="shared" si="14"/>
        <v>...</v>
      </c>
      <c r="V14" s="15" t="str">
        <f t="shared" si="15"/>
        <v>...</v>
      </c>
      <c r="W14" s="18"/>
      <c r="X14" s="9"/>
      <c r="Y14" s="9" t="str">
        <f t="shared" si="7"/>
        <v>...</v>
      </c>
      <c r="Z14" s="9" t="str">
        <f t="shared" si="1"/>
        <v>...</v>
      </c>
      <c r="AA14" s="10" t="str">
        <f t="shared" si="2"/>
        <v/>
      </c>
      <c r="AB14" s="9" t="str">
        <f t="shared" si="3"/>
        <v>...</v>
      </c>
      <c r="AC14" s="15" t="str">
        <f t="shared" si="4"/>
        <v>...</v>
      </c>
      <c r="AD14" s="10" t="str">
        <f t="shared" si="5"/>
        <v>...</v>
      </c>
      <c r="AE14" s="15" t="str">
        <f t="shared" si="6"/>
        <v>...</v>
      </c>
      <c r="AF14" s="18"/>
      <c r="AG14" s="18"/>
      <c r="AH14" s="18"/>
      <c r="AI14" s="18"/>
      <c r="AJ14" s="18"/>
      <c r="AK14" s="48"/>
      <c r="AL14" s="9" t="str">
        <f t="shared" si="8"/>
        <v>CRTAFAA </v>
      </c>
      <c r="AM14" s="9" t="str">
        <f t="shared" si="9"/>
        <v>160,94</v>
      </c>
      <c r="AN14" s="9" t="str">
        <f>IFERROR(__xludf.DUMMYFUNCTION("""COMPUTED_VALUE"""),"*CRTAFAA *
Adcap Renta Fija")</f>
        <v>*CRTAFAA *
Adcap Renta Fija</v>
      </c>
      <c r="AO14" s="9" t="str">
        <f>IFERROR(__xludf.DUMMYFUNCTION("""COMPUTED_VALUE"""),"Renta Fija Pesos")</f>
        <v>Renta Fija Pesos</v>
      </c>
      <c r="AP14" s="9" t="str">
        <f>IFERROR(__xludf.DUMMYFUNCTION("""COMPUTED_VALUE"""),"Mediano Plazo")</f>
        <v>Mediano Plazo</v>
      </c>
      <c r="AQ14" s="9" t="str">
        <f>IFERROR(__xludf.DUMMYFUNCTION("""COMPUTED_VALUE"""),"AR$ 160,94")</f>
        <v>AR$ 160,94</v>
      </c>
    </row>
    <row r="15">
      <c r="A15" s="5"/>
      <c r="B15" s="5"/>
      <c r="C15" s="11"/>
      <c r="D15" s="5"/>
      <c r="E15" s="25"/>
      <c r="F15" s="20"/>
      <c r="G15" s="5"/>
      <c r="H15" s="5"/>
      <c r="I15" s="21"/>
      <c r="J15" s="22"/>
      <c r="K15" s="9" t="str">
        <f t="shared" si="10"/>
        <v>...</v>
      </c>
      <c r="L15" s="9" t="str">
        <f t="shared" si="11"/>
        <v>...</v>
      </c>
      <c r="M15" s="15"/>
      <c r="N15" s="9"/>
      <c r="O15" s="23"/>
      <c r="P15" s="9" t="str">
        <f>if(B15=0,"...",$H15*(IF(D15="ABIERTA",K15,J15)*(1-VLOOKUP(A15,Config!$A$3:$B$5,2,FALSE)))/100)</f>
        <v>...</v>
      </c>
      <c r="Q15" s="9"/>
      <c r="R15" s="23"/>
      <c r="S15" s="10" t="str">
        <f t="shared" si="12"/>
        <v>...</v>
      </c>
      <c r="T15" s="20" t="str">
        <f t="shared" si="13"/>
        <v>...</v>
      </c>
      <c r="U15" s="24" t="str">
        <f t="shared" si="14"/>
        <v>...</v>
      </c>
      <c r="V15" s="15" t="str">
        <f t="shared" si="15"/>
        <v>...</v>
      </c>
      <c r="W15" s="18"/>
      <c r="X15" s="9"/>
      <c r="Y15" s="9" t="str">
        <f t="shared" si="7"/>
        <v>...</v>
      </c>
      <c r="Z15" s="9" t="str">
        <f t="shared" si="1"/>
        <v>...</v>
      </c>
      <c r="AA15" s="10" t="str">
        <f t="shared" si="2"/>
        <v/>
      </c>
      <c r="AB15" s="9" t="str">
        <f t="shared" si="3"/>
        <v>...</v>
      </c>
      <c r="AC15" s="15" t="str">
        <f t="shared" si="4"/>
        <v>...</v>
      </c>
      <c r="AD15" s="10" t="str">
        <f t="shared" si="5"/>
        <v>...</v>
      </c>
      <c r="AE15" s="15" t="str">
        <f t="shared" si="6"/>
        <v>...</v>
      </c>
      <c r="AF15" s="18"/>
      <c r="AG15" s="18"/>
      <c r="AH15" s="18"/>
      <c r="AI15" s="18"/>
      <c r="AJ15" s="18"/>
      <c r="AK15" s="48"/>
      <c r="AL15" s="9" t="str">
        <f t="shared" si="8"/>
        <v>IOLDOLD </v>
      </c>
      <c r="AM15" s="9" t="str">
        <f t="shared" si="9"/>
        <v>1,04</v>
      </c>
      <c r="AN15" s="9" t="str">
        <f>IFERROR(__xludf.DUMMYFUNCTION("""COMPUTED_VALUE"""),"*IOLDOLD *
IOL Dólar Ahorro Plus")</f>
        <v>*IOLDOLD *
IOL Dólar Ahorro Plus</v>
      </c>
      <c r="AO15" s="9" t="str">
        <f>IFERROR(__xludf.DUMMYFUNCTION("""COMPUTED_VALUE"""),"Renta Fija Dólares")</f>
        <v>Renta Fija Dólares</v>
      </c>
      <c r="AP15" s="9" t="str">
        <f>IFERROR(__xludf.DUMMYFUNCTION("""COMPUTED_VALUE"""),"Corto Plazo")</f>
        <v>Corto Plazo</v>
      </c>
      <c r="AQ15" s="9" t="str">
        <f>IFERROR(__xludf.DUMMYFUNCTION("""COMPUTED_VALUE"""),"US$ 1,04")</f>
        <v>US$ 1,04</v>
      </c>
    </row>
    <row r="16">
      <c r="A16" s="5"/>
      <c r="B16" s="5"/>
      <c r="C16" s="11"/>
      <c r="D16" s="5"/>
      <c r="E16" s="25"/>
      <c r="F16" s="20"/>
      <c r="G16" s="5"/>
      <c r="H16" s="5"/>
      <c r="I16" s="21"/>
      <c r="J16" s="22"/>
      <c r="K16" s="9" t="str">
        <f t="shared" si="10"/>
        <v>...</v>
      </c>
      <c r="L16" s="9" t="str">
        <f t="shared" si="11"/>
        <v>...</v>
      </c>
      <c r="M16" s="15"/>
      <c r="N16" s="9"/>
      <c r="O16" s="23"/>
      <c r="P16" s="9" t="str">
        <f>if(B16=0,"...",$H16*(IF(D16="ABIERTA",K16,J16)*(1-VLOOKUP(A16,Config!$A$3:$B$5,2,FALSE)))/100)</f>
        <v>...</v>
      </c>
      <c r="Q16" s="9"/>
      <c r="R16" s="23"/>
      <c r="S16" s="10" t="str">
        <f t="shared" si="12"/>
        <v>...</v>
      </c>
      <c r="T16" s="20" t="str">
        <f t="shared" si="13"/>
        <v>...</v>
      </c>
      <c r="U16" s="24" t="str">
        <f t="shared" si="14"/>
        <v>...</v>
      </c>
      <c r="V16" s="15" t="str">
        <f t="shared" si="15"/>
        <v>...</v>
      </c>
      <c r="W16" s="18"/>
      <c r="X16" s="9"/>
      <c r="Y16" s="9" t="str">
        <f t="shared" si="7"/>
        <v>...</v>
      </c>
      <c r="Z16" s="9" t="str">
        <f t="shared" si="1"/>
        <v>...</v>
      </c>
      <c r="AA16" s="10" t="str">
        <f t="shared" si="2"/>
        <v/>
      </c>
      <c r="AB16" s="9" t="str">
        <f t="shared" si="3"/>
        <v>...</v>
      </c>
      <c r="AC16" s="15" t="str">
        <f t="shared" si="4"/>
        <v>...</v>
      </c>
      <c r="AD16" s="10" t="str">
        <f t="shared" si="5"/>
        <v>...</v>
      </c>
      <c r="AE16" s="15" t="str">
        <f t="shared" si="6"/>
        <v>...</v>
      </c>
      <c r="AF16" s="18"/>
      <c r="AG16" s="18"/>
      <c r="AH16" s="18"/>
      <c r="AI16" s="18"/>
      <c r="AJ16" s="18"/>
      <c r="AK16" s="48"/>
      <c r="AL16" s="9" t="str">
        <f t="shared" si="8"/>
        <v>IOLPORA </v>
      </c>
      <c r="AM16" s="9" t="str">
        <f t="shared" si="9"/>
        <v>1,32</v>
      </c>
      <c r="AN16" s="9" t="str">
        <f>IFERROR(__xludf.DUMMYFUNCTION("""COMPUTED_VALUE"""),"*IOLPORA *
IOL Portafolio Potenciado")</f>
        <v>*IOLPORA *
IOL Portafolio Potenciado</v>
      </c>
      <c r="AO16" s="9" t="str">
        <f>IFERROR(__xludf.DUMMYFUNCTION("""COMPUTED_VALUE"""),"Renta Mixta Pesos")</f>
        <v>Renta Mixta Pesos</v>
      </c>
      <c r="AP16" s="9" t="str">
        <f>IFERROR(__xludf.DUMMYFUNCTION("""COMPUTED_VALUE"""),"Mediano Plazo")</f>
        <v>Mediano Plazo</v>
      </c>
      <c r="AQ16" s="9" t="str">
        <f>IFERROR(__xludf.DUMMYFUNCTION("""COMPUTED_VALUE"""),"AR$ 1,32")</f>
        <v>AR$ 1,32</v>
      </c>
    </row>
    <row r="17">
      <c r="A17" s="5"/>
      <c r="B17" s="5"/>
      <c r="C17" s="11"/>
      <c r="D17" s="5"/>
      <c r="E17" s="25"/>
      <c r="F17" s="20"/>
      <c r="G17" s="5"/>
      <c r="H17" s="5"/>
      <c r="I17" s="21"/>
      <c r="J17" s="22"/>
      <c r="K17" s="9" t="str">
        <f t="shared" si="10"/>
        <v>...</v>
      </c>
      <c r="L17" s="9" t="str">
        <f t="shared" si="11"/>
        <v>...</v>
      </c>
      <c r="M17" s="15"/>
      <c r="N17" s="9"/>
      <c r="O17" s="23"/>
      <c r="P17" s="9" t="str">
        <f>if(B17=0,"...",$H17*(IF(D17="ABIERTA",K17,J17)*(1-VLOOKUP(A17,Config!$A$3:$B$5,2,FALSE)))/100)</f>
        <v>...</v>
      </c>
      <c r="Q17" s="9"/>
      <c r="R17" s="23"/>
      <c r="S17" s="10" t="str">
        <f t="shared" si="12"/>
        <v>...</v>
      </c>
      <c r="T17" s="20" t="str">
        <f t="shared" si="13"/>
        <v>...</v>
      </c>
      <c r="U17" s="24" t="str">
        <f t="shared" si="14"/>
        <v>...</v>
      </c>
      <c r="V17" s="15" t="str">
        <f t="shared" si="15"/>
        <v>...</v>
      </c>
      <c r="W17" s="18"/>
      <c r="X17" s="9"/>
      <c r="Y17" s="9" t="str">
        <f t="shared" si="7"/>
        <v>...</v>
      </c>
      <c r="Z17" s="9" t="str">
        <f t="shared" si="1"/>
        <v>...</v>
      </c>
      <c r="AA17" s="10" t="str">
        <f t="shared" si="2"/>
        <v/>
      </c>
      <c r="AB17" s="9" t="str">
        <f t="shared" si="3"/>
        <v>...</v>
      </c>
      <c r="AC17" s="15" t="str">
        <f t="shared" si="4"/>
        <v>...</v>
      </c>
      <c r="AD17" s="10" t="str">
        <f t="shared" si="5"/>
        <v>...</v>
      </c>
      <c r="AE17" s="15" t="str">
        <f t="shared" si="6"/>
        <v>...</v>
      </c>
      <c r="AF17" s="18"/>
      <c r="AG17" s="18"/>
      <c r="AH17" s="18"/>
      <c r="AI17" s="18"/>
      <c r="AJ17" s="18"/>
      <c r="AK17" s="48"/>
      <c r="AL17" s="9" t="str">
        <f t="shared" si="8"/>
        <v>PCOMAGB </v>
      </c>
      <c r="AM17" s="9" t="str">
        <f t="shared" si="9"/>
        <v>357,07</v>
      </c>
      <c r="AN17" s="9" t="str">
        <f>IFERROR(__xludf.DUMMYFUNCTION("""COMPUTED_VALUE"""),"*PCOMAGB *
Premier Commodities")</f>
        <v>*PCOMAGB *
Premier Commodities</v>
      </c>
      <c r="AO17" s="9" t="str">
        <f>IFERROR(__xludf.DUMMYFUNCTION("""COMPUTED_VALUE"""),"Renta Variable Pesos")</f>
        <v>Renta Variable Pesos</v>
      </c>
      <c r="AP17" s="9" t="str">
        <f>IFERROR(__xludf.DUMMYFUNCTION("""COMPUTED_VALUE"""),"Largo Plazo")</f>
        <v>Largo Plazo</v>
      </c>
      <c r="AQ17" s="9" t="str">
        <f>IFERROR(__xludf.DUMMYFUNCTION("""COMPUTED_VALUE"""),"AR$ 357,07")</f>
        <v>AR$ 357,07</v>
      </c>
    </row>
    <row r="18">
      <c r="A18" s="5"/>
      <c r="B18" s="5"/>
      <c r="C18" s="11"/>
      <c r="D18" s="5"/>
      <c r="E18" s="25"/>
      <c r="F18" s="20"/>
      <c r="G18" s="5"/>
      <c r="H18" s="5"/>
      <c r="I18" s="21"/>
      <c r="J18" s="22"/>
      <c r="K18" s="9" t="str">
        <f t="shared" si="10"/>
        <v>...</v>
      </c>
      <c r="L18" s="9" t="str">
        <f t="shared" si="11"/>
        <v>...</v>
      </c>
      <c r="M18" s="15"/>
      <c r="N18" s="9"/>
      <c r="O18" s="23"/>
      <c r="P18" s="9" t="str">
        <f>if(B18=0,"...",$H18*(IF(D18="ABIERTA",K18,J18)*(1-VLOOKUP(A18,Config!$A$3:$B$5,2,FALSE)))/100)</f>
        <v>...</v>
      </c>
      <c r="Q18" s="9"/>
      <c r="R18" s="23"/>
      <c r="S18" s="10" t="str">
        <f t="shared" si="12"/>
        <v>...</v>
      </c>
      <c r="T18" s="20" t="str">
        <f t="shared" si="13"/>
        <v>...</v>
      </c>
      <c r="U18" s="24" t="str">
        <f t="shared" si="14"/>
        <v>...</v>
      </c>
      <c r="V18" s="15" t="str">
        <f t="shared" si="15"/>
        <v>...</v>
      </c>
      <c r="W18" s="18"/>
      <c r="X18" s="9"/>
      <c r="Y18" s="9" t="str">
        <f t="shared" si="7"/>
        <v>...</v>
      </c>
      <c r="Z18" s="9" t="str">
        <f t="shared" si="1"/>
        <v>...</v>
      </c>
      <c r="AA18" s="10" t="str">
        <f t="shared" si="2"/>
        <v/>
      </c>
      <c r="AB18" s="9" t="str">
        <f t="shared" si="3"/>
        <v>...</v>
      </c>
      <c r="AC18" s="15" t="str">
        <f t="shared" si="4"/>
        <v>...</v>
      </c>
      <c r="AD18" s="10" t="str">
        <f t="shared" si="5"/>
        <v>...</v>
      </c>
      <c r="AE18" s="15" t="str">
        <f t="shared" si="6"/>
        <v>...</v>
      </c>
      <c r="AF18" s="18"/>
      <c r="AG18" s="26" t="s">
        <v>57</v>
      </c>
      <c r="AH18" s="27">
        <f>sumifs(R2:R29,D2:D29,"ABIERTA")</f>
        <v>0</v>
      </c>
      <c r="AI18" s="26" t="s">
        <v>58</v>
      </c>
      <c r="AJ18" s="27">
        <f>sum(R2:R29)</f>
        <v>128.8314073</v>
      </c>
      <c r="AK18" s="48"/>
      <c r="AL18" s="9" t="str">
        <f t="shared" si="8"/>
        <v>PRCPPEB </v>
      </c>
      <c r="AM18" s="9" t="str">
        <f t="shared" si="9"/>
        <v>144,66</v>
      </c>
      <c r="AN18" s="9" t="str">
        <f>IFERROR(__xludf.DUMMYFUNCTION("""COMPUTED_VALUE"""),"*PRCPPEB *
Premier Renta Corto Plazo En Pesos")</f>
        <v>*PRCPPEB *
Premier Renta Corto Plazo En Pesos</v>
      </c>
      <c r="AO18" s="9" t="str">
        <f>IFERROR(__xludf.DUMMYFUNCTION("""COMPUTED_VALUE"""),"Plazos Fijos Pesos")</f>
        <v>Plazos Fijos Pesos</v>
      </c>
      <c r="AP18" s="9" t="str">
        <f>IFERROR(__xludf.DUMMYFUNCTION("""COMPUTED_VALUE"""),"Corto Plazo")</f>
        <v>Corto Plazo</v>
      </c>
      <c r="AQ18" s="9" t="str">
        <f>IFERROR(__xludf.DUMMYFUNCTION("""COMPUTED_VALUE"""),"AR$ 144,66")</f>
        <v>AR$ 144,66</v>
      </c>
    </row>
    <row r="19">
      <c r="A19" s="5"/>
      <c r="B19" s="5"/>
      <c r="C19" s="11"/>
      <c r="D19" s="5"/>
      <c r="E19" s="25"/>
      <c r="F19" s="20"/>
      <c r="G19" s="5"/>
      <c r="H19" s="5"/>
      <c r="I19" s="21"/>
      <c r="J19" s="22"/>
      <c r="K19" s="9" t="str">
        <f t="shared" si="10"/>
        <v>...</v>
      </c>
      <c r="L19" s="9" t="str">
        <f t="shared" si="11"/>
        <v>...</v>
      </c>
      <c r="M19" s="15"/>
      <c r="N19" s="9"/>
      <c r="O19" s="23"/>
      <c r="P19" s="9" t="str">
        <f>if(B19=0,"...",$H19*(IF(D19="ABIERTA",K19,J19)*(1-VLOOKUP(A19,Config!$A$3:$B$5,2,FALSE)))/100)</f>
        <v>...</v>
      </c>
      <c r="Q19" s="9"/>
      <c r="R19" s="23"/>
      <c r="S19" s="10" t="str">
        <f t="shared" si="12"/>
        <v>...</v>
      </c>
      <c r="T19" s="20" t="str">
        <f t="shared" si="13"/>
        <v>...</v>
      </c>
      <c r="U19" s="24" t="str">
        <f t="shared" si="14"/>
        <v>...</v>
      </c>
      <c r="V19" s="15" t="str">
        <f t="shared" si="15"/>
        <v>...</v>
      </c>
      <c r="W19" s="18"/>
      <c r="X19" s="9"/>
      <c r="Y19" s="9" t="str">
        <f t="shared" si="7"/>
        <v>...</v>
      </c>
      <c r="Z19" s="9" t="str">
        <f t="shared" si="1"/>
        <v>...</v>
      </c>
      <c r="AA19" s="10" t="str">
        <f t="shared" si="2"/>
        <v/>
      </c>
      <c r="AB19" s="9" t="str">
        <f t="shared" si="3"/>
        <v>...</v>
      </c>
      <c r="AC19" s="15" t="str">
        <f t="shared" si="4"/>
        <v>...</v>
      </c>
      <c r="AD19" s="10" t="str">
        <f t="shared" si="5"/>
        <v>...</v>
      </c>
      <c r="AE19" s="15" t="str">
        <f t="shared" si="6"/>
        <v>...</v>
      </c>
      <c r="AF19" s="18"/>
      <c r="AG19" s="26"/>
      <c r="AH19" s="27"/>
      <c r="AI19" s="26"/>
      <c r="AJ19" s="27"/>
      <c r="AK19" s="48"/>
      <c r="AL19" s="9" t="str">
        <f t="shared" si="8"/>
        <v>PRERMDB </v>
      </c>
      <c r="AM19" s="9" t="str">
        <f t="shared" si="9"/>
        <v>0,99</v>
      </c>
      <c r="AN19" s="9" t="str">
        <f>IFERROR(__xludf.DUMMYFUNCTION("""COMPUTED_VALUE"""),"*PRERMDB *
Premier Renta Mixta En Dolares")</f>
        <v>*PRERMDB *
Premier Renta Mixta En Dolares</v>
      </c>
      <c r="AO19" s="9" t="str">
        <f>IFERROR(__xludf.DUMMYFUNCTION("""COMPUTED_VALUE"""),"Renta Mixta Dólares")</f>
        <v>Renta Mixta Dólares</v>
      </c>
      <c r="AP19" s="9" t="str">
        <f>IFERROR(__xludf.DUMMYFUNCTION("""COMPUTED_VALUE"""),"Largo Plazo")</f>
        <v>Largo Plazo</v>
      </c>
      <c r="AQ19" s="9" t="str">
        <f>IFERROR(__xludf.DUMMYFUNCTION("""COMPUTED_VALUE"""),"US$ 0,99")</f>
        <v>US$ 0,99</v>
      </c>
    </row>
    <row r="20">
      <c r="A20" s="5"/>
      <c r="B20" s="5"/>
      <c r="C20" s="11"/>
      <c r="D20" s="5"/>
      <c r="E20" s="25"/>
      <c r="F20" s="20"/>
      <c r="G20" s="5"/>
      <c r="H20" s="5"/>
      <c r="I20" s="21"/>
      <c r="J20" s="22"/>
      <c r="K20" s="9" t="str">
        <f t="shared" si="10"/>
        <v>...</v>
      </c>
      <c r="L20" s="9" t="str">
        <f t="shared" si="11"/>
        <v>...</v>
      </c>
      <c r="M20" s="15"/>
      <c r="N20" s="9"/>
      <c r="O20" s="23"/>
      <c r="P20" s="9" t="str">
        <f>if(B20=0,"...",$H20*(IF(D20="ABIERTA",K20,J20)*(1-VLOOKUP(A20,Config!$A$3:$B$5,2,FALSE)))/100)</f>
        <v>...</v>
      </c>
      <c r="Q20" s="9"/>
      <c r="R20" s="23"/>
      <c r="S20" s="10" t="str">
        <f t="shared" si="12"/>
        <v>...</v>
      </c>
      <c r="T20" s="20" t="str">
        <f t="shared" si="13"/>
        <v>...</v>
      </c>
      <c r="U20" s="24" t="str">
        <f t="shared" si="14"/>
        <v>...</v>
      </c>
      <c r="V20" s="15" t="str">
        <f t="shared" si="15"/>
        <v>...</v>
      </c>
      <c r="W20" s="18"/>
      <c r="X20" s="9"/>
      <c r="Y20" s="9" t="str">
        <f t="shared" si="7"/>
        <v>...</v>
      </c>
      <c r="Z20" s="9" t="str">
        <f t="shared" si="1"/>
        <v>...</v>
      </c>
      <c r="AA20" s="10" t="str">
        <f t="shared" si="2"/>
        <v/>
      </c>
      <c r="AB20" s="9" t="str">
        <f t="shared" si="3"/>
        <v>...</v>
      </c>
      <c r="AC20" s="15" t="str">
        <f t="shared" si="4"/>
        <v>...</v>
      </c>
      <c r="AD20" s="10" t="str">
        <f t="shared" si="5"/>
        <v>...</v>
      </c>
      <c r="AE20" s="15" t="str">
        <f t="shared" si="6"/>
        <v>...</v>
      </c>
      <c r="AF20" s="18"/>
      <c r="AG20" s="26" t="s">
        <v>59</v>
      </c>
      <c r="AH20" s="27">
        <f>sumifs(V2:V29,D2:D29,"ABIERTA")</f>
        <v>0</v>
      </c>
      <c r="AI20" s="26" t="s">
        <v>60</v>
      </c>
      <c r="AJ20" s="27">
        <f>sum(V2:V29)</f>
        <v>37.57217242</v>
      </c>
      <c r="AK20" s="48"/>
      <c r="AL20" s="9" t="str">
        <f t="shared" si="8"/>
        <v>PRFAHOB </v>
      </c>
      <c r="AM20" s="9" t="str">
        <f t="shared" si="9"/>
        <v>700,56</v>
      </c>
      <c r="AN20" s="9" t="str">
        <f>IFERROR(__xludf.DUMMYFUNCTION("""COMPUTED_VALUE"""),"*PRFAHOB *
Premier Renta Fija Ahorro")</f>
        <v>*PRFAHOB *
Premier Renta Fija Ahorro</v>
      </c>
      <c r="AO20" s="9" t="str">
        <f>IFERROR(__xludf.DUMMYFUNCTION("""COMPUTED_VALUE"""),"Renta Fija Pesos")</f>
        <v>Renta Fija Pesos</v>
      </c>
      <c r="AP20" s="9" t="str">
        <f>IFERROR(__xludf.DUMMYFUNCTION("""COMPUTED_VALUE"""),"Corto Plazo")</f>
        <v>Corto Plazo</v>
      </c>
      <c r="AQ20" s="9" t="str">
        <f>IFERROR(__xludf.DUMMYFUNCTION("""COMPUTED_VALUE"""),"AR$ 700,56")</f>
        <v>AR$ 700,56</v>
      </c>
    </row>
    <row r="21">
      <c r="A21" s="5"/>
      <c r="B21" s="5"/>
      <c r="C21" s="11"/>
      <c r="D21" s="5"/>
      <c r="E21" s="25"/>
      <c r="F21" s="20"/>
      <c r="G21" s="5"/>
      <c r="H21" s="5"/>
      <c r="I21" s="21"/>
      <c r="J21" s="22"/>
      <c r="K21" s="9" t="str">
        <f t="shared" si="10"/>
        <v>...</v>
      </c>
      <c r="L21" s="9" t="str">
        <f t="shared" si="11"/>
        <v>...</v>
      </c>
      <c r="M21" s="15"/>
      <c r="N21" s="9"/>
      <c r="O21" s="23"/>
      <c r="P21" s="9" t="str">
        <f>if(B21=0,"...",$H21*(IF(D21="ABIERTA",K21,J21)*(1-VLOOKUP(A21,Config!$A$3:$B$5,2,FALSE)))/100)</f>
        <v>...</v>
      </c>
      <c r="Q21" s="9"/>
      <c r="R21" s="23"/>
      <c r="S21" s="10" t="str">
        <f t="shared" si="12"/>
        <v>...</v>
      </c>
      <c r="T21" s="20" t="str">
        <f t="shared" si="13"/>
        <v>...</v>
      </c>
      <c r="U21" s="24" t="str">
        <f t="shared" si="14"/>
        <v>...</v>
      </c>
      <c r="V21" s="15" t="str">
        <f t="shared" si="15"/>
        <v>...</v>
      </c>
      <c r="W21" s="18"/>
      <c r="X21" s="9"/>
      <c r="Y21" s="9" t="str">
        <f t="shared" si="7"/>
        <v>...</v>
      </c>
      <c r="Z21" s="9" t="str">
        <f t="shared" si="1"/>
        <v>...</v>
      </c>
      <c r="AA21" s="10" t="str">
        <f t="shared" si="2"/>
        <v/>
      </c>
      <c r="AB21" s="9" t="str">
        <f t="shared" si="3"/>
        <v>...</v>
      </c>
      <c r="AC21" s="15" t="str">
        <f t="shared" si="4"/>
        <v>...</v>
      </c>
      <c r="AD21" s="10" t="str">
        <f t="shared" si="5"/>
        <v>...</v>
      </c>
      <c r="AE21" s="15" t="str">
        <f t="shared" si="6"/>
        <v>...</v>
      </c>
      <c r="AF21" s="18"/>
      <c r="AG21" s="26"/>
      <c r="AH21" s="27"/>
      <c r="AI21" s="26"/>
      <c r="AJ21" s="27"/>
      <c r="AK21" s="48"/>
      <c r="AL21" s="9" t="str">
        <f t="shared" si="8"/>
        <v>PRGLBDB </v>
      </c>
      <c r="AM21" s="9" t="str">
        <f t="shared" si="9"/>
        <v>0,86</v>
      </c>
      <c r="AN21" s="9" t="str">
        <f>IFERROR(__xludf.DUMMYFUNCTION("""COMPUTED_VALUE"""),"*PRGLBDB *
Premier Global Dolares")</f>
        <v>*PRGLBDB *
Premier Global Dolares</v>
      </c>
      <c r="AO21" s="9" t="str">
        <f>IFERROR(__xludf.DUMMYFUNCTION("""COMPUTED_VALUE"""),"Renta Fija Dólares")</f>
        <v>Renta Fija Dólares</v>
      </c>
      <c r="AP21" s="9" t="str">
        <f>IFERROR(__xludf.DUMMYFUNCTION("""COMPUTED_VALUE"""),"Mediano Plazo")</f>
        <v>Mediano Plazo</v>
      </c>
      <c r="AQ21" s="9" t="str">
        <f>IFERROR(__xludf.DUMMYFUNCTION("""COMPUTED_VALUE"""),"US$ 0,86")</f>
        <v>US$ 0,86</v>
      </c>
    </row>
    <row r="22">
      <c r="A22" s="5"/>
      <c r="B22" s="5"/>
      <c r="C22" s="11"/>
      <c r="D22" s="5"/>
      <c r="E22" s="25"/>
      <c r="F22" s="20"/>
      <c r="G22" s="5"/>
      <c r="H22" s="5"/>
      <c r="I22" s="21"/>
      <c r="J22" s="22"/>
      <c r="K22" s="9" t="str">
        <f t="shared" si="10"/>
        <v>...</v>
      </c>
      <c r="L22" s="9" t="str">
        <f t="shared" si="11"/>
        <v>...</v>
      </c>
      <c r="M22" s="15"/>
      <c r="N22" s="9"/>
      <c r="O22" s="23"/>
      <c r="P22" s="9" t="str">
        <f>if(B22=0,"...",$H22*(IF(D22="ABIERTA",K22,J22)*(1-VLOOKUP(A22,Config!$A$3:$B$5,2,FALSE)))/100)</f>
        <v>...</v>
      </c>
      <c r="Q22" s="9"/>
      <c r="R22" s="23"/>
      <c r="S22" s="10" t="str">
        <f t="shared" si="12"/>
        <v>...</v>
      </c>
      <c r="T22" s="20" t="str">
        <f t="shared" si="13"/>
        <v>...</v>
      </c>
      <c r="U22" s="24" t="str">
        <f t="shared" si="14"/>
        <v>...</v>
      </c>
      <c r="V22" s="15" t="str">
        <f t="shared" si="15"/>
        <v>...</v>
      </c>
      <c r="W22" s="18"/>
      <c r="X22" s="9"/>
      <c r="Y22" s="9" t="str">
        <f t="shared" si="7"/>
        <v>...</v>
      </c>
      <c r="Z22" s="9" t="str">
        <f t="shared" si="1"/>
        <v>...</v>
      </c>
      <c r="AA22" s="10" t="str">
        <f t="shared" si="2"/>
        <v/>
      </c>
      <c r="AB22" s="9" t="str">
        <f t="shared" si="3"/>
        <v>...</v>
      </c>
      <c r="AC22" s="15" t="str">
        <f t="shared" si="4"/>
        <v>...</v>
      </c>
      <c r="AD22" s="10" t="str">
        <f t="shared" si="5"/>
        <v>...</v>
      </c>
      <c r="AE22" s="15" t="str">
        <f t="shared" si="6"/>
        <v>...</v>
      </c>
      <c r="AF22" s="18"/>
      <c r="AG22" s="26" t="s">
        <v>62</v>
      </c>
      <c r="AH22" s="28" t="str">
        <f>AH20/(AH18-AH20)</f>
        <v>#DIV/0!</v>
      </c>
      <c r="AI22" s="26" t="s">
        <v>62</v>
      </c>
      <c r="AJ22" s="28">
        <f>AJ20/(AJ18-AJ20)</f>
        <v>0.4117081682</v>
      </c>
      <c r="AK22" s="48"/>
      <c r="AL22" s="9" t="str">
        <f t="shared" si="8"/>
        <v>PRMCAPB </v>
      </c>
      <c r="AM22" s="9" t="str">
        <f t="shared" si="9"/>
        <v>142,69</v>
      </c>
      <c r="AN22" s="9" t="str">
        <f>IFERROR(__xludf.DUMMYFUNCTION("""COMPUTED_VALUE"""),"*PRMCAPB *
Premier Capital")</f>
        <v>*PRMCAPB *
Premier Capital</v>
      </c>
      <c r="AO22" s="9" t="str">
        <f>IFERROR(__xludf.DUMMYFUNCTION("""COMPUTED_VALUE"""),"Renta Fija Pesos")</f>
        <v>Renta Fija Pesos</v>
      </c>
      <c r="AP22" s="9" t="str">
        <f>IFERROR(__xludf.DUMMYFUNCTION("""COMPUTED_VALUE"""),"Mediano Plazo")</f>
        <v>Mediano Plazo</v>
      </c>
      <c r="AQ22" s="9" t="str">
        <f>IFERROR(__xludf.DUMMYFUNCTION("""COMPUTED_VALUE"""),"AR$ 142,69")</f>
        <v>AR$ 142,69</v>
      </c>
    </row>
    <row r="23">
      <c r="A23" s="5"/>
      <c r="B23" s="5"/>
      <c r="C23" s="11"/>
      <c r="D23" s="5"/>
      <c r="E23" s="25"/>
      <c r="F23" s="20"/>
      <c r="G23" s="5"/>
      <c r="H23" s="5"/>
      <c r="I23" s="21"/>
      <c r="J23" s="22"/>
      <c r="K23" s="9" t="str">
        <f t="shared" si="10"/>
        <v>...</v>
      </c>
      <c r="L23" s="9" t="str">
        <f t="shared" si="11"/>
        <v>...</v>
      </c>
      <c r="M23" s="15"/>
      <c r="N23" s="9"/>
      <c r="O23" s="23"/>
      <c r="P23" s="9" t="str">
        <f>if(B23=0,"...",$H23*(IF(D23="ABIERTA",K23,J23)*(1-VLOOKUP(A23,Config!$A$3:$B$5,2,FALSE)))/100)</f>
        <v>...</v>
      </c>
      <c r="Q23" s="9"/>
      <c r="R23" s="23"/>
      <c r="S23" s="10" t="str">
        <f t="shared" si="12"/>
        <v>...</v>
      </c>
      <c r="T23" s="20" t="str">
        <f t="shared" si="13"/>
        <v>...</v>
      </c>
      <c r="U23" s="24" t="str">
        <f t="shared" si="14"/>
        <v>...</v>
      </c>
      <c r="V23" s="15" t="str">
        <f t="shared" si="15"/>
        <v>...</v>
      </c>
      <c r="W23" s="18"/>
      <c r="X23" s="9"/>
      <c r="Y23" s="9" t="str">
        <f t="shared" si="7"/>
        <v>...</v>
      </c>
      <c r="Z23" s="9" t="str">
        <f t="shared" si="1"/>
        <v>...</v>
      </c>
      <c r="AA23" s="10" t="str">
        <f t="shared" si="2"/>
        <v/>
      </c>
      <c r="AB23" s="9" t="str">
        <f t="shared" si="3"/>
        <v>...</v>
      </c>
      <c r="AC23" s="15" t="str">
        <f t="shared" si="4"/>
        <v>...</v>
      </c>
      <c r="AD23" s="10" t="str">
        <f t="shared" si="5"/>
        <v>...</v>
      </c>
      <c r="AE23" s="15" t="str">
        <f t="shared" si="6"/>
        <v>...</v>
      </c>
      <c r="AF23" s="18"/>
      <c r="AG23" s="26"/>
      <c r="AH23" s="28"/>
      <c r="AI23" s="26"/>
      <c r="AJ23" s="28"/>
      <c r="AK23" s="48"/>
      <c r="AL23" s="9" t="str">
        <f t="shared" si="8"/>
        <v>PRPEDOB </v>
      </c>
      <c r="AM23" s="9" t="str">
        <f t="shared" si="9"/>
        <v>1,65</v>
      </c>
      <c r="AN23" s="9" t="str">
        <f>IFERROR(__xludf.DUMMYFUNCTION("""COMPUTED_VALUE"""),"*PRPEDOB *
Premier Performance Dolares")</f>
        <v>*PRPEDOB *
Premier Performance Dolares</v>
      </c>
      <c r="AO23" s="9" t="str">
        <f>IFERROR(__xludf.DUMMYFUNCTION("""COMPUTED_VALUE"""),"Renta Fija Dólares")</f>
        <v>Renta Fija Dólares</v>
      </c>
      <c r="AP23" s="9" t="str">
        <f>IFERROR(__xludf.DUMMYFUNCTION("""COMPUTED_VALUE"""),"Corto Plazo")</f>
        <v>Corto Plazo</v>
      </c>
      <c r="AQ23" s="9" t="str">
        <f>IFERROR(__xludf.DUMMYFUNCTION("""COMPUTED_VALUE"""),"US$ 1,65")</f>
        <v>US$ 1,65</v>
      </c>
    </row>
    <row r="24">
      <c r="A24" s="5"/>
      <c r="B24" s="5"/>
      <c r="C24" s="11"/>
      <c r="D24" s="5"/>
      <c r="E24" s="25"/>
      <c r="F24" s="20"/>
      <c r="G24" s="5"/>
      <c r="H24" s="5"/>
      <c r="I24" s="21"/>
      <c r="J24" s="22"/>
      <c r="K24" s="9" t="str">
        <f t="shared" si="10"/>
        <v>...</v>
      </c>
      <c r="L24" s="9" t="str">
        <f t="shared" si="11"/>
        <v>...</v>
      </c>
      <c r="M24" s="15"/>
      <c r="N24" s="9"/>
      <c r="O24" s="23"/>
      <c r="P24" s="9" t="str">
        <f>if(B24=0,"...",$H24*(IF(D24="ABIERTA",K24,J24)*(1-VLOOKUP(A24,Config!$A$3:$B$5,2,FALSE)))/100)</f>
        <v>...</v>
      </c>
      <c r="Q24" s="9"/>
      <c r="R24" s="23"/>
      <c r="S24" s="10" t="str">
        <f t="shared" si="12"/>
        <v>...</v>
      </c>
      <c r="T24" s="20" t="str">
        <f t="shared" si="13"/>
        <v>...</v>
      </c>
      <c r="U24" s="24" t="str">
        <f t="shared" si="14"/>
        <v>...</v>
      </c>
      <c r="V24" s="15" t="str">
        <f t="shared" si="15"/>
        <v>...</v>
      </c>
      <c r="W24" s="18"/>
      <c r="X24" s="9"/>
      <c r="Y24" s="9" t="str">
        <f t="shared" si="7"/>
        <v>...</v>
      </c>
      <c r="Z24" s="9" t="str">
        <f t="shared" si="1"/>
        <v>...</v>
      </c>
      <c r="AA24" s="10" t="str">
        <f t="shared" si="2"/>
        <v/>
      </c>
      <c r="AB24" s="9" t="str">
        <f t="shared" si="3"/>
        <v>...</v>
      </c>
      <c r="AC24" s="15" t="str">
        <f t="shared" si="4"/>
        <v>...</v>
      </c>
      <c r="AD24" s="10" t="str">
        <f t="shared" si="5"/>
        <v>...</v>
      </c>
      <c r="AE24" s="15" t="str">
        <f t="shared" si="6"/>
        <v>...</v>
      </c>
      <c r="AF24" s="18"/>
      <c r="AG24" s="18"/>
      <c r="AH24" s="18"/>
      <c r="AI24" s="18"/>
      <c r="AJ24" s="18"/>
      <c r="AK24" s="48"/>
      <c r="AL24" s="9" t="str">
        <f t="shared" si="8"/>
        <v>PRPLPEB </v>
      </c>
      <c r="AM24" s="9" t="str">
        <f t="shared" si="9"/>
        <v>151,11</v>
      </c>
      <c r="AN24" s="9" t="str">
        <f>IFERROR(__xludf.DUMMYFUNCTION("""COMPUTED_VALUE"""),"*PRPLPEB *
Premier Renta Plus En Pesos")</f>
        <v>*PRPLPEB *
Premier Renta Plus En Pesos</v>
      </c>
      <c r="AO24" s="9" t="str">
        <f>IFERROR(__xludf.DUMMYFUNCTION("""COMPUTED_VALUE"""),"Renta Fija Pesos")</f>
        <v>Renta Fija Pesos</v>
      </c>
      <c r="AP24" s="9" t="str">
        <f>IFERROR(__xludf.DUMMYFUNCTION("""COMPUTED_VALUE"""),"Corto Plazo")</f>
        <v>Corto Plazo</v>
      </c>
      <c r="AQ24" s="9" t="str">
        <f>IFERROR(__xludf.DUMMYFUNCTION("""COMPUTED_VALUE"""),"AR$ 151,11")</f>
        <v>AR$ 151,11</v>
      </c>
    </row>
    <row r="25">
      <c r="A25" s="5"/>
      <c r="B25" s="5"/>
      <c r="C25" s="11"/>
      <c r="D25" s="5"/>
      <c r="E25" s="25"/>
      <c r="F25" s="20"/>
      <c r="G25" s="5"/>
      <c r="H25" s="5"/>
      <c r="I25" s="21"/>
      <c r="J25" s="22"/>
      <c r="K25" s="9" t="str">
        <f t="shared" si="10"/>
        <v>...</v>
      </c>
      <c r="L25" s="9" t="str">
        <f t="shared" si="11"/>
        <v>...</v>
      </c>
      <c r="M25" s="15"/>
      <c r="N25" s="9"/>
      <c r="O25" s="23"/>
      <c r="P25" s="9" t="str">
        <f>if(B25=0,"...",$H25*(IF(D25="ABIERTA",K25,J25)*(1-VLOOKUP(A25,Config!$A$3:$B$5,2,FALSE)))/100)</f>
        <v>...</v>
      </c>
      <c r="Q25" s="9"/>
      <c r="R25" s="23"/>
      <c r="S25" s="10" t="str">
        <f t="shared" si="12"/>
        <v>...</v>
      </c>
      <c r="T25" s="20" t="str">
        <f t="shared" si="13"/>
        <v>...</v>
      </c>
      <c r="U25" s="24" t="str">
        <f t="shared" si="14"/>
        <v>...</v>
      </c>
      <c r="V25" s="15" t="str">
        <f t="shared" si="15"/>
        <v>...</v>
      </c>
      <c r="W25" s="18"/>
      <c r="X25" s="9"/>
      <c r="Y25" s="9" t="str">
        <f t="shared" si="7"/>
        <v>...</v>
      </c>
      <c r="Z25" s="9" t="str">
        <f t="shared" si="1"/>
        <v>...</v>
      </c>
      <c r="AA25" s="10" t="str">
        <f t="shared" si="2"/>
        <v/>
      </c>
      <c r="AB25" s="9" t="str">
        <f t="shared" si="3"/>
        <v>...</v>
      </c>
      <c r="AC25" s="15" t="str">
        <f t="shared" si="4"/>
        <v>...</v>
      </c>
      <c r="AD25" s="10" t="str">
        <f t="shared" si="5"/>
        <v>...</v>
      </c>
      <c r="AE25" s="15" t="str">
        <f t="shared" si="6"/>
        <v>...</v>
      </c>
      <c r="AF25" s="18"/>
      <c r="AG25" s="18"/>
      <c r="AH25" s="18"/>
      <c r="AI25" s="18"/>
      <c r="AJ25" s="18"/>
      <c r="AK25" s="48"/>
      <c r="AL25" s="9" t="str">
        <f t="shared" si="8"/>
        <v>PRREMIB </v>
      </c>
      <c r="AM25" s="9" t="str">
        <f t="shared" si="9"/>
        <v>49,04</v>
      </c>
      <c r="AN25" s="9" t="str">
        <f>IFERROR(__xludf.DUMMYFUNCTION("""COMPUTED_VALUE"""),"*PRREMIB *
Premier Renta Mixta")</f>
        <v>*PRREMIB *
Premier Renta Mixta</v>
      </c>
      <c r="AO25" s="9" t="str">
        <f>IFERROR(__xludf.DUMMYFUNCTION("""COMPUTED_VALUE"""),"Renta Mixta Pesos")</f>
        <v>Renta Mixta Pesos</v>
      </c>
      <c r="AP25" s="9" t="str">
        <f>IFERROR(__xludf.DUMMYFUNCTION("""COMPUTED_VALUE"""),"Largo Plazo")</f>
        <v>Largo Plazo</v>
      </c>
      <c r="AQ25" s="9" t="str">
        <f>IFERROR(__xludf.DUMMYFUNCTION("""COMPUTED_VALUE"""),"AR$ 49,04")</f>
        <v>AR$ 49,04</v>
      </c>
    </row>
    <row r="26">
      <c r="A26" s="5"/>
      <c r="B26" s="5"/>
      <c r="C26" s="11"/>
      <c r="D26" s="5"/>
      <c r="E26" s="25"/>
      <c r="F26" s="20"/>
      <c r="G26" s="5"/>
      <c r="H26" s="5"/>
      <c r="I26" s="21"/>
      <c r="J26" s="22"/>
      <c r="K26" s="9" t="str">
        <f t="shared" si="10"/>
        <v>...</v>
      </c>
      <c r="L26" s="9" t="str">
        <f t="shared" si="11"/>
        <v>...</v>
      </c>
      <c r="M26" s="15"/>
      <c r="N26" s="9"/>
      <c r="O26" s="23"/>
      <c r="P26" s="9" t="str">
        <f>if(B26=0,"...",$H26*(IF(D26="ABIERTA",K26,J26)*(1-VLOOKUP(A26,Config!$A$3:$B$5,2,FALSE)))/100)</f>
        <v>...</v>
      </c>
      <c r="Q26" s="9"/>
      <c r="R26" s="23"/>
      <c r="S26" s="10" t="str">
        <f t="shared" si="12"/>
        <v>...</v>
      </c>
      <c r="T26" s="20" t="str">
        <f t="shared" si="13"/>
        <v>...</v>
      </c>
      <c r="U26" s="24" t="str">
        <f t="shared" si="14"/>
        <v>...</v>
      </c>
      <c r="V26" s="15" t="str">
        <f t="shared" si="15"/>
        <v>...</v>
      </c>
      <c r="W26" s="18"/>
      <c r="X26" s="9"/>
      <c r="Y26" s="9" t="str">
        <f t="shared" si="7"/>
        <v>...</v>
      </c>
      <c r="Z26" s="9" t="str">
        <f t="shared" si="1"/>
        <v>...</v>
      </c>
      <c r="AA26" s="10" t="str">
        <f t="shared" si="2"/>
        <v/>
      </c>
      <c r="AB26" s="9" t="str">
        <f t="shared" si="3"/>
        <v>...</v>
      </c>
      <c r="AC26" s="15" t="str">
        <f t="shared" si="4"/>
        <v>...</v>
      </c>
      <c r="AD26" s="10" t="str">
        <f t="shared" si="5"/>
        <v>...</v>
      </c>
      <c r="AE26" s="15" t="str">
        <f t="shared" si="6"/>
        <v>...</v>
      </c>
      <c r="AF26" s="18"/>
      <c r="AG26" s="30" t="s">
        <v>73</v>
      </c>
      <c r="AH26" s="31" t="s">
        <v>74</v>
      </c>
      <c r="AI26" s="32" t="s">
        <v>75</v>
      </c>
      <c r="AJ26" s="18"/>
      <c r="AK26" s="48"/>
      <c r="AL26" s="9" t="str">
        <f t="shared" si="8"/>
        <v>PRTAVAB </v>
      </c>
      <c r="AM26" s="9" t="str">
        <f t="shared" si="9"/>
        <v>1.322,50</v>
      </c>
      <c r="AN26" s="9" t="str">
        <f>IFERROR(__xludf.DUMMYFUNCTION("""COMPUTED_VALUE"""),"*PRTAVAB *
Premier Renta Variable")</f>
        <v>*PRTAVAB *
Premier Renta Variable</v>
      </c>
      <c r="AO26" s="9" t="str">
        <f>IFERROR(__xludf.DUMMYFUNCTION("""COMPUTED_VALUE"""),"Renta Variable Pesos")</f>
        <v>Renta Variable Pesos</v>
      </c>
      <c r="AP26" s="9" t="str">
        <f>IFERROR(__xludf.DUMMYFUNCTION("""COMPUTED_VALUE"""),"Largo Plazo")</f>
        <v>Largo Plazo</v>
      </c>
      <c r="AQ26" s="9" t="str">
        <f>IFERROR(__xludf.DUMMYFUNCTION("""COMPUTED_VALUE"""),"AR$ 1.322,50")</f>
        <v>AR$ 1.322,50</v>
      </c>
    </row>
    <row r="27">
      <c r="A27" s="5"/>
      <c r="B27" s="5"/>
      <c r="C27" s="11"/>
      <c r="D27" s="5"/>
      <c r="E27" s="25"/>
      <c r="F27" s="20"/>
      <c r="G27" s="5"/>
      <c r="H27" s="5"/>
      <c r="I27" s="21"/>
      <c r="J27" s="22"/>
      <c r="K27" s="9" t="str">
        <f t="shared" si="10"/>
        <v>...</v>
      </c>
      <c r="L27" s="9" t="str">
        <f t="shared" si="11"/>
        <v>...</v>
      </c>
      <c r="M27" s="15"/>
      <c r="N27" s="9"/>
      <c r="O27" s="23"/>
      <c r="P27" s="9" t="str">
        <f>if(B27=0,"...",$H27*(IF(D27="ABIERTA",K27,J27)*(1-VLOOKUP(A27,Config!$A$3:$B$5,2,FALSE)))/100)</f>
        <v>...</v>
      </c>
      <c r="Q27" s="9"/>
      <c r="R27" s="23"/>
      <c r="S27" s="10" t="str">
        <f t="shared" si="12"/>
        <v>...</v>
      </c>
      <c r="T27" s="20" t="str">
        <f t="shared" si="13"/>
        <v>...</v>
      </c>
      <c r="U27" s="24" t="str">
        <f t="shared" si="14"/>
        <v>...</v>
      </c>
      <c r="V27" s="15" t="str">
        <f t="shared" si="15"/>
        <v>...</v>
      </c>
      <c r="W27" s="18"/>
      <c r="X27" s="9"/>
      <c r="Y27" s="9" t="str">
        <f t="shared" si="7"/>
        <v>...</v>
      </c>
      <c r="Z27" s="9" t="str">
        <f t="shared" si="1"/>
        <v>...</v>
      </c>
      <c r="AA27" s="10" t="str">
        <f t="shared" si="2"/>
        <v/>
      </c>
      <c r="AB27" s="9" t="str">
        <f t="shared" si="3"/>
        <v>...</v>
      </c>
      <c r="AC27" s="15" t="str">
        <f t="shared" si="4"/>
        <v>...</v>
      </c>
      <c r="AD27" s="10" t="str">
        <f t="shared" si="5"/>
        <v>...</v>
      </c>
      <c r="AE27" s="15" t="str">
        <f t="shared" si="6"/>
        <v>...</v>
      </c>
      <c r="AF27" s="18"/>
      <c r="AG27" s="33"/>
      <c r="AH27" s="31" t="s">
        <v>76</v>
      </c>
      <c r="AI27" s="32">
        <v>14.0</v>
      </c>
      <c r="AJ27" s="18"/>
      <c r="AK27" s="48"/>
      <c r="AL27" s="9" t="str">
        <f t="shared" si="8"/>
        <v>...</v>
      </c>
      <c r="AM27" s="9" t="str">
        <f t="shared" si="9"/>
        <v>...</v>
      </c>
      <c r="AN27" s="9"/>
      <c r="AO27" s="9"/>
      <c r="AP27" s="9"/>
      <c r="AQ27" s="9"/>
    </row>
    <row r="28">
      <c r="A28" s="5"/>
      <c r="B28" s="5"/>
      <c r="C28" s="11"/>
      <c r="D28" s="5"/>
      <c r="E28" s="25"/>
      <c r="F28" s="20"/>
      <c r="G28" s="5"/>
      <c r="H28" s="5"/>
      <c r="I28" s="21"/>
      <c r="J28" s="22"/>
      <c r="K28" s="9" t="str">
        <f t="shared" si="10"/>
        <v>...</v>
      </c>
      <c r="L28" s="9" t="str">
        <f t="shared" si="11"/>
        <v>...</v>
      </c>
      <c r="M28" s="15"/>
      <c r="N28" s="9"/>
      <c r="O28" s="23"/>
      <c r="P28" s="9" t="str">
        <f>if(B28=0,"...",$H28*(IF(D28="ABIERTA",K28,J28)*(1-VLOOKUP(A28,Config!$A$3:$B$5,2,FALSE)))/100)</f>
        <v>...</v>
      </c>
      <c r="Q28" s="9"/>
      <c r="R28" s="23"/>
      <c r="S28" s="10" t="str">
        <f t="shared" si="12"/>
        <v>...</v>
      </c>
      <c r="T28" s="20" t="str">
        <f t="shared" si="13"/>
        <v>...</v>
      </c>
      <c r="U28" s="24" t="str">
        <f t="shared" si="14"/>
        <v>...</v>
      </c>
      <c r="V28" s="15" t="str">
        <f t="shared" si="15"/>
        <v>...</v>
      </c>
      <c r="W28" s="18"/>
      <c r="X28" s="9"/>
      <c r="Y28" s="9" t="str">
        <f t="shared" si="7"/>
        <v>...</v>
      </c>
      <c r="Z28" s="9" t="str">
        <f t="shared" si="1"/>
        <v>...</v>
      </c>
      <c r="AA28" s="10" t="str">
        <f t="shared" si="2"/>
        <v/>
      </c>
      <c r="AB28" s="9" t="str">
        <f t="shared" si="3"/>
        <v>...</v>
      </c>
      <c r="AC28" s="15" t="str">
        <f t="shared" si="4"/>
        <v>...</v>
      </c>
      <c r="AD28" s="10" t="str">
        <f t="shared" si="5"/>
        <v>...</v>
      </c>
      <c r="AE28" s="15" t="str">
        <f t="shared" si="6"/>
        <v>...</v>
      </c>
      <c r="AF28" s="18"/>
      <c r="AG28" s="26"/>
      <c r="AH28" s="34"/>
      <c r="AI28" s="34"/>
      <c r="AJ28" s="18"/>
      <c r="AK28" s="48"/>
      <c r="AL28" s="9" t="str">
        <f t="shared" si="8"/>
        <v>...</v>
      </c>
      <c r="AM28" s="9" t="str">
        <f t="shared" si="9"/>
        <v>...</v>
      </c>
      <c r="AN28" s="9"/>
      <c r="AO28" s="9"/>
      <c r="AP28" s="9"/>
      <c r="AQ28" s="9"/>
    </row>
    <row r="29">
      <c r="A29" s="5"/>
      <c r="B29" s="5"/>
      <c r="C29" s="11"/>
      <c r="D29" s="5"/>
      <c r="E29" s="25"/>
      <c r="F29" s="20"/>
      <c r="G29" s="5"/>
      <c r="H29" s="5"/>
      <c r="I29" s="21"/>
      <c r="J29" s="22"/>
      <c r="K29" s="9"/>
      <c r="L29" s="9"/>
      <c r="M29" s="15"/>
      <c r="N29" s="9"/>
      <c r="O29" s="23"/>
      <c r="P29" s="9"/>
      <c r="Q29" s="9"/>
      <c r="R29" s="23"/>
      <c r="S29" s="10"/>
      <c r="T29" s="20"/>
      <c r="U29" s="24"/>
      <c r="V29" s="15"/>
      <c r="W29" s="18"/>
      <c r="X29" s="9"/>
      <c r="Y29" s="9"/>
      <c r="Z29" s="9"/>
      <c r="AA29" s="10"/>
      <c r="AB29" s="9"/>
      <c r="AC29" s="15"/>
      <c r="AD29" s="10"/>
      <c r="AE29" s="15"/>
      <c r="AF29" s="18"/>
      <c r="AG29" s="26"/>
      <c r="AH29" s="34"/>
      <c r="AI29" s="34"/>
      <c r="AJ29" s="18"/>
      <c r="AK29" s="48"/>
      <c r="AL29" s="9" t="str">
        <f t="shared" si="8"/>
        <v>...</v>
      </c>
      <c r="AM29" s="9" t="str">
        <f t="shared" si="9"/>
        <v>...</v>
      </c>
      <c r="AN29" s="9"/>
      <c r="AO29" s="9"/>
      <c r="AP29" s="9"/>
      <c r="AQ29" s="9"/>
    </row>
  </sheetData>
  <mergeCells count="2">
    <mergeCell ref="AL1:AQ1"/>
    <mergeCell ref="AG26:AG27"/>
  </mergeCells>
  <conditionalFormatting sqref="U1:U29 S2:S29">
    <cfRule type="cellIs" dxfId="0" priority="1" operator="greaterThanOrEqual">
      <formula>"10%"</formula>
    </cfRule>
  </conditionalFormatting>
  <conditionalFormatting sqref="U1:U29 S2:S29">
    <cfRule type="cellIs" dxfId="1" priority="2" operator="between">
      <formula>"1%"</formula>
      <formula>"10%"</formula>
    </cfRule>
  </conditionalFormatting>
  <conditionalFormatting sqref="U1:U29 S2:S29">
    <cfRule type="cellIs" dxfId="2" priority="3" operator="lessThanOrEqual">
      <formula>"-10%"</formula>
    </cfRule>
  </conditionalFormatting>
  <conditionalFormatting sqref="U1:U29 S2:S29">
    <cfRule type="cellIs" dxfId="3" priority="4" operator="between">
      <formula>"-1%"</formula>
      <formula>"-10%"</formula>
    </cfRule>
  </conditionalFormatting>
  <conditionalFormatting sqref="U1:U29 S2:S29">
    <cfRule type="cellIs" dxfId="4" priority="5" operator="between">
      <formula>"-1%"</formula>
      <formula>"1%"</formula>
    </cfRule>
  </conditionalFormatting>
  <conditionalFormatting sqref="K2:L29 Y2:Y29">
    <cfRule type="expression" dxfId="5" priority="6">
      <formula>K2&gt;I2</formula>
    </cfRule>
  </conditionalFormatting>
  <conditionalFormatting sqref="K2:L29 Y2:Y29">
    <cfRule type="expression" dxfId="6" priority="7">
      <formula>K2&lt;I2</formula>
    </cfRule>
  </conditionalFormatting>
  <conditionalFormatting sqref="D2:D29">
    <cfRule type="containsText" dxfId="7" priority="8" operator="containsText" text="ABIERTA">
      <formula>NOT(ISERROR(SEARCH(("ABIERTA"),(D2))))</formula>
    </cfRule>
  </conditionalFormatting>
  <conditionalFormatting sqref="D2:D29">
    <cfRule type="containsText" dxfId="8" priority="9" operator="containsText" text="CERRADA">
      <formula>NOT(ISERROR(SEARCH(("CERRADA"),(D2))))</formula>
    </cfRule>
  </conditionalFormatting>
  <conditionalFormatting sqref="U4:U8">
    <cfRule type="notContainsBlanks" dxfId="9" priority="10">
      <formula>LEN(TRIM(U4))&gt;0</formula>
    </cfRule>
  </conditionalFormatting>
  <dataValidations>
    <dataValidation type="list" allowBlank="1" sqref="D2:D29">
      <formula1>"ABIERTA,CERRADA"</formula1>
    </dataValidation>
    <dataValidation type="list" allowBlank="1" sqref="A2:A29">
      <formula1>Config!$A$3:$A$5</formula1>
    </dataValidation>
    <dataValidation type="list" allowBlank="1" sqref="AI27">
      <formula1>"7,14,28,365"</formula1>
    </dataValidation>
    <dataValidation type="list" allowBlank="1" sqref="AI26">
      <formula1>"line,column"</formula1>
    </dataValidation>
    <dataValidation type="custom" allowBlank="1" showDropDown="1" sqref="C2:C29 E2:E29">
      <formula1>OR(NOT(ISERROR(DATEVALUE(C2))), AND(ISNUMBER(C2), LEFT(CELL("format", C2))="D"))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75"/>
    <col customWidth="1" min="2" max="2" width="17.13"/>
    <col customWidth="1" min="3" max="5" width="10.75"/>
    <col customWidth="1" min="6" max="6" width="6.38"/>
    <col customWidth="1" min="7" max="7" width="18.0"/>
    <col customWidth="1" min="8" max="10" width="10.75"/>
    <col customWidth="1" min="11" max="11" width="17.38"/>
    <col customWidth="1" min="12" max="12" width="12.63"/>
    <col customWidth="1" min="13" max="13" width="14.88"/>
    <col customWidth="1" min="14" max="14" width="11.88"/>
    <col customWidth="1" min="15" max="15" width="12.63"/>
    <col customWidth="1" min="16" max="16" width="12.0"/>
    <col customWidth="1" min="17" max="18" width="16.25"/>
    <col customWidth="1" min="19" max="19" width="12.0"/>
    <col customWidth="1" min="20" max="20" width="15.5"/>
    <col customWidth="1" min="21" max="21" width="10.63"/>
    <col customWidth="1" min="22" max="22" width="12.0"/>
    <col customWidth="1" min="23" max="23" width="3.0"/>
    <col customWidth="1" min="24" max="25" width="14.5"/>
    <col customWidth="1" min="26" max="26" width="10.13"/>
    <col customWidth="1" min="34" max="35" width="16.88"/>
    <col customWidth="1" min="36" max="36" width="3.0"/>
    <col customWidth="1" min="41" max="41" width="14.88"/>
    <col customWidth="1" min="42" max="42" width="12.25"/>
    <col customWidth="1" min="43" max="43" width="2.75"/>
    <col customWidth="1" min="44" max="49" width="12.25"/>
    <col customWidth="1" min="50" max="50" width="16.88"/>
    <col customWidth="1" min="51" max="54" width="12.25"/>
  </cols>
  <sheetData>
    <row r="1">
      <c r="A1" s="3"/>
      <c r="B1" s="3" t="s">
        <v>63</v>
      </c>
      <c r="C1" s="3" t="s">
        <v>16</v>
      </c>
      <c r="D1" s="3" t="s">
        <v>17</v>
      </c>
      <c r="E1" s="16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80</v>
      </c>
      <c r="M1" s="13" t="s">
        <v>25</v>
      </c>
      <c r="N1" s="3" t="s">
        <v>26</v>
      </c>
      <c r="O1" s="3" t="s">
        <v>81</v>
      </c>
      <c r="P1" s="3" t="s">
        <v>28</v>
      </c>
      <c r="Q1" s="3" t="s">
        <v>29</v>
      </c>
      <c r="R1" s="3" t="s">
        <v>82</v>
      </c>
      <c r="S1" s="3" t="s">
        <v>33</v>
      </c>
      <c r="T1" s="3" t="s">
        <v>34</v>
      </c>
      <c r="U1" s="60" t="s">
        <v>83</v>
      </c>
      <c r="V1" s="13" t="s">
        <v>84</v>
      </c>
      <c r="W1" s="18"/>
      <c r="X1" s="3" t="s">
        <v>15</v>
      </c>
      <c r="Y1" s="3"/>
      <c r="Z1" s="3" t="s">
        <v>21</v>
      </c>
      <c r="AA1" s="3" t="s">
        <v>36</v>
      </c>
      <c r="AB1" s="3" t="s">
        <v>85</v>
      </c>
      <c r="AC1" s="3" t="s">
        <v>37</v>
      </c>
      <c r="AD1" s="13" t="s">
        <v>86</v>
      </c>
      <c r="AE1" s="13" t="s">
        <v>87</v>
      </c>
      <c r="AF1" s="3" t="s">
        <v>88</v>
      </c>
      <c r="AG1" s="3" t="s">
        <v>89</v>
      </c>
      <c r="AH1" s="13" t="s">
        <v>90</v>
      </c>
      <c r="AI1" s="13" t="s">
        <v>91</v>
      </c>
      <c r="AJ1" s="18"/>
      <c r="AK1" s="18"/>
      <c r="AL1" s="18"/>
      <c r="AM1" s="18"/>
      <c r="AN1" s="18"/>
      <c r="AO1" s="18"/>
      <c r="AP1" s="13"/>
      <c r="AQ1" s="13"/>
      <c r="AR1" s="13" t="s">
        <v>92</v>
      </c>
      <c r="AT1" s="49"/>
      <c r="AU1" s="49"/>
      <c r="AV1" s="49"/>
      <c r="AW1" s="49"/>
      <c r="AX1" s="49"/>
      <c r="AY1" s="49"/>
      <c r="AZ1" s="49"/>
      <c r="BA1" s="49"/>
      <c r="BB1" s="49"/>
    </row>
    <row r="2">
      <c r="A2" s="5" t="s">
        <v>40</v>
      </c>
      <c r="B2" s="5" t="s">
        <v>93</v>
      </c>
      <c r="C2" s="50">
        <v>45057.0</v>
      </c>
      <c r="D2" s="5" t="s">
        <v>42</v>
      </c>
      <c r="E2" s="19"/>
      <c r="F2" s="20">
        <f t="shared" ref="F2:F4" si="1">if(B2=0,"...", IF(E2=0,today()-C2,E2-C2))</f>
        <v>939</v>
      </c>
      <c r="G2" s="61" t="s">
        <v>43</v>
      </c>
      <c r="H2" s="5">
        <v>1076.0</v>
      </c>
      <c r="I2" s="21">
        <v>9109.0</v>
      </c>
      <c r="J2" s="21"/>
      <c r="K2" s="9">
        <f t="shared" ref="K2:K29" si="2">if(B2=0,"...",IF($G2="PESOS",Q2,1)*SUBSTITUTE(VLOOKUP(B2,$X$2:$Y646,2,false),".",","))</f>
        <v>83550.96</v>
      </c>
      <c r="L2" s="9" t="str">
        <f t="shared" ref="L2:L29" si="3">if(B2=0,"...",SUBSTITUTE(VLOOKUP(B2,$X$2:$Y646,2,false),".",","))</f>
        <v>65,84</v>
      </c>
      <c r="M2" s="15">
        <f t="shared" ref="M2:M4" si="4">if(B2=0,"...",$H2*I2/IF(G2="DOLARES",1,100))</f>
        <v>98012.84</v>
      </c>
      <c r="N2" s="9" t="str">
        <f>VLOOKUP($C2,CCLHistory!$A$6:$B646,2,FALSE)</f>
        <v>453,96</v>
      </c>
      <c r="O2" s="23">
        <f t="shared" ref="O2:O4" si="5">M2/IF(G2="DOLARES",1,N2)</f>
        <v>215.9063354</v>
      </c>
      <c r="P2" s="9">
        <f>if(B2=0,"...",$H2*(IF(D2="ABIERTA",L2,J2)*IF(G2="DOLARES",1,Q2)*(1-VLOOKUP(A2,Config!$A$3:$B$5,2,FALSE)))/IF(G2="DOLARES",1,100))</f>
        <v>898963.3792</v>
      </c>
      <c r="Q2" s="9">
        <f>IF(D2="ABIERTA",Config!$D$4,VLOOKUP(E2,CCLHistory!$A$6:$B646,2,FALSE))</f>
        <v>1269</v>
      </c>
      <c r="R2" s="23">
        <f>if(B2=0,"...",$H2*(IF(D2="ABIERTA",L2,J2)*(1-VLOOKUP(A2,Config!$A$3:$B$5,2,FALSE)))/100)</f>
        <v>708.4029781</v>
      </c>
      <c r="S2" s="10">
        <f t="shared" ref="S2:S4" si="6">if(B2=0,"...",P2/M2-1)</f>
        <v>8.171894001</v>
      </c>
      <c r="T2" s="9">
        <f t="shared" ref="T2:T4" si="7">if(B2=0,"...",P2-M2)</f>
        <v>800950.5392</v>
      </c>
      <c r="U2" s="24">
        <f t="shared" ref="U2:U4" si="8">if(B2=0,"...",R2/O2-1)</f>
        <v>2.281066194</v>
      </c>
      <c r="V2" s="15">
        <f t="shared" ref="V2:V4" si="9">if(B2=0,"...",R2-O2)</f>
        <v>492.4966427</v>
      </c>
      <c r="W2" s="18"/>
      <c r="X2" s="9" t="str">
        <f t="array" ref="X2:X3">Unique(B2:B646)</f>
        <v>AL30D</v>
      </c>
      <c r="Y2" s="9">
        <f t="shared" ref="Y2:Y29" si="10">if(X2=0,"...",VLOOKUP("*"&amp;X2&amp;"*",$AR$2:$AS646,2,false))</f>
        <v>65.84</v>
      </c>
      <c r="Z2" s="9">
        <f t="shared" ref="Z2:Z29" si="11">if(X2=0,"...",sumifs($H$2:$H646,$B$2:$B646,X2,$D$2:$D646,"ABIERTA"))</f>
        <v>2036</v>
      </c>
      <c r="AA2" s="10">
        <f t="shared" ref="AA2:AA29" si="12">if(X2=0,"",AD2/$AL$18)</f>
        <v>1</v>
      </c>
      <c r="AB2" s="9">
        <f t="shared" ref="AB2:AB29" si="13">if(Z2=0,"...",if(X2=0,"...",sumifs($O$2:$O646,$B$2:$B646,X2,$D$2:$D646,"ABIERTA")/Z2))</f>
        <v>0.2342624381</v>
      </c>
      <c r="AC2" s="9">
        <f>if(Z2=0,"...",if(X2=0,"...",sumifs($M$2:$M646,$B$2:$B646,X2,$D$2:$D646,"ABIERTA")/Z2))</f>
        <v>120.6967583</v>
      </c>
      <c r="AD2" s="15">
        <f t="shared" ref="AD2:AD29" si="14">if(X2=0,"...",sumifs($R$2:$R646,$B$2:$B646,X2,$D$2:$D646,"ABIERTA"))</f>
        <v>1340.435375</v>
      </c>
      <c r="AE2" s="15">
        <f>if(X2=0,"...",sumifs($P$2:$P646,$B$2:$B646,X2,$D$2:$D646,"ABIERTA"))</f>
        <v>1701012.491</v>
      </c>
      <c r="AF2" s="10">
        <f t="shared" ref="AF2:AF29" si="15">if(Z2=0,"...",if(X2=0,"...",AH2/(AD2-AH2)))</f>
        <v>1.8103826</v>
      </c>
      <c r="AG2" s="62">
        <f>if(X2=0,"...",if(X2=0,"...",AI2/(AE2-AI2)))</f>
        <v>5.922040293</v>
      </c>
      <c r="AH2" s="15">
        <f t="shared" ref="AH2:AH29" si="16">if(Z2=0,"...",if(X2=0,"...",sumifs($V$2:$V646,$B$2:$B646,X2,$D$2:$D646,"ABIERTA")))</f>
        <v>863.4770508</v>
      </c>
      <c r="AI2" s="15">
        <f t="shared" ref="AI2:AI29" si="17">if(X2=0,"...",if(Z2=0,"...",sumifs($T$2:$T646,$B$2:$B646,X2,$D$2:$D646,"ABIERTA")))</f>
        <v>1455273.891</v>
      </c>
      <c r="AJ2" s="18"/>
      <c r="AK2" s="18"/>
      <c r="AL2" s="18"/>
      <c r="AM2" s="18"/>
      <c r="AN2" s="18"/>
      <c r="AO2" s="18"/>
      <c r="AP2" s="13"/>
      <c r="AQ2" s="13"/>
      <c r="AR2" s="13" t="str">
        <f>IFERROR(__xludf.DUMMYFUNCTION("QUERY(IMPORTHTML(DataImports!B5,DataImports!D5,1),""select Col1, Col2"",1)"),"Símbolo")</f>
        <v>Símbolo</v>
      </c>
      <c r="AS2" s="13" t="str">
        <f>IFERROR(__xludf.DUMMYFUNCTION("""COMPUTED_VALUE"""),"Último
Operado")</f>
        <v>Último
Operado</v>
      </c>
      <c r="AT2" s="49"/>
      <c r="AU2" s="49"/>
      <c r="AV2" s="49"/>
      <c r="AW2" s="49"/>
    </row>
    <row r="3">
      <c r="A3" s="5" t="s">
        <v>40</v>
      </c>
      <c r="B3" s="5" t="s">
        <v>93</v>
      </c>
      <c r="C3" s="50">
        <v>45100.0</v>
      </c>
      <c r="D3" s="5" t="s">
        <v>42</v>
      </c>
      <c r="E3" s="19"/>
      <c r="F3" s="20">
        <f t="shared" si="1"/>
        <v>896</v>
      </c>
      <c r="G3" s="61" t="s">
        <v>43</v>
      </c>
      <c r="H3" s="5">
        <v>384.0</v>
      </c>
      <c r="I3" s="21">
        <v>12759.5</v>
      </c>
      <c r="J3" s="21"/>
      <c r="K3" s="9">
        <f t="shared" si="2"/>
        <v>83550.96</v>
      </c>
      <c r="L3" s="9" t="str">
        <f t="shared" si="3"/>
        <v>65,84</v>
      </c>
      <c r="M3" s="15">
        <f t="shared" si="4"/>
        <v>48996.48</v>
      </c>
      <c r="N3" s="9" t="str">
        <f>VLOOKUP($C3,CCLHistory!$A$6:$B646,2,FALSE)</f>
        <v>520,02</v>
      </c>
      <c r="O3" s="23">
        <f t="shared" si="5"/>
        <v>94.22037614</v>
      </c>
      <c r="P3" s="9">
        <f>if(B3=0,"...",$H3*(IF(D3="ABIERTA",L3,J3)*IF(G3="DOLARES",1,Q3)*(1-VLOOKUP(A3,Config!$A$3:$B$5,2,FALSE)))/IF(G3="DOLARES",1,100))</f>
        <v>320819.6446</v>
      </c>
      <c r="Q3" s="9">
        <f>IF(D3="ABIERTA",Config!$D$4,VLOOKUP(E3,CCLHistory!$A$6:$B646,2,FALSE))</f>
        <v>1269</v>
      </c>
      <c r="R3" s="23">
        <f>if(B3=0,"...",$H3*(IF(D3="ABIERTA",L3,J3)*(1-VLOOKUP(A3,Config!$A$3:$B$5,2,FALSE)))/100)</f>
        <v>252.8129587</v>
      </c>
      <c r="S3" s="10">
        <f t="shared" si="6"/>
        <v>5.547810059</v>
      </c>
      <c r="T3" s="9">
        <f t="shared" si="7"/>
        <v>271823.1646</v>
      </c>
      <c r="U3" s="24">
        <f t="shared" si="8"/>
        <v>1.683208973</v>
      </c>
      <c r="V3" s="15">
        <f t="shared" si="9"/>
        <v>158.5925826</v>
      </c>
      <c r="W3" s="18"/>
      <c r="X3" s="9"/>
      <c r="Y3" s="9" t="str">
        <f t="shared" si="10"/>
        <v>...</v>
      </c>
      <c r="Z3" s="9" t="str">
        <f t="shared" si="11"/>
        <v>...</v>
      </c>
      <c r="AA3" s="10" t="str">
        <f t="shared" si="12"/>
        <v/>
      </c>
      <c r="AB3" s="9" t="str">
        <f t="shared" si="13"/>
        <v>...</v>
      </c>
      <c r="AC3" s="9"/>
      <c r="AD3" s="15" t="str">
        <f t="shared" si="14"/>
        <v>...</v>
      </c>
      <c r="AE3" s="15"/>
      <c r="AF3" s="10" t="str">
        <f t="shared" si="15"/>
        <v>...</v>
      </c>
      <c r="AG3" s="10"/>
      <c r="AH3" s="15" t="str">
        <f t="shared" si="16"/>
        <v>...</v>
      </c>
      <c r="AI3" s="15" t="str">
        <f t="shared" si="17"/>
        <v>...</v>
      </c>
      <c r="AJ3" s="18"/>
      <c r="AK3" s="18"/>
      <c r="AL3" s="18"/>
      <c r="AM3" s="18"/>
      <c r="AN3" s="18"/>
      <c r="AO3" s="18"/>
      <c r="AP3" s="18"/>
      <c r="AQ3" s="18"/>
      <c r="AR3" s="63" t="str">
        <f>IFERROR(__xludf.DUMMYFUNCTION("""COMPUTED_VALUE"""),"* AE38 *")</f>
        <v>* AE38 *</v>
      </c>
      <c r="AS3" s="15">
        <f>IFERROR(__xludf.DUMMYFUNCTION("""COMPUTED_VALUE"""),114600.0)</f>
        <v>114600</v>
      </c>
    </row>
    <row r="4">
      <c r="A4" s="5" t="s">
        <v>40</v>
      </c>
      <c r="B4" s="5" t="s">
        <v>93</v>
      </c>
      <c r="C4" s="50">
        <v>45147.0</v>
      </c>
      <c r="D4" s="5" t="s">
        <v>42</v>
      </c>
      <c r="E4" s="19"/>
      <c r="F4" s="20">
        <f t="shared" si="1"/>
        <v>849</v>
      </c>
      <c r="G4" s="61" t="s">
        <v>43</v>
      </c>
      <c r="H4" s="5">
        <v>576.0</v>
      </c>
      <c r="I4" s="21">
        <v>17140.5</v>
      </c>
      <c r="J4" s="21"/>
      <c r="K4" s="9">
        <f t="shared" si="2"/>
        <v>83550.96</v>
      </c>
      <c r="L4" s="9" t="str">
        <f t="shared" si="3"/>
        <v>65,84</v>
      </c>
      <c r="M4" s="15">
        <f t="shared" si="4"/>
        <v>98729.28</v>
      </c>
      <c r="N4" s="9" t="str">
        <f>VLOOKUP($C4,CCLHistory!$A$6:$B646,2,FALSE)</f>
        <v>591,79</v>
      </c>
      <c r="O4" s="23">
        <f t="shared" si="5"/>
        <v>166.8316126</v>
      </c>
      <c r="P4" s="9">
        <f>if(B4=0,"...",$H4*(IF(D4="ABIERTA",L4,J4)*IF(G4="DOLARES",1,Q4)*(1-VLOOKUP(A4,Config!$A$3:$B$5,2,FALSE)))/IF(G4="DOLARES",1,100))</f>
        <v>481229.4669</v>
      </c>
      <c r="Q4" s="9">
        <f>IF(D4="ABIERTA",Config!$D$4,VLOOKUP(E4,CCLHistory!$A$6:$B646,2,FALSE))</f>
        <v>1269</v>
      </c>
      <c r="R4" s="23">
        <f>if(B4=0,"...",$H4*(IF(D4="ABIERTA",L4,J4)*(1-VLOOKUP(A4,Config!$A$3:$B$5,2,FALSE)))/100)</f>
        <v>379.2194381</v>
      </c>
      <c r="S4" s="10">
        <f t="shared" si="6"/>
        <v>3.874232517</v>
      </c>
      <c r="T4" s="9">
        <f t="shared" si="7"/>
        <v>382500.1869</v>
      </c>
      <c r="U4" s="24">
        <f t="shared" si="8"/>
        <v>1.27306703</v>
      </c>
      <c r="V4" s="15">
        <f t="shared" si="9"/>
        <v>212.3878255</v>
      </c>
      <c r="W4" s="18"/>
      <c r="X4" s="9"/>
      <c r="Y4" s="9" t="str">
        <f t="shared" si="10"/>
        <v>...</v>
      </c>
      <c r="Z4" s="9" t="str">
        <f t="shared" si="11"/>
        <v>...</v>
      </c>
      <c r="AA4" s="10" t="str">
        <f t="shared" si="12"/>
        <v/>
      </c>
      <c r="AB4" s="9" t="str">
        <f t="shared" si="13"/>
        <v>...</v>
      </c>
      <c r="AC4" s="9"/>
      <c r="AD4" s="15" t="str">
        <f t="shared" si="14"/>
        <v>...</v>
      </c>
      <c r="AE4" s="15"/>
      <c r="AF4" s="10" t="str">
        <f t="shared" si="15"/>
        <v>...</v>
      </c>
      <c r="AG4" s="10"/>
      <c r="AH4" s="15" t="str">
        <f t="shared" si="16"/>
        <v>...</v>
      </c>
      <c r="AI4" s="15" t="str">
        <f t="shared" si="17"/>
        <v>...</v>
      </c>
      <c r="AJ4" s="18"/>
      <c r="AK4" s="18"/>
      <c r="AL4" s="18"/>
      <c r="AM4" s="18"/>
      <c r="AN4" s="18"/>
      <c r="AO4" s="18"/>
      <c r="AP4" s="18"/>
      <c r="AQ4" s="18"/>
      <c r="AR4" s="63" t="str">
        <f>IFERROR(__xludf.DUMMYFUNCTION("""COMPUTED_VALUE"""),"* AE38C *")</f>
        <v>* AE38C *</v>
      </c>
      <c r="AS4" s="15">
        <f>IFERROR(__xludf.DUMMYFUNCTION("""COMPUTED_VALUE"""),76.0)</f>
        <v>76</v>
      </c>
    </row>
    <row r="5">
      <c r="A5" s="5"/>
      <c r="B5" s="5"/>
      <c r="C5" s="11"/>
      <c r="D5" s="5"/>
      <c r="E5" s="11"/>
      <c r="F5" s="20"/>
      <c r="G5" s="61"/>
      <c r="H5" s="5"/>
      <c r="I5" s="21"/>
      <c r="J5" s="21"/>
      <c r="K5" s="9" t="str">
        <f t="shared" si="2"/>
        <v>...</v>
      </c>
      <c r="L5" s="9" t="str">
        <f t="shared" si="3"/>
        <v>...</v>
      </c>
      <c r="M5" s="15"/>
      <c r="N5" s="9" t="str">
        <f t="array" ref="N5">if($B5=0,"...",INDEX(IMPORTFROMWEB(CONCAT(DataImports!$B$3,TEXT($C5,DataImports!$C$3)),DataImports!$D$3),1))</f>
        <v>...</v>
      </c>
      <c r="O5" s="23"/>
      <c r="P5" s="9" t="str">
        <f>if(B5=0,"...",$H5*(IF(D5="ABIERTA",L5,J5)*IF(G5="DOLARES",1,Q5)*(1-VLOOKUP(A5,Config!$A$3:$B$5,2,FALSE)))/IF(G5="DOLARES",1,100))</f>
        <v>...</v>
      </c>
      <c r="Q5" s="9" t="str">
        <f t="array" ref="Q5">if(B5=0,"...",IF($D5="ABIERTA",Config!$D$4,INDEX(IMPORTFROMWEB(CONCAT(DataImports!$B$3,TEXT($E5,DataImports!$C$3)),DataImports!$D$3),1)))</f>
        <v>...</v>
      </c>
      <c r="R5" s="23" t="str">
        <f>if(B5=0,"...",$H5*(IF(D5="ABIERTA",L5,J5)*(1-VLOOKUP(A5,Config!$A$3:$B$5,2,FALSE)))/100)</f>
        <v>...</v>
      </c>
      <c r="S5" s="10"/>
      <c r="T5" s="20"/>
      <c r="U5" s="24"/>
      <c r="V5" s="15"/>
      <c r="W5" s="18"/>
      <c r="X5" s="9"/>
      <c r="Y5" s="9" t="str">
        <f t="shared" si="10"/>
        <v>...</v>
      </c>
      <c r="Z5" s="9" t="str">
        <f t="shared" si="11"/>
        <v>...</v>
      </c>
      <c r="AA5" s="10" t="str">
        <f t="shared" si="12"/>
        <v/>
      </c>
      <c r="AB5" s="9" t="str">
        <f t="shared" si="13"/>
        <v>...</v>
      </c>
      <c r="AC5" s="9"/>
      <c r="AD5" s="15" t="str">
        <f t="shared" si="14"/>
        <v>...</v>
      </c>
      <c r="AE5" s="15"/>
      <c r="AF5" s="10" t="str">
        <f t="shared" si="15"/>
        <v>...</v>
      </c>
      <c r="AG5" s="10"/>
      <c r="AH5" s="15" t="str">
        <f t="shared" si="16"/>
        <v>...</v>
      </c>
      <c r="AI5" s="15" t="str">
        <f t="shared" si="17"/>
        <v>...</v>
      </c>
      <c r="AJ5" s="18"/>
      <c r="AK5" s="18"/>
      <c r="AL5" s="18"/>
      <c r="AM5" s="18"/>
      <c r="AN5" s="18"/>
      <c r="AO5" s="18"/>
      <c r="AP5" s="18"/>
      <c r="AQ5" s="18"/>
      <c r="AR5" s="63" t="str">
        <f>IFERROR(__xludf.DUMMYFUNCTION("""COMPUTED_VALUE"""),"* AE38D *")</f>
        <v>* AE38D *</v>
      </c>
      <c r="AS5" s="15">
        <f>IFERROR(__xludf.DUMMYFUNCTION("""COMPUTED_VALUE"""),78.2)</f>
        <v>78.2</v>
      </c>
    </row>
    <row r="6">
      <c r="A6" s="5"/>
      <c r="B6" s="5"/>
      <c r="C6" s="11"/>
      <c r="D6" s="5"/>
      <c r="E6" s="11"/>
      <c r="F6" s="20"/>
      <c r="G6" s="61"/>
      <c r="H6" s="5"/>
      <c r="I6" s="21"/>
      <c r="J6" s="21"/>
      <c r="K6" s="9" t="str">
        <f t="shared" si="2"/>
        <v>...</v>
      </c>
      <c r="L6" s="9" t="str">
        <f t="shared" si="3"/>
        <v>...</v>
      </c>
      <c r="M6" s="15"/>
      <c r="N6" s="9" t="str">
        <f t="array" ref="N6">if($B6=0,"...",INDEX(IMPORTFROMWEB(CONCAT(DataImports!$B$3,TEXT($C6,DataImports!$C$3)),DataImports!$D$3),1))</f>
        <v>...</v>
      </c>
      <c r="O6" s="23"/>
      <c r="P6" s="9" t="str">
        <f>if(B6=0,"...",$H6*(IF(D6="ABIERTA",L6,J6)*IF(G6="DOLARES",1,Q6)*(1-VLOOKUP(A6,Config!$A$3:$B$5,2,FALSE)))/IF(G6="DOLARES",1,100))</f>
        <v>...</v>
      </c>
      <c r="Q6" s="9" t="str">
        <f t="array" ref="Q6">if(B6=0,"...",IF($D6="ABIERTA",Config!$D$4,INDEX(IMPORTFROMWEB(CONCAT(DataImports!$B$3,TEXT($E6,DataImports!$C$3)),DataImports!$D$3),1)))</f>
        <v>...</v>
      </c>
      <c r="R6" s="23" t="str">
        <f>if(B6=0,"...",$H6*(IF(D6="ABIERTA",L6,J6)*(1-VLOOKUP(A6,Config!$A$3:$B$5,2,FALSE)))/100)</f>
        <v>...</v>
      </c>
      <c r="S6" s="10"/>
      <c r="T6" s="20"/>
      <c r="U6" s="24"/>
      <c r="V6" s="15"/>
      <c r="W6" s="18"/>
      <c r="X6" s="9"/>
      <c r="Y6" s="9" t="str">
        <f t="shared" si="10"/>
        <v>...</v>
      </c>
      <c r="Z6" s="9" t="str">
        <f t="shared" si="11"/>
        <v>...</v>
      </c>
      <c r="AA6" s="10" t="str">
        <f t="shared" si="12"/>
        <v/>
      </c>
      <c r="AB6" s="9" t="str">
        <f t="shared" si="13"/>
        <v>...</v>
      </c>
      <c r="AC6" s="9"/>
      <c r="AD6" s="15" t="str">
        <f t="shared" si="14"/>
        <v>...</v>
      </c>
      <c r="AE6" s="15"/>
      <c r="AF6" s="10" t="str">
        <f t="shared" si="15"/>
        <v>...</v>
      </c>
      <c r="AG6" s="10"/>
      <c r="AH6" s="15" t="str">
        <f t="shared" si="16"/>
        <v>...</v>
      </c>
      <c r="AI6" s="15" t="str">
        <f t="shared" si="17"/>
        <v>...</v>
      </c>
      <c r="AJ6" s="18"/>
      <c r="AK6" s="18"/>
      <c r="AL6" s="18"/>
      <c r="AM6" s="18"/>
      <c r="AN6" s="18"/>
      <c r="AO6" s="18"/>
      <c r="AP6" s="18"/>
      <c r="AQ6" s="18"/>
      <c r="AR6" s="63" t="str">
        <f>IFERROR(__xludf.DUMMYFUNCTION("""COMPUTED_VALUE"""),"* AL29 *")</f>
        <v>* AL29 *</v>
      </c>
      <c r="AS6" s="15">
        <f>IFERROR(__xludf.DUMMYFUNCTION("""COMPUTED_VALUE"""),101770.0)</f>
        <v>101770</v>
      </c>
    </row>
    <row r="7">
      <c r="A7" s="5"/>
      <c r="B7" s="5"/>
      <c r="C7" s="11"/>
      <c r="D7" s="5"/>
      <c r="E7" s="11"/>
      <c r="F7" s="20"/>
      <c r="G7" s="20"/>
      <c r="H7" s="5"/>
      <c r="I7" s="21"/>
      <c r="J7" s="21"/>
      <c r="K7" s="9" t="str">
        <f t="shared" si="2"/>
        <v>...</v>
      </c>
      <c r="L7" s="9" t="str">
        <f t="shared" si="3"/>
        <v>...</v>
      </c>
      <c r="M7" s="15"/>
      <c r="N7" s="9" t="str">
        <f t="array" ref="N7">if($B7=0,"...",INDEX(IMPORTFROMWEB(CONCAT(DataImports!$B$3,TEXT($C7,DataImports!$C$3)),DataImports!$D$3),1))</f>
        <v>...</v>
      </c>
      <c r="O7" s="23"/>
      <c r="P7" s="9" t="str">
        <f>if(B7=0,"...",$H7*(IF(D7="ABIERTA",L7,J7)*IF(G7="DOLARES",1,Q7)*(1-VLOOKUP(A7,Config!$A$3:$B$5,2,FALSE)))/IF(G7="DOLARES",1,100))</f>
        <v>...</v>
      </c>
      <c r="Q7" s="9" t="str">
        <f t="array" ref="Q7">if(B7=0,"...",IF($D7="ABIERTA",Config!$D$4,INDEX(IMPORTFROMWEB(CONCAT(DataImports!$B$3,TEXT($E7,DataImports!$C$3)),DataImports!$D$3),1)))</f>
        <v>...</v>
      </c>
      <c r="R7" s="23" t="str">
        <f>if(B7=0,"...",$H7*(IF(D7="ABIERTA",L7,J7)*(1-VLOOKUP(A7,Config!$A$3:$B$5,2,FALSE)))/100)</f>
        <v>...</v>
      </c>
      <c r="S7" s="10" t="str">
        <f t="shared" ref="S7:S29" si="18">if(B7=0,"...",P7/M7-1)</f>
        <v>...</v>
      </c>
      <c r="T7" s="20" t="str">
        <f t="shared" ref="T7:T29" si="19">if(B7=0,"...",P7-M7)</f>
        <v>...</v>
      </c>
      <c r="U7" s="24" t="str">
        <f t="shared" ref="U7:U29" si="20">if(B7=0,"...",R7/O7-1)</f>
        <v>...</v>
      </c>
      <c r="V7" s="15" t="str">
        <f t="shared" ref="V7:V29" si="21">if(B7=0,"...",R7-O7)</f>
        <v>...</v>
      </c>
      <c r="W7" s="18"/>
      <c r="X7" s="9"/>
      <c r="Y7" s="9" t="str">
        <f t="shared" si="10"/>
        <v>...</v>
      </c>
      <c r="Z7" s="9" t="str">
        <f t="shared" si="11"/>
        <v>...</v>
      </c>
      <c r="AA7" s="10" t="str">
        <f t="shared" si="12"/>
        <v/>
      </c>
      <c r="AB7" s="9" t="str">
        <f t="shared" si="13"/>
        <v>...</v>
      </c>
      <c r="AC7" s="9"/>
      <c r="AD7" s="15" t="str">
        <f t="shared" si="14"/>
        <v>...</v>
      </c>
      <c r="AE7" s="15"/>
      <c r="AF7" s="10" t="str">
        <f t="shared" si="15"/>
        <v>...</v>
      </c>
      <c r="AG7" s="10"/>
      <c r="AH7" s="15" t="str">
        <f t="shared" si="16"/>
        <v>...</v>
      </c>
      <c r="AI7" s="15" t="str">
        <f t="shared" si="17"/>
        <v>...</v>
      </c>
      <c r="AJ7" s="18"/>
      <c r="AK7" s="18"/>
      <c r="AL7" s="18"/>
      <c r="AM7" s="18"/>
      <c r="AN7" s="18"/>
      <c r="AO7" s="18"/>
      <c r="AP7" s="18"/>
      <c r="AQ7" s="18"/>
      <c r="AR7" s="63" t="str">
        <f>IFERROR(__xludf.DUMMYFUNCTION("""COMPUTED_VALUE"""),"* AL29C *")</f>
        <v>* AL29C *</v>
      </c>
      <c r="AS7" s="15">
        <f>IFERROR(__xludf.DUMMYFUNCTION("""COMPUTED_VALUE"""),68.16)</f>
        <v>68.16</v>
      </c>
    </row>
    <row r="8">
      <c r="A8" s="5"/>
      <c r="B8" s="5"/>
      <c r="C8" s="11"/>
      <c r="D8" s="5"/>
      <c r="E8" s="11"/>
      <c r="F8" s="20"/>
      <c r="G8" s="20"/>
      <c r="H8" s="5"/>
      <c r="I8" s="21"/>
      <c r="J8" s="21"/>
      <c r="K8" s="9" t="str">
        <f t="shared" si="2"/>
        <v>...</v>
      </c>
      <c r="L8" s="9" t="str">
        <f t="shared" si="3"/>
        <v>...</v>
      </c>
      <c r="M8" s="15"/>
      <c r="N8" s="9" t="str">
        <f t="array" ref="N8">if($B8=0,"...",INDEX(IMPORTFROMWEB(CONCAT(DataImports!$B$3,TEXT($C8,DataImports!$C$3)),DataImports!$D$3),1))</f>
        <v>...</v>
      </c>
      <c r="O8" s="23"/>
      <c r="P8" s="9" t="str">
        <f>if(B8=0,"...",$H8*(IF(D8="ABIERTA",L8,J8)*IF(G8="DOLARES",1,Q8)*(1-VLOOKUP(A8,Config!$A$3:$B$5,2,FALSE)))/IF(G8="DOLARES",1,100))</f>
        <v>...</v>
      </c>
      <c r="Q8" s="9" t="str">
        <f t="array" ref="Q8">if(B8=0,"...",IF($D8="ABIERTA",Config!$D$4,INDEX(IMPORTFROMWEB(CONCAT(DataImports!$B$3,TEXT($E8,DataImports!$C$3)),DataImports!$D$3),1)))</f>
        <v>...</v>
      </c>
      <c r="R8" s="23" t="str">
        <f>if(B8=0,"...",$H8*(IF(D8="ABIERTA",L8,J8)*(1-VLOOKUP(A8,Config!$A$3:$B$5,2,FALSE)))/100)</f>
        <v>...</v>
      </c>
      <c r="S8" s="10" t="str">
        <f t="shared" si="18"/>
        <v>...</v>
      </c>
      <c r="T8" s="20" t="str">
        <f t="shared" si="19"/>
        <v>...</v>
      </c>
      <c r="U8" s="24" t="str">
        <f t="shared" si="20"/>
        <v>...</v>
      </c>
      <c r="V8" s="15" t="str">
        <f t="shared" si="21"/>
        <v>...</v>
      </c>
      <c r="W8" s="18"/>
      <c r="X8" s="9"/>
      <c r="Y8" s="9" t="str">
        <f t="shared" si="10"/>
        <v>...</v>
      </c>
      <c r="Z8" s="9" t="str">
        <f t="shared" si="11"/>
        <v>...</v>
      </c>
      <c r="AA8" s="10" t="str">
        <f t="shared" si="12"/>
        <v/>
      </c>
      <c r="AB8" s="9" t="str">
        <f t="shared" si="13"/>
        <v>...</v>
      </c>
      <c r="AC8" s="9"/>
      <c r="AD8" s="15" t="str">
        <f t="shared" si="14"/>
        <v>...</v>
      </c>
      <c r="AE8" s="15"/>
      <c r="AF8" s="10" t="str">
        <f t="shared" si="15"/>
        <v>...</v>
      </c>
      <c r="AG8" s="10"/>
      <c r="AH8" s="15" t="str">
        <f t="shared" si="16"/>
        <v>...</v>
      </c>
      <c r="AI8" s="15" t="str">
        <f t="shared" si="17"/>
        <v>...</v>
      </c>
      <c r="AJ8" s="18"/>
      <c r="AK8" s="18"/>
      <c r="AL8" s="18"/>
      <c r="AM8" s="18"/>
      <c r="AN8" s="18"/>
      <c r="AO8" s="18"/>
      <c r="AP8" s="18"/>
      <c r="AQ8" s="18"/>
      <c r="AR8" s="63" t="str">
        <f>IFERROR(__xludf.DUMMYFUNCTION("""COMPUTED_VALUE"""),"* AL29D *")</f>
        <v>* AL29D *</v>
      </c>
      <c r="AS8" s="15">
        <f>IFERROR(__xludf.DUMMYFUNCTION("""COMPUTED_VALUE"""),69.48)</f>
        <v>69.48</v>
      </c>
    </row>
    <row r="9">
      <c r="A9" s="5"/>
      <c r="B9" s="5"/>
      <c r="C9" s="11"/>
      <c r="D9" s="5"/>
      <c r="E9" s="11"/>
      <c r="F9" s="20"/>
      <c r="G9" s="20"/>
      <c r="H9" s="5"/>
      <c r="I9" s="21"/>
      <c r="J9" s="21"/>
      <c r="K9" s="9" t="str">
        <f t="shared" si="2"/>
        <v>...</v>
      </c>
      <c r="L9" s="9" t="str">
        <f t="shared" si="3"/>
        <v>...</v>
      </c>
      <c r="M9" s="15"/>
      <c r="N9" s="9" t="str">
        <f t="array" ref="N9">if($B9=0,"...",INDEX(IMPORTFROMWEB(CONCAT(DataImports!$B$3,TEXT($C9,DataImports!$C$3)),DataImports!$D$3),1))</f>
        <v>...</v>
      </c>
      <c r="O9" s="23"/>
      <c r="P9" s="9" t="str">
        <f>if(B9=0,"...",$H9*(IF(D9="ABIERTA",L9,J9)*IF(G9="DOLARES",1,Q9)*(1-VLOOKUP(A9,Config!$A$3:$B$5,2,FALSE)))/IF(G9="DOLARES",1,100))</f>
        <v>...</v>
      </c>
      <c r="Q9" s="9" t="str">
        <f t="array" ref="Q9">if(B9=0,"...",IF($D9="ABIERTA",Config!$D$4,INDEX(IMPORTFROMWEB(CONCAT(DataImports!$B$3,TEXT($E9,DataImports!$C$3)),DataImports!$D$3),1)))</f>
        <v>...</v>
      </c>
      <c r="R9" s="23" t="str">
        <f>if(B9=0,"...",$H9*(IF(D9="ABIERTA",L9,J9)*(1-VLOOKUP(A9,Config!$A$3:$B$5,2,FALSE)))/100)</f>
        <v>...</v>
      </c>
      <c r="S9" s="10" t="str">
        <f t="shared" si="18"/>
        <v>...</v>
      </c>
      <c r="T9" s="20" t="str">
        <f t="shared" si="19"/>
        <v>...</v>
      </c>
      <c r="U9" s="24" t="str">
        <f t="shared" si="20"/>
        <v>...</v>
      </c>
      <c r="V9" s="15" t="str">
        <f t="shared" si="21"/>
        <v>...</v>
      </c>
      <c r="W9" s="18"/>
      <c r="X9" s="9"/>
      <c r="Y9" s="9" t="str">
        <f t="shared" si="10"/>
        <v>...</v>
      </c>
      <c r="Z9" s="9" t="str">
        <f t="shared" si="11"/>
        <v>...</v>
      </c>
      <c r="AA9" s="10" t="str">
        <f t="shared" si="12"/>
        <v/>
      </c>
      <c r="AB9" s="9" t="str">
        <f t="shared" si="13"/>
        <v>...</v>
      </c>
      <c r="AC9" s="9"/>
      <c r="AD9" s="15" t="str">
        <f t="shared" si="14"/>
        <v>...</v>
      </c>
      <c r="AE9" s="15"/>
      <c r="AF9" s="10" t="str">
        <f t="shared" si="15"/>
        <v>...</v>
      </c>
      <c r="AG9" s="10"/>
      <c r="AH9" s="15" t="str">
        <f t="shared" si="16"/>
        <v>...</v>
      </c>
      <c r="AI9" s="15" t="str">
        <f t="shared" si="17"/>
        <v>...</v>
      </c>
      <c r="AJ9" s="18"/>
      <c r="AK9" s="18"/>
      <c r="AL9" s="18"/>
      <c r="AM9" s="18"/>
      <c r="AN9" s="18"/>
      <c r="AO9" s="18"/>
      <c r="AP9" s="18"/>
      <c r="AQ9" s="18"/>
      <c r="AR9" s="63" t="str">
        <f>IFERROR(__xludf.DUMMYFUNCTION("""COMPUTED_VALUE"""),"* AL30 *")</f>
        <v>* AL30 *</v>
      </c>
      <c r="AS9" s="15">
        <f>IFERROR(__xludf.DUMMYFUNCTION("""COMPUTED_VALUE"""),96460.0)</f>
        <v>96460</v>
      </c>
    </row>
    <row r="10">
      <c r="A10" s="5"/>
      <c r="B10" s="5"/>
      <c r="C10" s="11"/>
      <c r="D10" s="5"/>
      <c r="E10" s="11"/>
      <c r="F10" s="20"/>
      <c r="G10" s="20"/>
      <c r="H10" s="5"/>
      <c r="I10" s="21"/>
      <c r="J10" s="21"/>
      <c r="K10" s="9" t="str">
        <f t="shared" si="2"/>
        <v>...</v>
      </c>
      <c r="L10" s="9" t="str">
        <f t="shared" si="3"/>
        <v>...</v>
      </c>
      <c r="M10" s="15"/>
      <c r="N10" s="9" t="str">
        <f t="array" ref="N10">if($B10=0,"...",INDEX(IMPORTFROMWEB(CONCAT(DataImports!$B$3,TEXT($C10,DataImports!$C$3)),DataImports!$D$3),1))</f>
        <v>...</v>
      </c>
      <c r="O10" s="23"/>
      <c r="P10" s="9" t="str">
        <f>if(B10=0,"...",$H10*(IF(D10="ABIERTA",L10,J10)*IF(G10="DOLARES",1,Q10)*(1-VLOOKUP(A10,Config!$A$3:$B$5,2,FALSE)))/IF(G10="DOLARES",1,100))</f>
        <v>...</v>
      </c>
      <c r="Q10" s="9" t="str">
        <f t="array" ref="Q10">if(B10=0,"...",IF($D10="ABIERTA",Config!$D$4,INDEX(IMPORTFROMWEB(CONCAT(DataImports!$B$3,TEXT($E10,DataImports!$C$3)),DataImports!$D$3),1)))</f>
        <v>...</v>
      </c>
      <c r="R10" s="23" t="str">
        <f>if(B10=0,"...",$H10*(IF(D10="ABIERTA",L10,J10)*(1-VLOOKUP(A10,Config!$A$3:$B$5,2,FALSE)))/100)</f>
        <v>...</v>
      </c>
      <c r="S10" s="10" t="str">
        <f t="shared" si="18"/>
        <v>...</v>
      </c>
      <c r="T10" s="20" t="str">
        <f t="shared" si="19"/>
        <v>...</v>
      </c>
      <c r="U10" s="24" t="str">
        <f t="shared" si="20"/>
        <v>...</v>
      </c>
      <c r="V10" s="15" t="str">
        <f t="shared" si="21"/>
        <v>...</v>
      </c>
      <c r="W10" s="18"/>
      <c r="X10" s="9"/>
      <c r="Y10" s="9" t="str">
        <f t="shared" si="10"/>
        <v>...</v>
      </c>
      <c r="Z10" s="9" t="str">
        <f t="shared" si="11"/>
        <v>...</v>
      </c>
      <c r="AA10" s="10" t="str">
        <f t="shared" si="12"/>
        <v/>
      </c>
      <c r="AB10" s="9" t="str">
        <f t="shared" si="13"/>
        <v>...</v>
      </c>
      <c r="AC10" s="9"/>
      <c r="AD10" s="15" t="str">
        <f t="shared" si="14"/>
        <v>...</v>
      </c>
      <c r="AE10" s="15"/>
      <c r="AF10" s="10" t="str">
        <f t="shared" si="15"/>
        <v>...</v>
      </c>
      <c r="AG10" s="10"/>
      <c r="AH10" s="15" t="str">
        <f t="shared" si="16"/>
        <v>...</v>
      </c>
      <c r="AI10" s="15" t="str">
        <f t="shared" si="17"/>
        <v>...</v>
      </c>
      <c r="AJ10" s="18"/>
      <c r="AK10" s="18"/>
      <c r="AL10" s="18"/>
      <c r="AM10" s="18"/>
      <c r="AN10" s="18"/>
      <c r="AO10" s="18"/>
      <c r="AP10" s="18"/>
      <c r="AQ10" s="18"/>
      <c r="AR10" s="63" t="str">
        <f>IFERROR(__xludf.DUMMYFUNCTION("""COMPUTED_VALUE"""),"* AL30C *")</f>
        <v>* AL30C *</v>
      </c>
      <c r="AS10" s="15">
        <f>IFERROR(__xludf.DUMMYFUNCTION("""COMPUTED_VALUE"""),64.23)</f>
        <v>64.23</v>
      </c>
    </row>
    <row r="11">
      <c r="A11" s="5"/>
      <c r="B11" s="5"/>
      <c r="C11" s="11"/>
      <c r="D11" s="5"/>
      <c r="E11" s="11"/>
      <c r="F11" s="20"/>
      <c r="G11" s="20"/>
      <c r="H11" s="5"/>
      <c r="I11" s="21"/>
      <c r="J11" s="21"/>
      <c r="K11" s="9" t="str">
        <f t="shared" si="2"/>
        <v>...</v>
      </c>
      <c r="L11" s="9" t="str">
        <f t="shared" si="3"/>
        <v>...</v>
      </c>
      <c r="M11" s="15"/>
      <c r="N11" s="9" t="str">
        <f t="array" ref="N11">if($B11=0,"...",INDEX(IMPORTFROMWEB(CONCAT(DataImports!$B$3,TEXT($C11,DataImports!$C$3)),DataImports!$D$3),1))</f>
        <v>...</v>
      </c>
      <c r="O11" s="23"/>
      <c r="P11" s="9" t="str">
        <f>if(B11=0,"...",$H11*(IF(D11="ABIERTA",L11,J11)*IF(G11="DOLARES",1,Q11)*(1-VLOOKUP(A11,Config!$A$3:$B$5,2,FALSE)))/IF(G11="DOLARES",1,100))</f>
        <v>...</v>
      </c>
      <c r="Q11" s="9" t="str">
        <f t="array" ref="Q11">if(B11=0,"...",IF($D11="ABIERTA",Config!$D$4,INDEX(IMPORTFROMWEB(CONCAT(DataImports!$B$3,TEXT($E11,DataImports!$C$3)),DataImports!$D$3),1)))</f>
        <v>...</v>
      </c>
      <c r="R11" s="23" t="str">
        <f>if(B11=0,"...",$H11*(IF(D11="ABIERTA",L11,J11)*(1-VLOOKUP(A11,Config!$A$3:$B$5,2,FALSE)))/100)</f>
        <v>...</v>
      </c>
      <c r="S11" s="10" t="str">
        <f t="shared" si="18"/>
        <v>...</v>
      </c>
      <c r="T11" s="20" t="str">
        <f t="shared" si="19"/>
        <v>...</v>
      </c>
      <c r="U11" s="24" t="str">
        <f t="shared" si="20"/>
        <v>...</v>
      </c>
      <c r="V11" s="15" t="str">
        <f t="shared" si="21"/>
        <v>...</v>
      </c>
      <c r="W11" s="18"/>
      <c r="X11" s="9"/>
      <c r="Y11" s="9" t="str">
        <f t="shared" si="10"/>
        <v>...</v>
      </c>
      <c r="Z11" s="9" t="str">
        <f t="shared" si="11"/>
        <v>...</v>
      </c>
      <c r="AA11" s="10" t="str">
        <f t="shared" si="12"/>
        <v/>
      </c>
      <c r="AB11" s="9" t="str">
        <f t="shared" si="13"/>
        <v>...</v>
      </c>
      <c r="AC11" s="9"/>
      <c r="AD11" s="15" t="str">
        <f t="shared" si="14"/>
        <v>...</v>
      </c>
      <c r="AE11" s="15"/>
      <c r="AF11" s="10" t="str">
        <f t="shared" si="15"/>
        <v>...</v>
      </c>
      <c r="AG11" s="10"/>
      <c r="AH11" s="15" t="str">
        <f t="shared" si="16"/>
        <v>...</v>
      </c>
      <c r="AI11" s="15" t="str">
        <f t="shared" si="17"/>
        <v>...</v>
      </c>
      <c r="AJ11" s="18"/>
      <c r="AK11" s="18"/>
      <c r="AL11" s="18"/>
      <c r="AM11" s="18"/>
      <c r="AN11" s="18"/>
      <c r="AO11" s="18"/>
      <c r="AP11" s="18"/>
      <c r="AQ11" s="18"/>
      <c r="AR11" s="63" t="str">
        <f>IFERROR(__xludf.DUMMYFUNCTION("""COMPUTED_VALUE"""),"* AL30D *")</f>
        <v>* AL30D *</v>
      </c>
      <c r="AS11" s="15">
        <f>IFERROR(__xludf.DUMMYFUNCTION("""COMPUTED_VALUE"""),65.84)</f>
        <v>65.84</v>
      </c>
    </row>
    <row r="12">
      <c r="A12" s="5"/>
      <c r="B12" s="5"/>
      <c r="C12" s="11"/>
      <c r="D12" s="5"/>
      <c r="E12" s="11"/>
      <c r="F12" s="20"/>
      <c r="G12" s="20"/>
      <c r="H12" s="5"/>
      <c r="I12" s="21"/>
      <c r="J12" s="21"/>
      <c r="K12" s="9" t="str">
        <f t="shared" si="2"/>
        <v>...</v>
      </c>
      <c r="L12" s="9" t="str">
        <f t="shared" si="3"/>
        <v>...</v>
      </c>
      <c r="M12" s="15"/>
      <c r="N12" s="9" t="str">
        <f t="array" ref="N12">if($B12=0,"...",INDEX(IMPORTFROMWEB(CONCAT(DataImports!$B$3,TEXT($C12,DataImports!$C$3)),DataImports!$D$3),1))</f>
        <v>...</v>
      </c>
      <c r="O12" s="23"/>
      <c r="P12" s="9" t="str">
        <f>if(B12=0,"...",$H12*(IF(D12="ABIERTA",L12,J12)*IF(G12="DOLARES",1,Q12)*(1-VLOOKUP(A12,Config!$A$3:$B$5,2,FALSE)))/IF(G12="DOLARES",1,100))</f>
        <v>...</v>
      </c>
      <c r="Q12" s="9" t="str">
        <f t="array" ref="Q12">if(B12=0,"...",IF($D12="ABIERTA",Config!$D$4,INDEX(IMPORTFROMWEB(CONCAT(DataImports!$B$3,TEXT($E12,DataImports!$C$3)),DataImports!$D$3),1)))</f>
        <v>...</v>
      </c>
      <c r="R12" s="23" t="str">
        <f>if(B12=0,"...",$H12*(IF(D12="ABIERTA",L12,J12)*(1-VLOOKUP(A12,Config!$A$3:$B$5,2,FALSE)))/100)</f>
        <v>...</v>
      </c>
      <c r="S12" s="10" t="str">
        <f t="shared" si="18"/>
        <v>...</v>
      </c>
      <c r="T12" s="20" t="str">
        <f t="shared" si="19"/>
        <v>...</v>
      </c>
      <c r="U12" s="24" t="str">
        <f t="shared" si="20"/>
        <v>...</v>
      </c>
      <c r="V12" s="15" t="str">
        <f t="shared" si="21"/>
        <v>...</v>
      </c>
      <c r="W12" s="18"/>
      <c r="X12" s="9"/>
      <c r="Y12" s="9" t="str">
        <f t="shared" si="10"/>
        <v>...</v>
      </c>
      <c r="Z12" s="9" t="str">
        <f t="shared" si="11"/>
        <v>...</v>
      </c>
      <c r="AA12" s="10" t="str">
        <f t="shared" si="12"/>
        <v/>
      </c>
      <c r="AB12" s="9" t="str">
        <f t="shared" si="13"/>
        <v>...</v>
      </c>
      <c r="AC12" s="9"/>
      <c r="AD12" s="15" t="str">
        <f t="shared" si="14"/>
        <v>...</v>
      </c>
      <c r="AE12" s="15"/>
      <c r="AF12" s="10" t="str">
        <f t="shared" si="15"/>
        <v>...</v>
      </c>
      <c r="AG12" s="10"/>
      <c r="AH12" s="15" t="str">
        <f t="shared" si="16"/>
        <v>...</v>
      </c>
      <c r="AI12" s="15" t="str">
        <f t="shared" si="17"/>
        <v>...</v>
      </c>
      <c r="AJ12" s="18"/>
      <c r="AK12" s="18"/>
      <c r="AL12" s="18"/>
      <c r="AM12" s="18"/>
      <c r="AN12" s="18"/>
      <c r="AO12" s="18"/>
      <c r="AP12" s="18"/>
      <c r="AQ12" s="18"/>
      <c r="AR12" s="63" t="str">
        <f>IFERROR(__xludf.DUMMYFUNCTION("""COMPUTED_VALUE"""),"* AL35 *")</f>
        <v>* AL35 *</v>
      </c>
      <c r="AS12" s="15">
        <f>IFERROR(__xludf.DUMMYFUNCTION("""COMPUTED_VALUE"""),109690.0)</f>
        <v>109690</v>
      </c>
    </row>
    <row r="13">
      <c r="A13" s="5"/>
      <c r="B13" s="5"/>
      <c r="C13" s="11"/>
      <c r="D13" s="5"/>
      <c r="E13" s="19"/>
      <c r="F13" s="20"/>
      <c r="G13" s="20"/>
      <c r="H13" s="5"/>
      <c r="I13" s="21"/>
      <c r="J13" s="22"/>
      <c r="K13" s="9" t="str">
        <f t="shared" si="2"/>
        <v>...</v>
      </c>
      <c r="L13" s="9" t="str">
        <f t="shared" si="3"/>
        <v>...</v>
      </c>
      <c r="M13" s="15"/>
      <c r="N13" s="9" t="str">
        <f t="array" ref="N13">if($B13=0,"...",INDEX(IMPORTFROMWEB(CONCAT(DataImports!$B$3,TEXT($C13,DataImports!$C$3)),DataImports!$D$3),1))</f>
        <v>...</v>
      </c>
      <c r="O13" s="23"/>
      <c r="P13" s="9" t="str">
        <f>if(B13=0,"...",$H13*(IF(D13="ABIERTA",L13,J13)*IF(G13="DOLARES",1,Q13)*(1-VLOOKUP(A13,Config!$A$3:$B$5,2,FALSE)))/IF(G13="DOLARES",1,100))</f>
        <v>...</v>
      </c>
      <c r="Q13" s="9" t="str">
        <f t="array" ref="Q13">if(B13=0,"...",IF($D13="ABIERTA",Config!$D$4,INDEX(IMPORTFROMWEB(CONCAT(DataImports!$B$3,TEXT($E13,DataImports!$C$3)),DataImports!$D$3),1)))</f>
        <v>...</v>
      </c>
      <c r="R13" s="23" t="str">
        <f>if(B13=0,"...",$H13*(IF(D13="ABIERTA",L13,J13)*(1-VLOOKUP(A13,Config!$A$3:$B$5,2,FALSE)))/100)</f>
        <v>...</v>
      </c>
      <c r="S13" s="10" t="str">
        <f t="shared" si="18"/>
        <v>...</v>
      </c>
      <c r="T13" s="20" t="str">
        <f t="shared" si="19"/>
        <v>...</v>
      </c>
      <c r="U13" s="24" t="str">
        <f t="shared" si="20"/>
        <v>...</v>
      </c>
      <c r="V13" s="15" t="str">
        <f t="shared" si="21"/>
        <v>...</v>
      </c>
      <c r="W13" s="18"/>
      <c r="X13" s="9"/>
      <c r="Y13" s="9" t="str">
        <f t="shared" si="10"/>
        <v>...</v>
      </c>
      <c r="Z13" s="9" t="str">
        <f t="shared" si="11"/>
        <v>...</v>
      </c>
      <c r="AA13" s="10" t="str">
        <f t="shared" si="12"/>
        <v/>
      </c>
      <c r="AB13" s="9" t="str">
        <f t="shared" si="13"/>
        <v>...</v>
      </c>
      <c r="AC13" s="9"/>
      <c r="AD13" s="15" t="str">
        <f t="shared" si="14"/>
        <v>...</v>
      </c>
      <c r="AE13" s="15"/>
      <c r="AF13" s="10" t="str">
        <f t="shared" si="15"/>
        <v>...</v>
      </c>
      <c r="AG13" s="10"/>
      <c r="AH13" s="15" t="str">
        <f t="shared" si="16"/>
        <v>...</v>
      </c>
      <c r="AI13" s="15" t="str">
        <f t="shared" si="17"/>
        <v>...</v>
      </c>
      <c r="AJ13" s="18"/>
      <c r="AK13" s="18"/>
      <c r="AL13" s="18"/>
      <c r="AM13" s="18"/>
      <c r="AN13" s="18"/>
      <c r="AO13" s="18"/>
      <c r="AP13" s="18"/>
      <c r="AQ13" s="18"/>
      <c r="AR13" s="63" t="str">
        <f>IFERROR(__xludf.DUMMYFUNCTION("""COMPUTED_VALUE"""),"* AL35C *")</f>
        <v>* AL35C *</v>
      </c>
      <c r="AS13" s="15">
        <f>IFERROR(__xludf.DUMMYFUNCTION("""COMPUTED_VALUE"""),73.61)</f>
        <v>73.61</v>
      </c>
    </row>
    <row r="14">
      <c r="A14" s="5"/>
      <c r="B14" s="5"/>
      <c r="C14" s="11"/>
      <c r="D14" s="5"/>
      <c r="E14" s="25"/>
      <c r="F14" s="20"/>
      <c r="G14" s="20"/>
      <c r="H14" s="5"/>
      <c r="I14" s="21"/>
      <c r="J14" s="22"/>
      <c r="K14" s="9" t="str">
        <f t="shared" si="2"/>
        <v>...</v>
      </c>
      <c r="L14" s="9" t="str">
        <f t="shared" si="3"/>
        <v>...</v>
      </c>
      <c r="M14" s="15"/>
      <c r="N14" s="9" t="str">
        <f t="array" ref="N14">if($B14=0,"...",INDEX(IMPORTFROMWEB(CONCAT(DataImports!$B$3,TEXT($C14,DataImports!$C$3)),DataImports!$D$3),1))</f>
        <v>...</v>
      </c>
      <c r="O14" s="23"/>
      <c r="P14" s="9" t="str">
        <f>if(B14=0,"...",$H14*(IF(D14="ABIERTA",L14,J14)*IF(G14="DOLARES",1,Q14)*(1-VLOOKUP(A14,Config!$A$3:$B$5,2,FALSE)))/IF(G14="DOLARES",1,100))</f>
        <v>...</v>
      </c>
      <c r="Q14" s="9" t="str">
        <f t="array" ref="Q14">if(B14=0,"...",IF($D14="ABIERTA",Config!$D$4,INDEX(IMPORTFROMWEB(CONCAT(DataImports!$B$3,TEXT($E14,DataImports!$C$3)),DataImports!$D$3),1)))</f>
        <v>...</v>
      </c>
      <c r="R14" s="23" t="str">
        <f>if(B14=0,"...",$H14*(IF(D14="ABIERTA",L14,J14)*(1-VLOOKUP(A14,Config!$A$3:$B$5,2,FALSE)))/100)</f>
        <v>...</v>
      </c>
      <c r="S14" s="10" t="str">
        <f t="shared" si="18"/>
        <v>...</v>
      </c>
      <c r="T14" s="20" t="str">
        <f t="shared" si="19"/>
        <v>...</v>
      </c>
      <c r="U14" s="24" t="str">
        <f t="shared" si="20"/>
        <v>...</v>
      </c>
      <c r="V14" s="15" t="str">
        <f t="shared" si="21"/>
        <v>...</v>
      </c>
      <c r="W14" s="18"/>
      <c r="X14" s="9"/>
      <c r="Y14" s="9" t="str">
        <f t="shared" si="10"/>
        <v>...</v>
      </c>
      <c r="Z14" s="9" t="str">
        <f t="shared" si="11"/>
        <v>...</v>
      </c>
      <c r="AA14" s="10" t="str">
        <f t="shared" si="12"/>
        <v/>
      </c>
      <c r="AB14" s="9" t="str">
        <f t="shared" si="13"/>
        <v>...</v>
      </c>
      <c r="AC14" s="9"/>
      <c r="AD14" s="15" t="str">
        <f t="shared" si="14"/>
        <v>...</v>
      </c>
      <c r="AE14" s="15"/>
      <c r="AF14" s="10" t="str">
        <f t="shared" si="15"/>
        <v>...</v>
      </c>
      <c r="AG14" s="10"/>
      <c r="AH14" s="15" t="str">
        <f t="shared" si="16"/>
        <v>...</v>
      </c>
      <c r="AI14" s="15" t="str">
        <f t="shared" si="17"/>
        <v>...</v>
      </c>
      <c r="AJ14" s="18"/>
      <c r="AK14" s="18"/>
      <c r="AL14" s="18"/>
      <c r="AM14" s="18"/>
      <c r="AN14" s="18"/>
      <c r="AO14" s="18"/>
      <c r="AP14" s="18"/>
      <c r="AQ14" s="18"/>
      <c r="AR14" s="63" t="str">
        <f>IFERROR(__xludf.DUMMYFUNCTION("""COMPUTED_VALUE"""),"* AL35D *")</f>
        <v>* AL35D *</v>
      </c>
      <c r="AS14" s="15">
        <f>IFERROR(__xludf.DUMMYFUNCTION("""COMPUTED_VALUE"""),74.87)</f>
        <v>74.87</v>
      </c>
    </row>
    <row r="15">
      <c r="A15" s="5"/>
      <c r="B15" s="5"/>
      <c r="C15" s="11"/>
      <c r="D15" s="5"/>
      <c r="E15" s="25"/>
      <c r="F15" s="20"/>
      <c r="G15" s="20"/>
      <c r="H15" s="5"/>
      <c r="I15" s="21"/>
      <c r="J15" s="22"/>
      <c r="K15" s="9" t="str">
        <f t="shared" si="2"/>
        <v>...</v>
      </c>
      <c r="L15" s="9" t="str">
        <f t="shared" si="3"/>
        <v>...</v>
      </c>
      <c r="M15" s="15"/>
      <c r="N15" s="9" t="str">
        <f t="array" ref="N15">if($B15=0,"...",INDEX(IMPORTFROMWEB(CONCAT(DataImports!$B$3,TEXT($C15,DataImports!$C$3)),DataImports!$D$3),1))</f>
        <v>...</v>
      </c>
      <c r="O15" s="23"/>
      <c r="P15" s="9" t="str">
        <f>if(B15=0,"...",$H15*(IF(D15="ABIERTA",L15,J15)*IF(G15="DOLARES",1,Q15)*(1-VLOOKUP(A15,Config!$A$3:$B$5,2,FALSE)))/IF(G15="DOLARES",1,100))</f>
        <v>...</v>
      </c>
      <c r="Q15" s="9" t="str">
        <f t="array" ref="Q15">if(B15=0,"...",IF($D15="ABIERTA",Config!$D$4,INDEX(IMPORTFROMWEB(CONCAT(DataImports!$B$3,TEXT($E15,DataImports!$C$3)),DataImports!$D$3),1)))</f>
        <v>...</v>
      </c>
      <c r="R15" s="23" t="str">
        <f>if(B15=0,"...",$H15*(IF(D15="ABIERTA",L15,J15)*(1-VLOOKUP(A15,Config!$A$3:$B$5,2,FALSE)))/100)</f>
        <v>...</v>
      </c>
      <c r="S15" s="10" t="str">
        <f t="shared" si="18"/>
        <v>...</v>
      </c>
      <c r="T15" s="20" t="str">
        <f t="shared" si="19"/>
        <v>...</v>
      </c>
      <c r="U15" s="24" t="str">
        <f t="shared" si="20"/>
        <v>...</v>
      </c>
      <c r="V15" s="15" t="str">
        <f t="shared" si="21"/>
        <v>...</v>
      </c>
      <c r="W15" s="18"/>
      <c r="X15" s="9"/>
      <c r="Y15" s="9" t="str">
        <f t="shared" si="10"/>
        <v>...</v>
      </c>
      <c r="Z15" s="9" t="str">
        <f t="shared" si="11"/>
        <v>...</v>
      </c>
      <c r="AA15" s="10" t="str">
        <f t="shared" si="12"/>
        <v/>
      </c>
      <c r="AB15" s="9" t="str">
        <f t="shared" si="13"/>
        <v>...</v>
      </c>
      <c r="AC15" s="9"/>
      <c r="AD15" s="15" t="str">
        <f t="shared" si="14"/>
        <v>...</v>
      </c>
      <c r="AE15" s="15"/>
      <c r="AF15" s="10" t="str">
        <f t="shared" si="15"/>
        <v>...</v>
      </c>
      <c r="AG15" s="10"/>
      <c r="AH15" s="15" t="str">
        <f t="shared" si="16"/>
        <v>...</v>
      </c>
      <c r="AI15" s="15" t="str">
        <f t="shared" si="17"/>
        <v>...</v>
      </c>
      <c r="AJ15" s="18"/>
      <c r="AK15" s="18"/>
      <c r="AL15" s="18"/>
      <c r="AM15" s="18"/>
      <c r="AN15" s="18"/>
      <c r="AO15" s="18"/>
      <c r="AP15" s="18"/>
      <c r="AQ15" s="18"/>
      <c r="AR15" s="63" t="str">
        <f>IFERROR(__xludf.DUMMYFUNCTION("""COMPUTED_VALUE"""),"* AL41 *")</f>
        <v>* AL41 *</v>
      </c>
      <c r="AS15" s="15">
        <f>IFERROR(__xludf.DUMMYFUNCTION("""COMPUTED_VALUE"""),102350.0)</f>
        <v>102350</v>
      </c>
    </row>
    <row r="16">
      <c r="A16" s="5"/>
      <c r="B16" s="5"/>
      <c r="C16" s="11"/>
      <c r="D16" s="5"/>
      <c r="E16" s="25"/>
      <c r="F16" s="20"/>
      <c r="G16" s="20"/>
      <c r="H16" s="5"/>
      <c r="I16" s="21"/>
      <c r="J16" s="22"/>
      <c r="K16" s="9" t="str">
        <f t="shared" si="2"/>
        <v>...</v>
      </c>
      <c r="L16" s="9" t="str">
        <f t="shared" si="3"/>
        <v>...</v>
      </c>
      <c r="M16" s="15"/>
      <c r="N16" s="9" t="str">
        <f t="array" ref="N16">if($B16=0,"...",INDEX(IMPORTFROMWEB(CONCAT(DataImports!$B$3,TEXT($C16,DataImports!$C$3)),DataImports!$D$3),1))</f>
        <v>...</v>
      </c>
      <c r="O16" s="23"/>
      <c r="P16" s="9" t="str">
        <f>if(B16=0,"...",$H16*(IF(D16="ABIERTA",L16,J16)*IF(G16="DOLARES",1,Q16)*(1-VLOOKUP(A16,Config!$A$3:$B$5,2,FALSE)))/IF(G16="DOLARES",1,100))</f>
        <v>...</v>
      </c>
      <c r="Q16" s="9" t="str">
        <f t="array" ref="Q16">if(B16=0,"...",IF($D16="ABIERTA",Config!$D$4,INDEX(IMPORTFROMWEB(CONCAT(DataImports!$B$3,TEXT($E16,DataImports!$C$3)),DataImports!$D$3),1)))</f>
        <v>...</v>
      </c>
      <c r="R16" s="23" t="str">
        <f>if(B16=0,"...",$H16*(IF(D16="ABIERTA",L16,J16)*(1-VLOOKUP(A16,Config!$A$3:$B$5,2,FALSE)))/100)</f>
        <v>...</v>
      </c>
      <c r="S16" s="10" t="str">
        <f t="shared" si="18"/>
        <v>...</v>
      </c>
      <c r="T16" s="20" t="str">
        <f t="shared" si="19"/>
        <v>...</v>
      </c>
      <c r="U16" s="24" t="str">
        <f t="shared" si="20"/>
        <v>...</v>
      </c>
      <c r="V16" s="15" t="str">
        <f t="shared" si="21"/>
        <v>...</v>
      </c>
      <c r="W16" s="18"/>
      <c r="X16" s="9"/>
      <c r="Y16" s="9" t="str">
        <f t="shared" si="10"/>
        <v>...</v>
      </c>
      <c r="Z16" s="9" t="str">
        <f t="shared" si="11"/>
        <v>...</v>
      </c>
      <c r="AA16" s="10" t="str">
        <f t="shared" si="12"/>
        <v/>
      </c>
      <c r="AB16" s="9" t="str">
        <f t="shared" si="13"/>
        <v>...</v>
      </c>
      <c r="AC16" s="9"/>
      <c r="AD16" s="15" t="str">
        <f t="shared" si="14"/>
        <v>...</v>
      </c>
      <c r="AE16" s="15"/>
      <c r="AF16" s="10" t="str">
        <f t="shared" si="15"/>
        <v>...</v>
      </c>
      <c r="AG16" s="10"/>
      <c r="AH16" s="15" t="str">
        <f t="shared" si="16"/>
        <v>...</v>
      </c>
      <c r="AI16" s="15" t="str">
        <f t="shared" si="17"/>
        <v>...</v>
      </c>
      <c r="AJ16" s="18"/>
      <c r="AK16" s="18"/>
      <c r="AL16" s="18"/>
      <c r="AM16" s="18"/>
      <c r="AN16" s="18"/>
      <c r="AO16" s="18"/>
      <c r="AP16" s="18"/>
      <c r="AQ16" s="18"/>
      <c r="AR16" s="63" t="str">
        <f>IFERROR(__xludf.DUMMYFUNCTION("""COMPUTED_VALUE"""),"* AL41C *")</f>
        <v>* AL41C *</v>
      </c>
      <c r="AS16" s="15">
        <f>IFERROR(__xludf.DUMMYFUNCTION("""COMPUTED_VALUE"""),67.96)</f>
        <v>67.96</v>
      </c>
    </row>
    <row r="17">
      <c r="A17" s="5"/>
      <c r="B17" s="5"/>
      <c r="C17" s="11"/>
      <c r="D17" s="5"/>
      <c r="E17" s="25"/>
      <c r="F17" s="20"/>
      <c r="G17" s="20"/>
      <c r="H17" s="5"/>
      <c r="I17" s="21"/>
      <c r="J17" s="22"/>
      <c r="K17" s="9" t="str">
        <f t="shared" si="2"/>
        <v>...</v>
      </c>
      <c r="L17" s="9" t="str">
        <f t="shared" si="3"/>
        <v>...</v>
      </c>
      <c r="M17" s="15"/>
      <c r="N17" s="9" t="str">
        <f t="array" ref="N17">if($B17=0,"...",INDEX(IMPORTFROMWEB(CONCAT(DataImports!$B$3,TEXT($C17,DataImports!$C$3)),DataImports!$D$3),1))</f>
        <v>...</v>
      </c>
      <c r="O17" s="23"/>
      <c r="P17" s="9" t="str">
        <f>if(B17=0,"...",$H17*(IF(D17="ABIERTA",L17,J17)*IF(G17="DOLARES",1,Q17)*(1-VLOOKUP(A17,Config!$A$3:$B$5,2,FALSE)))/IF(G17="DOLARES",1,100))</f>
        <v>...</v>
      </c>
      <c r="Q17" s="9" t="str">
        <f t="array" ref="Q17">if(B17=0,"...",IF($D17="ABIERTA",Config!$D$4,INDEX(IMPORTFROMWEB(CONCAT(DataImports!$B$3,TEXT($E17,DataImports!$C$3)),DataImports!$D$3),1)))</f>
        <v>...</v>
      </c>
      <c r="R17" s="23" t="str">
        <f>if(B17=0,"...",$H17*(IF(D17="ABIERTA",L17,J17)*(1-VLOOKUP(A17,Config!$A$3:$B$5,2,FALSE)))/100)</f>
        <v>...</v>
      </c>
      <c r="S17" s="10" t="str">
        <f t="shared" si="18"/>
        <v>...</v>
      </c>
      <c r="T17" s="20" t="str">
        <f t="shared" si="19"/>
        <v>...</v>
      </c>
      <c r="U17" s="24" t="str">
        <f t="shared" si="20"/>
        <v>...</v>
      </c>
      <c r="V17" s="15" t="str">
        <f t="shared" si="21"/>
        <v>...</v>
      </c>
      <c r="W17" s="18"/>
      <c r="X17" s="9"/>
      <c r="Y17" s="9" t="str">
        <f t="shared" si="10"/>
        <v>...</v>
      </c>
      <c r="Z17" s="9" t="str">
        <f t="shared" si="11"/>
        <v>...</v>
      </c>
      <c r="AA17" s="10" t="str">
        <f t="shared" si="12"/>
        <v/>
      </c>
      <c r="AB17" s="9" t="str">
        <f t="shared" si="13"/>
        <v>...</v>
      </c>
      <c r="AC17" s="9"/>
      <c r="AD17" s="15" t="str">
        <f t="shared" si="14"/>
        <v>...</v>
      </c>
      <c r="AE17" s="15"/>
      <c r="AF17" s="10" t="str">
        <f t="shared" si="15"/>
        <v>...</v>
      </c>
      <c r="AG17" s="10"/>
      <c r="AH17" s="15" t="str">
        <f t="shared" si="16"/>
        <v>...</v>
      </c>
      <c r="AI17" s="15" t="str">
        <f t="shared" si="17"/>
        <v>...</v>
      </c>
      <c r="AJ17" s="18"/>
      <c r="AK17" s="18"/>
      <c r="AL17" s="3" t="s">
        <v>94</v>
      </c>
      <c r="AM17" s="3" t="s">
        <v>95</v>
      </c>
      <c r="AN17" s="18"/>
      <c r="AO17" s="3" t="s">
        <v>94</v>
      </c>
      <c r="AP17" s="3" t="s">
        <v>95</v>
      </c>
      <c r="AQ17" s="18"/>
      <c r="AR17" s="63" t="str">
        <f>IFERROR(__xludf.DUMMYFUNCTION("""COMPUTED_VALUE"""),"* AL41D *")</f>
        <v>* AL41D *</v>
      </c>
      <c r="AS17" s="15">
        <f>IFERROR(__xludf.DUMMYFUNCTION("""COMPUTED_VALUE"""),69.91)</f>
        <v>69.91</v>
      </c>
    </row>
    <row r="18">
      <c r="A18" s="5"/>
      <c r="B18" s="5"/>
      <c r="C18" s="11"/>
      <c r="D18" s="5"/>
      <c r="E18" s="25"/>
      <c r="F18" s="20"/>
      <c r="G18" s="20"/>
      <c r="H18" s="5"/>
      <c r="I18" s="21"/>
      <c r="J18" s="22"/>
      <c r="K18" s="9" t="str">
        <f t="shared" si="2"/>
        <v>...</v>
      </c>
      <c r="L18" s="9" t="str">
        <f t="shared" si="3"/>
        <v>...</v>
      </c>
      <c r="M18" s="15"/>
      <c r="N18" s="9" t="str">
        <f t="array" ref="N18">if($B18=0,"...",INDEX(IMPORTFROMWEB(CONCAT(DataImports!$B$3,TEXT($C18,DataImports!$C$3)),DataImports!$D$3),1))</f>
        <v>...</v>
      </c>
      <c r="O18" s="23"/>
      <c r="P18" s="9" t="str">
        <f>if(B18=0,"...",$H18*(IF(D18="ABIERTA",L18,J18)*IF(G18="DOLARES",1,Q18)*(1-VLOOKUP(A18,Config!$A$3:$B$5,2,FALSE)))/IF(G18="DOLARES",1,100))</f>
        <v>...</v>
      </c>
      <c r="Q18" s="9" t="str">
        <f t="array" ref="Q18">if(B18=0,"...",IF($D18="ABIERTA",Config!$D$4,INDEX(IMPORTFROMWEB(CONCAT(DataImports!$B$3,TEXT($E18,DataImports!$C$3)),DataImports!$D$3),1)))</f>
        <v>...</v>
      </c>
      <c r="R18" s="23" t="str">
        <f>if(B18=0,"...",$H18*(IF(D18="ABIERTA",L18,J18)*(1-VLOOKUP(A18,Config!$A$3:$B$5,2,FALSE)))/100)</f>
        <v>...</v>
      </c>
      <c r="S18" s="10" t="str">
        <f t="shared" si="18"/>
        <v>...</v>
      </c>
      <c r="T18" s="20" t="str">
        <f t="shared" si="19"/>
        <v>...</v>
      </c>
      <c r="U18" s="24" t="str">
        <f t="shared" si="20"/>
        <v>...</v>
      </c>
      <c r="V18" s="15" t="str">
        <f t="shared" si="21"/>
        <v>...</v>
      </c>
      <c r="W18" s="18"/>
      <c r="X18" s="9"/>
      <c r="Y18" s="9" t="str">
        <f t="shared" si="10"/>
        <v>...</v>
      </c>
      <c r="Z18" s="9" t="str">
        <f t="shared" si="11"/>
        <v>...</v>
      </c>
      <c r="AA18" s="10" t="str">
        <f t="shared" si="12"/>
        <v/>
      </c>
      <c r="AB18" s="9" t="str">
        <f t="shared" si="13"/>
        <v>...</v>
      </c>
      <c r="AC18" s="9"/>
      <c r="AD18" s="15" t="str">
        <f t="shared" si="14"/>
        <v>...</v>
      </c>
      <c r="AE18" s="15"/>
      <c r="AF18" s="10" t="str">
        <f t="shared" si="15"/>
        <v>...</v>
      </c>
      <c r="AG18" s="10"/>
      <c r="AH18" s="15" t="str">
        <f t="shared" si="16"/>
        <v>...</v>
      </c>
      <c r="AI18" s="15" t="str">
        <f t="shared" si="17"/>
        <v>...</v>
      </c>
      <c r="AJ18" s="18"/>
      <c r="AK18" s="26" t="s">
        <v>57</v>
      </c>
      <c r="AL18" s="27">
        <f>sumifs(R2:R646,D2:D646,"ABIERTA")</f>
        <v>1340.435375</v>
      </c>
      <c r="AM18" s="27">
        <f>sumifs(P2:P646,D2:D646,"ABIERTA")</f>
        <v>1701012.491</v>
      </c>
      <c r="AN18" s="26" t="s">
        <v>58</v>
      </c>
      <c r="AO18" s="27">
        <f t="shared" ref="AO18:AP18" si="22">sum(R2:R646)</f>
        <v>1340.435375</v>
      </c>
      <c r="AP18" s="27">
        <f t="shared" si="22"/>
        <v>17.59393658</v>
      </c>
      <c r="AQ18" s="18"/>
      <c r="AR18" s="63" t="str">
        <f>IFERROR(__xludf.DUMMYFUNCTION("""COMPUTED_VALUE"""),"* BA37D *")</f>
        <v>* BA37D *</v>
      </c>
      <c r="AS18" s="15">
        <f>IFERROR(__xludf.DUMMYFUNCTION("""COMPUTED_VALUE"""),103400.0)</f>
        <v>103400</v>
      </c>
    </row>
    <row r="19">
      <c r="A19" s="5"/>
      <c r="B19" s="5"/>
      <c r="C19" s="11"/>
      <c r="D19" s="5"/>
      <c r="E19" s="25"/>
      <c r="F19" s="20"/>
      <c r="G19" s="20"/>
      <c r="H19" s="5"/>
      <c r="I19" s="21"/>
      <c r="J19" s="22"/>
      <c r="K19" s="9" t="str">
        <f t="shared" si="2"/>
        <v>...</v>
      </c>
      <c r="L19" s="9" t="str">
        <f t="shared" si="3"/>
        <v>...</v>
      </c>
      <c r="M19" s="15"/>
      <c r="N19" s="9" t="str">
        <f t="array" ref="N19">if($B19=0,"...",INDEX(IMPORTFROMWEB(CONCAT(DataImports!$B$3,TEXT($C19,DataImports!$C$3)),DataImports!$D$3),1))</f>
        <v>...</v>
      </c>
      <c r="O19" s="23"/>
      <c r="P19" s="9" t="str">
        <f>if(B19=0,"...",$H19*(IF(D19="ABIERTA",L19,J19)*IF(G19="DOLARES",1,Q19)*(1-VLOOKUP(A19,Config!$A$3:$B$5,2,FALSE)))/IF(G19="DOLARES",1,100))</f>
        <v>...</v>
      </c>
      <c r="Q19" s="9" t="str">
        <f t="array" ref="Q19">if(B19=0,"...",IF($D19="ABIERTA",Config!$D$4,INDEX(IMPORTFROMWEB(CONCAT(DataImports!$B$3,TEXT($E19,DataImports!$C$3)),DataImports!$D$3),1)))</f>
        <v>...</v>
      </c>
      <c r="R19" s="23" t="str">
        <f>if(B19=0,"...",$H19*(IF(D19="ABIERTA",L19,J19)*(1-VLOOKUP(A19,Config!$A$3:$B$5,2,FALSE)))/100)</f>
        <v>...</v>
      </c>
      <c r="S19" s="10" t="str">
        <f t="shared" si="18"/>
        <v>...</v>
      </c>
      <c r="T19" s="20" t="str">
        <f t="shared" si="19"/>
        <v>...</v>
      </c>
      <c r="U19" s="24" t="str">
        <f t="shared" si="20"/>
        <v>...</v>
      </c>
      <c r="V19" s="15" t="str">
        <f t="shared" si="21"/>
        <v>...</v>
      </c>
      <c r="W19" s="18"/>
      <c r="X19" s="9"/>
      <c r="Y19" s="9" t="str">
        <f t="shared" si="10"/>
        <v>...</v>
      </c>
      <c r="Z19" s="9" t="str">
        <f t="shared" si="11"/>
        <v>...</v>
      </c>
      <c r="AA19" s="10" t="str">
        <f t="shared" si="12"/>
        <v/>
      </c>
      <c r="AB19" s="9" t="str">
        <f t="shared" si="13"/>
        <v>...</v>
      </c>
      <c r="AC19" s="9"/>
      <c r="AD19" s="15" t="str">
        <f t="shared" si="14"/>
        <v>...</v>
      </c>
      <c r="AE19" s="15"/>
      <c r="AF19" s="10" t="str">
        <f t="shared" si="15"/>
        <v>...</v>
      </c>
      <c r="AG19" s="10"/>
      <c r="AH19" s="15" t="str">
        <f t="shared" si="16"/>
        <v>...</v>
      </c>
      <c r="AI19" s="15" t="str">
        <f t="shared" si="17"/>
        <v>...</v>
      </c>
      <c r="AJ19" s="18"/>
      <c r="AQ19" s="18"/>
      <c r="AR19" s="63" t="str">
        <f>IFERROR(__xludf.DUMMYFUNCTION("""COMPUTED_VALUE"""),"* BA7DC *")</f>
        <v>* BA7DC *</v>
      </c>
      <c r="AS19" s="15">
        <f>IFERROR(__xludf.DUMMYFUNCTION("""COMPUTED_VALUE"""),68.54)</f>
        <v>68.54</v>
      </c>
    </row>
    <row r="20">
      <c r="A20" s="5"/>
      <c r="B20" s="5"/>
      <c r="C20" s="11"/>
      <c r="D20" s="5"/>
      <c r="E20" s="25"/>
      <c r="F20" s="20"/>
      <c r="G20" s="20"/>
      <c r="H20" s="5"/>
      <c r="I20" s="21"/>
      <c r="J20" s="22"/>
      <c r="K20" s="9" t="str">
        <f t="shared" si="2"/>
        <v>...</v>
      </c>
      <c r="L20" s="9" t="str">
        <f t="shared" si="3"/>
        <v>...</v>
      </c>
      <c r="M20" s="15"/>
      <c r="N20" s="9" t="str">
        <f t="array" ref="N20">if($B20=0,"...",INDEX(IMPORTFROMWEB(CONCAT(DataImports!$B$3,TEXT($C20,DataImports!$C$3)),DataImports!$D$3),1))</f>
        <v>...</v>
      </c>
      <c r="O20" s="23"/>
      <c r="P20" s="9" t="str">
        <f>if(B20=0,"...",$H20*(IF(D20="ABIERTA",L20,J20)*IF(G20="DOLARES",1,Q20)*(1-VLOOKUP(A20,Config!$A$3:$B$5,2,FALSE)))/IF(G20="DOLARES",1,100))</f>
        <v>...</v>
      </c>
      <c r="Q20" s="9" t="str">
        <f t="array" ref="Q20">if(B20=0,"...",IF($D20="ABIERTA",Config!$D$4,INDEX(IMPORTFROMWEB(CONCAT(DataImports!$B$3,TEXT($E20,DataImports!$C$3)),DataImports!$D$3),1)))</f>
        <v>...</v>
      </c>
      <c r="R20" s="23" t="str">
        <f>if(B20=0,"...",$H20*(IF(D20="ABIERTA",L20,J20)*(1-VLOOKUP(A20,Config!$A$3:$B$5,2,FALSE)))/100)</f>
        <v>...</v>
      </c>
      <c r="S20" s="10" t="str">
        <f t="shared" si="18"/>
        <v>...</v>
      </c>
      <c r="T20" s="20" t="str">
        <f t="shared" si="19"/>
        <v>...</v>
      </c>
      <c r="U20" s="24" t="str">
        <f t="shared" si="20"/>
        <v>...</v>
      </c>
      <c r="V20" s="15" t="str">
        <f t="shared" si="21"/>
        <v>...</v>
      </c>
      <c r="W20" s="18"/>
      <c r="X20" s="9"/>
      <c r="Y20" s="9" t="str">
        <f t="shared" si="10"/>
        <v>...</v>
      </c>
      <c r="Z20" s="9" t="str">
        <f t="shared" si="11"/>
        <v>...</v>
      </c>
      <c r="AA20" s="10" t="str">
        <f t="shared" si="12"/>
        <v/>
      </c>
      <c r="AB20" s="9" t="str">
        <f t="shared" si="13"/>
        <v>...</v>
      </c>
      <c r="AC20" s="9"/>
      <c r="AD20" s="15" t="str">
        <f t="shared" si="14"/>
        <v>...</v>
      </c>
      <c r="AE20" s="15"/>
      <c r="AF20" s="10" t="str">
        <f t="shared" si="15"/>
        <v>...</v>
      </c>
      <c r="AG20" s="10"/>
      <c r="AH20" s="15" t="str">
        <f t="shared" si="16"/>
        <v>...</v>
      </c>
      <c r="AI20" s="15" t="str">
        <f t="shared" si="17"/>
        <v>...</v>
      </c>
      <c r="AJ20" s="18"/>
      <c r="AK20" s="26" t="s">
        <v>59</v>
      </c>
      <c r="AL20" s="27">
        <f>sumifs(V2:V646,D2:D646,"ABIERTA")</f>
        <v>863.4770508</v>
      </c>
      <c r="AM20" s="27">
        <f>sumifs(T2:T646,D2:D646,"ABIERTA")</f>
        <v>1455273.891</v>
      </c>
      <c r="AN20" s="26" t="s">
        <v>60</v>
      </c>
      <c r="AO20" s="27">
        <f t="shared" ref="AO20:AP20" si="23">sum(V2:V646)</f>
        <v>863.4770508</v>
      </c>
      <c r="AP20" s="27">
        <f t="shared" si="23"/>
        <v>0</v>
      </c>
      <c r="AQ20" s="18"/>
      <c r="AR20" s="63" t="str">
        <f>IFERROR(__xludf.DUMMYFUNCTION("""COMPUTED_VALUE"""),"* BA7DD *")</f>
        <v>* BA7DD *</v>
      </c>
      <c r="AS20" s="15">
        <f>IFERROR(__xludf.DUMMYFUNCTION("""COMPUTED_VALUE"""),70.41)</f>
        <v>70.41</v>
      </c>
    </row>
    <row r="21">
      <c r="A21" s="5"/>
      <c r="B21" s="5"/>
      <c r="C21" s="11"/>
      <c r="D21" s="5"/>
      <c r="E21" s="25"/>
      <c r="F21" s="20"/>
      <c r="G21" s="20"/>
      <c r="H21" s="5"/>
      <c r="I21" s="21"/>
      <c r="J21" s="22"/>
      <c r="K21" s="9" t="str">
        <f t="shared" si="2"/>
        <v>...</v>
      </c>
      <c r="L21" s="9" t="str">
        <f t="shared" si="3"/>
        <v>...</v>
      </c>
      <c r="M21" s="15"/>
      <c r="N21" s="9" t="str">
        <f t="array" ref="N21">if($B21=0,"...",INDEX(IMPORTFROMWEB(CONCAT(DataImports!$B$3,TEXT($C21,DataImports!$C$3)),DataImports!$D$3),1))</f>
        <v>...</v>
      </c>
      <c r="O21" s="23"/>
      <c r="P21" s="9" t="str">
        <f>if(B21=0,"...",$H21*(IF(D21="ABIERTA",L21,J21)*IF(G21="DOLARES",1,Q21)*(1-VLOOKUP(A21,Config!$A$3:$B$5,2,FALSE)))/IF(G21="DOLARES",1,100))</f>
        <v>...</v>
      </c>
      <c r="Q21" s="9" t="str">
        <f t="array" ref="Q21">if(B21=0,"...",IF($D21="ABIERTA",Config!$D$4,INDEX(IMPORTFROMWEB(CONCAT(DataImports!$B$3,TEXT($E21,DataImports!$C$3)),DataImports!$D$3),1)))</f>
        <v>...</v>
      </c>
      <c r="R21" s="23" t="str">
        <f>if(B21=0,"...",$H21*(IF(D21="ABIERTA",L21,J21)*(1-VLOOKUP(A21,Config!$A$3:$B$5,2,FALSE)))/100)</f>
        <v>...</v>
      </c>
      <c r="S21" s="10" t="str">
        <f t="shared" si="18"/>
        <v>...</v>
      </c>
      <c r="T21" s="20" t="str">
        <f t="shared" si="19"/>
        <v>...</v>
      </c>
      <c r="U21" s="24" t="str">
        <f t="shared" si="20"/>
        <v>...</v>
      </c>
      <c r="V21" s="15" t="str">
        <f t="shared" si="21"/>
        <v>...</v>
      </c>
      <c r="W21" s="18"/>
      <c r="X21" s="9"/>
      <c r="Y21" s="9" t="str">
        <f t="shared" si="10"/>
        <v>...</v>
      </c>
      <c r="Z21" s="9" t="str">
        <f t="shared" si="11"/>
        <v>...</v>
      </c>
      <c r="AA21" s="10" t="str">
        <f t="shared" si="12"/>
        <v/>
      </c>
      <c r="AB21" s="9" t="str">
        <f t="shared" si="13"/>
        <v>...</v>
      </c>
      <c r="AC21" s="9"/>
      <c r="AD21" s="15" t="str">
        <f t="shared" si="14"/>
        <v>...</v>
      </c>
      <c r="AE21" s="15"/>
      <c r="AF21" s="10" t="str">
        <f t="shared" si="15"/>
        <v>...</v>
      </c>
      <c r="AG21" s="10"/>
      <c r="AH21" s="15" t="str">
        <f t="shared" si="16"/>
        <v>...</v>
      </c>
      <c r="AI21" s="15" t="str">
        <f t="shared" si="17"/>
        <v>...</v>
      </c>
      <c r="AJ21" s="18"/>
      <c r="AQ21" s="18"/>
      <c r="AR21" s="63" t="str">
        <f>IFERROR(__xludf.DUMMYFUNCTION("""COMPUTED_VALUE"""),"* BAO25 *")</f>
        <v>* BAO25 *</v>
      </c>
      <c r="AS21" s="15">
        <f>IFERROR(__xludf.DUMMYFUNCTION("""COMPUTED_VALUE"""),32.0)</f>
        <v>32</v>
      </c>
    </row>
    <row r="22">
      <c r="A22" s="5"/>
      <c r="B22" s="5"/>
      <c r="C22" s="11"/>
      <c r="D22" s="5"/>
      <c r="E22" s="25"/>
      <c r="F22" s="20"/>
      <c r="G22" s="20"/>
      <c r="H22" s="5"/>
      <c r="I22" s="21"/>
      <c r="J22" s="22"/>
      <c r="K22" s="9" t="str">
        <f t="shared" si="2"/>
        <v>...</v>
      </c>
      <c r="L22" s="9" t="str">
        <f t="shared" si="3"/>
        <v>...</v>
      </c>
      <c r="M22" s="15"/>
      <c r="N22" s="9" t="str">
        <f t="array" ref="N22">if($B22=0,"...",INDEX(IMPORTFROMWEB(CONCAT(DataImports!$B$3,TEXT($C22,DataImports!$C$3)),DataImports!$D$3),1))</f>
        <v>...</v>
      </c>
      <c r="O22" s="23"/>
      <c r="P22" s="9" t="str">
        <f>if(B22=0,"...",$H22*(IF(D22="ABIERTA",L22,J22)*IF(G22="DOLARES",1,Q22)*(1-VLOOKUP(A22,Config!$A$3:$B$5,2,FALSE)))/IF(G22="DOLARES",1,100))</f>
        <v>...</v>
      </c>
      <c r="Q22" s="9" t="str">
        <f t="array" ref="Q22">if(B22=0,"...",IF($D22="ABIERTA",Config!$D$4,INDEX(IMPORTFROMWEB(CONCAT(DataImports!$B$3,TEXT($E22,DataImports!$C$3)),DataImports!$D$3),1)))</f>
        <v>...</v>
      </c>
      <c r="R22" s="23" t="str">
        <f>if(B22=0,"...",$H22*(IF(D22="ABIERTA",L22,J22)*(1-VLOOKUP(A22,Config!$A$3:$B$5,2,FALSE)))/100)</f>
        <v>...</v>
      </c>
      <c r="S22" s="10" t="str">
        <f t="shared" si="18"/>
        <v>...</v>
      </c>
      <c r="T22" s="20" t="str">
        <f t="shared" si="19"/>
        <v>...</v>
      </c>
      <c r="U22" s="24" t="str">
        <f t="shared" si="20"/>
        <v>...</v>
      </c>
      <c r="V22" s="15" t="str">
        <f t="shared" si="21"/>
        <v>...</v>
      </c>
      <c r="W22" s="18"/>
      <c r="X22" s="9"/>
      <c r="Y22" s="9" t="str">
        <f t="shared" si="10"/>
        <v>...</v>
      </c>
      <c r="Z22" s="9" t="str">
        <f t="shared" si="11"/>
        <v>...</v>
      </c>
      <c r="AA22" s="10" t="str">
        <f t="shared" si="12"/>
        <v/>
      </c>
      <c r="AB22" s="9" t="str">
        <f t="shared" si="13"/>
        <v>...</v>
      </c>
      <c r="AC22" s="9"/>
      <c r="AD22" s="15" t="str">
        <f t="shared" si="14"/>
        <v>...</v>
      </c>
      <c r="AE22" s="15"/>
      <c r="AF22" s="10" t="str">
        <f t="shared" si="15"/>
        <v>...</v>
      </c>
      <c r="AG22" s="10"/>
      <c r="AH22" s="15" t="str">
        <f t="shared" si="16"/>
        <v>...</v>
      </c>
      <c r="AI22" s="15" t="str">
        <f t="shared" si="17"/>
        <v>...</v>
      </c>
      <c r="AJ22" s="18"/>
      <c r="AK22" s="26" t="s">
        <v>62</v>
      </c>
      <c r="AL22" s="28">
        <f t="shared" ref="AL22:AM22" si="24">AL20/(AL18-AL20)</f>
        <v>1.8103826</v>
      </c>
      <c r="AM22" s="28">
        <f t="shared" si="24"/>
        <v>5.922040293</v>
      </c>
      <c r="AN22" s="26" t="s">
        <v>62</v>
      </c>
      <c r="AO22" s="28">
        <f t="shared" ref="AO22:AP22" si="25">AO20/(AO18-AO20)</f>
        <v>1.8103826</v>
      </c>
      <c r="AP22" s="28">
        <f t="shared" si="25"/>
        <v>0</v>
      </c>
      <c r="AQ22" s="18"/>
      <c r="AR22" s="63" t="str">
        <f>IFERROR(__xludf.DUMMYFUNCTION("""COMPUTED_VALUE"""),"* BB37D *")</f>
        <v>* BB37D *</v>
      </c>
      <c r="AS22" s="15">
        <f>IFERROR(__xludf.DUMMYFUNCTION("""COMPUTED_VALUE"""),100110.0)</f>
        <v>100110</v>
      </c>
    </row>
    <row r="23">
      <c r="A23" s="5"/>
      <c r="B23" s="5"/>
      <c r="C23" s="11"/>
      <c r="D23" s="5"/>
      <c r="E23" s="25"/>
      <c r="F23" s="20"/>
      <c r="G23" s="20"/>
      <c r="H23" s="5"/>
      <c r="I23" s="21"/>
      <c r="J23" s="22"/>
      <c r="K23" s="9" t="str">
        <f t="shared" si="2"/>
        <v>...</v>
      </c>
      <c r="L23" s="9" t="str">
        <f t="shared" si="3"/>
        <v>...</v>
      </c>
      <c r="M23" s="15"/>
      <c r="N23" s="9" t="str">
        <f t="array" ref="N23">if($B23=0,"...",INDEX(IMPORTFROMWEB(CONCAT(DataImports!$B$3,TEXT($C23,DataImports!$C$3)),DataImports!$D$3),1))</f>
        <v>...</v>
      </c>
      <c r="O23" s="23"/>
      <c r="P23" s="9" t="str">
        <f>if(B23=0,"...",$H23*(IF(D23="ABIERTA",L23,J23)*IF(G23="DOLARES",1,Q23)*(1-VLOOKUP(A23,Config!$A$3:$B$5,2,FALSE)))/IF(G23="DOLARES",1,100))</f>
        <v>...</v>
      </c>
      <c r="Q23" s="9" t="str">
        <f t="array" ref="Q23">if(B23=0,"...",IF($D23="ABIERTA",Config!$D$4,INDEX(IMPORTFROMWEB(CONCAT(DataImports!$B$3,TEXT($E23,DataImports!$C$3)),DataImports!$D$3),1)))</f>
        <v>...</v>
      </c>
      <c r="R23" s="23" t="str">
        <f>if(B23=0,"...",$H23*(IF(D23="ABIERTA",L23,J23)*(1-VLOOKUP(A23,Config!$A$3:$B$5,2,FALSE)))/100)</f>
        <v>...</v>
      </c>
      <c r="S23" s="10" t="str">
        <f t="shared" si="18"/>
        <v>...</v>
      </c>
      <c r="T23" s="20" t="str">
        <f t="shared" si="19"/>
        <v>...</v>
      </c>
      <c r="U23" s="24" t="str">
        <f t="shared" si="20"/>
        <v>...</v>
      </c>
      <c r="V23" s="15" t="str">
        <f t="shared" si="21"/>
        <v>...</v>
      </c>
      <c r="W23" s="18"/>
      <c r="X23" s="9"/>
      <c r="Y23" s="9" t="str">
        <f t="shared" si="10"/>
        <v>...</v>
      </c>
      <c r="Z23" s="9" t="str">
        <f t="shared" si="11"/>
        <v>...</v>
      </c>
      <c r="AA23" s="10" t="str">
        <f t="shared" si="12"/>
        <v/>
      </c>
      <c r="AB23" s="9" t="str">
        <f t="shared" si="13"/>
        <v>...</v>
      </c>
      <c r="AC23" s="9"/>
      <c r="AD23" s="15" t="str">
        <f t="shared" si="14"/>
        <v>...</v>
      </c>
      <c r="AE23" s="15"/>
      <c r="AF23" s="10" t="str">
        <f t="shared" si="15"/>
        <v>...</v>
      </c>
      <c r="AG23" s="10"/>
      <c r="AH23" s="15" t="str">
        <f t="shared" si="16"/>
        <v>...</v>
      </c>
      <c r="AI23" s="15" t="str">
        <f t="shared" si="17"/>
        <v>...</v>
      </c>
      <c r="AJ23" s="18"/>
      <c r="AQ23" s="18"/>
      <c r="AR23" s="63" t="str">
        <f>IFERROR(__xludf.DUMMYFUNCTION("""COMPUTED_VALUE"""),"* BB7DC *")</f>
        <v>* BB7DC *</v>
      </c>
      <c r="AS23" s="15">
        <f>IFERROR(__xludf.DUMMYFUNCTION("""COMPUTED_VALUE"""),68.0)</f>
        <v>68</v>
      </c>
    </row>
    <row r="24">
      <c r="A24" s="5"/>
      <c r="B24" s="5"/>
      <c r="C24" s="11"/>
      <c r="D24" s="5"/>
      <c r="E24" s="25"/>
      <c r="F24" s="20"/>
      <c r="G24" s="20"/>
      <c r="H24" s="5"/>
      <c r="I24" s="21"/>
      <c r="J24" s="22"/>
      <c r="K24" s="9" t="str">
        <f t="shared" si="2"/>
        <v>...</v>
      </c>
      <c r="L24" s="9" t="str">
        <f t="shared" si="3"/>
        <v>...</v>
      </c>
      <c r="M24" s="15"/>
      <c r="N24" s="9" t="str">
        <f t="array" ref="N24">if($B24=0,"...",INDEX(IMPORTFROMWEB(CONCAT(DataImports!$B$3,TEXT($C24,DataImports!$C$3)),DataImports!$D$3),1))</f>
        <v>...</v>
      </c>
      <c r="O24" s="23"/>
      <c r="P24" s="9" t="str">
        <f>if(B24=0,"...",$H24*(IF(D24="ABIERTA",L24,J24)*IF(G24="DOLARES",1,Q24)*(1-VLOOKUP(A24,Config!$A$3:$B$5,2,FALSE)))/IF(G24="DOLARES",1,100))</f>
        <v>...</v>
      </c>
      <c r="Q24" s="9" t="str">
        <f t="array" ref="Q24">if(B24=0,"...",IF($D24="ABIERTA",Config!$D$4,INDEX(IMPORTFROMWEB(CONCAT(DataImports!$B$3,TEXT($E24,DataImports!$C$3)),DataImports!$D$3),1)))</f>
        <v>...</v>
      </c>
      <c r="R24" s="23" t="str">
        <f>if(B24=0,"...",$H24*(IF(D24="ABIERTA",L24,J24)*(1-VLOOKUP(A24,Config!$A$3:$B$5,2,FALSE)))/100)</f>
        <v>...</v>
      </c>
      <c r="S24" s="10" t="str">
        <f t="shared" si="18"/>
        <v>...</v>
      </c>
      <c r="T24" s="20" t="str">
        <f t="shared" si="19"/>
        <v>...</v>
      </c>
      <c r="U24" s="24" t="str">
        <f t="shared" si="20"/>
        <v>...</v>
      </c>
      <c r="V24" s="15" t="str">
        <f t="shared" si="21"/>
        <v>...</v>
      </c>
      <c r="W24" s="18"/>
      <c r="X24" s="9"/>
      <c r="Y24" s="9" t="str">
        <f t="shared" si="10"/>
        <v>...</v>
      </c>
      <c r="Z24" s="9" t="str">
        <f t="shared" si="11"/>
        <v>...</v>
      </c>
      <c r="AA24" s="10" t="str">
        <f t="shared" si="12"/>
        <v/>
      </c>
      <c r="AB24" s="9" t="str">
        <f t="shared" si="13"/>
        <v>...</v>
      </c>
      <c r="AC24" s="9"/>
      <c r="AD24" s="15" t="str">
        <f t="shared" si="14"/>
        <v>...</v>
      </c>
      <c r="AE24" s="15"/>
      <c r="AF24" s="10" t="str">
        <f t="shared" si="15"/>
        <v>...</v>
      </c>
      <c r="AG24" s="10"/>
      <c r="AH24" s="15" t="str">
        <f t="shared" si="16"/>
        <v>...</v>
      </c>
      <c r="AI24" s="15" t="str">
        <f t="shared" si="17"/>
        <v>...</v>
      </c>
      <c r="AJ24" s="18"/>
      <c r="AK24" s="18"/>
      <c r="AL24" s="18"/>
      <c r="AM24" s="18"/>
      <c r="AN24" s="18"/>
      <c r="AO24" s="18"/>
      <c r="AP24" s="18"/>
      <c r="AQ24" s="18"/>
      <c r="AR24" s="63" t="str">
        <f>IFERROR(__xludf.DUMMYFUNCTION("""COMPUTED_VALUE"""),"* BB7DD *")</f>
        <v>* BB7DD *</v>
      </c>
      <c r="AS24" s="15">
        <f>IFERROR(__xludf.DUMMYFUNCTION("""COMPUTED_VALUE"""),69.0)</f>
        <v>69</v>
      </c>
    </row>
    <row r="25">
      <c r="A25" s="5"/>
      <c r="B25" s="5"/>
      <c r="C25" s="11"/>
      <c r="D25" s="5"/>
      <c r="E25" s="25"/>
      <c r="F25" s="20"/>
      <c r="G25" s="20"/>
      <c r="H25" s="5"/>
      <c r="I25" s="21"/>
      <c r="J25" s="22"/>
      <c r="K25" s="9" t="str">
        <f t="shared" si="2"/>
        <v>...</v>
      </c>
      <c r="L25" s="9" t="str">
        <f t="shared" si="3"/>
        <v>...</v>
      </c>
      <c r="M25" s="15"/>
      <c r="N25" s="9" t="str">
        <f t="array" ref="N25">if($B25=0,"...",INDEX(IMPORTFROMWEB(CONCAT(DataImports!$B$3,TEXT($C25,DataImports!$C$3)),DataImports!$D$3),1))</f>
        <v>...</v>
      </c>
      <c r="O25" s="23"/>
      <c r="P25" s="9" t="str">
        <f>if(B25=0,"...",$H25*(IF(D25="ABIERTA",L25,J25)*IF(G25="DOLARES",1,Q25)*(1-VLOOKUP(A25,Config!$A$3:$B$5,2,FALSE)))/IF(G25="DOLARES",1,100))</f>
        <v>...</v>
      </c>
      <c r="Q25" s="9" t="str">
        <f t="array" ref="Q25">if(B25=0,"...",IF($D25="ABIERTA",Config!$D$4,INDEX(IMPORTFROMWEB(CONCAT(DataImports!$B$3,TEXT($E25,DataImports!$C$3)),DataImports!$D$3),1)))</f>
        <v>...</v>
      </c>
      <c r="R25" s="23" t="str">
        <f>if(B25=0,"...",$H25*(IF(D25="ABIERTA",L25,J25)*(1-VLOOKUP(A25,Config!$A$3:$B$5,2,FALSE)))/100)</f>
        <v>...</v>
      </c>
      <c r="S25" s="10" t="str">
        <f t="shared" si="18"/>
        <v>...</v>
      </c>
      <c r="T25" s="20" t="str">
        <f t="shared" si="19"/>
        <v>...</v>
      </c>
      <c r="U25" s="24" t="str">
        <f t="shared" si="20"/>
        <v>...</v>
      </c>
      <c r="V25" s="15" t="str">
        <f t="shared" si="21"/>
        <v>...</v>
      </c>
      <c r="W25" s="18"/>
      <c r="X25" s="9"/>
      <c r="Y25" s="9" t="str">
        <f t="shared" si="10"/>
        <v>...</v>
      </c>
      <c r="Z25" s="9" t="str">
        <f t="shared" si="11"/>
        <v>...</v>
      </c>
      <c r="AA25" s="10" t="str">
        <f t="shared" si="12"/>
        <v/>
      </c>
      <c r="AB25" s="9" t="str">
        <f t="shared" si="13"/>
        <v>...</v>
      </c>
      <c r="AC25" s="9"/>
      <c r="AD25" s="15" t="str">
        <f t="shared" si="14"/>
        <v>...</v>
      </c>
      <c r="AE25" s="15"/>
      <c r="AF25" s="10" t="str">
        <f t="shared" si="15"/>
        <v>...</v>
      </c>
      <c r="AG25" s="10"/>
      <c r="AH25" s="15" t="str">
        <f t="shared" si="16"/>
        <v>...</v>
      </c>
      <c r="AI25" s="15" t="str">
        <f t="shared" si="17"/>
        <v>...</v>
      </c>
      <c r="AJ25" s="18"/>
      <c r="AK25" s="18"/>
      <c r="AL25" s="18"/>
      <c r="AM25" s="18"/>
      <c r="AN25" s="18"/>
      <c r="AO25" s="18"/>
      <c r="AP25" s="18"/>
      <c r="AQ25" s="18"/>
      <c r="AR25" s="63" t="str">
        <f>IFERROR(__xludf.DUMMYFUNCTION("""COMPUTED_VALUE"""),"* BC37D *")</f>
        <v>* BC37D *</v>
      </c>
      <c r="AS25" s="15">
        <f>IFERROR(__xludf.DUMMYFUNCTION("""COMPUTED_VALUE"""),94330.0)</f>
        <v>94330</v>
      </c>
    </row>
    <row r="26">
      <c r="A26" s="5"/>
      <c r="B26" s="5"/>
      <c r="C26" s="11"/>
      <c r="D26" s="5"/>
      <c r="E26" s="25"/>
      <c r="F26" s="20"/>
      <c r="G26" s="20"/>
      <c r="H26" s="5"/>
      <c r="I26" s="21"/>
      <c r="J26" s="22"/>
      <c r="K26" s="9" t="str">
        <f t="shared" si="2"/>
        <v>...</v>
      </c>
      <c r="L26" s="9" t="str">
        <f t="shared" si="3"/>
        <v>...</v>
      </c>
      <c r="M26" s="15"/>
      <c r="N26" s="9" t="str">
        <f t="array" ref="N26">if($B26=0,"...",INDEX(IMPORTFROMWEB(CONCAT(DataImports!$B$3,TEXT($C26,DataImports!$C$3)),DataImports!$D$3),1))</f>
        <v>...</v>
      </c>
      <c r="O26" s="23"/>
      <c r="P26" s="9" t="str">
        <f>if(B26=0,"...",$H26*(IF(D26="ABIERTA",L26,J26)*IF(G26="DOLARES",1,Q26)*(1-VLOOKUP(A26,Config!$A$3:$B$5,2,FALSE)))/IF(G26="DOLARES",1,100))</f>
        <v>...</v>
      </c>
      <c r="Q26" s="9" t="str">
        <f t="array" ref="Q26">if(B26=0,"...",IF($D26="ABIERTA",Config!$D$4,INDEX(IMPORTFROMWEB(CONCAT(DataImports!$B$3,TEXT($E26,DataImports!$C$3)),DataImports!$D$3),1)))</f>
        <v>...</v>
      </c>
      <c r="R26" s="23" t="str">
        <f>if(B26=0,"...",$H26*(IF(D26="ABIERTA",L26,J26)*(1-VLOOKUP(A26,Config!$A$3:$B$5,2,FALSE)))/100)</f>
        <v>...</v>
      </c>
      <c r="S26" s="10" t="str">
        <f t="shared" si="18"/>
        <v>...</v>
      </c>
      <c r="T26" s="20" t="str">
        <f t="shared" si="19"/>
        <v>...</v>
      </c>
      <c r="U26" s="24" t="str">
        <f t="shared" si="20"/>
        <v>...</v>
      </c>
      <c r="V26" s="15" t="str">
        <f t="shared" si="21"/>
        <v>...</v>
      </c>
      <c r="W26" s="18"/>
      <c r="X26" s="9"/>
      <c r="Y26" s="9" t="str">
        <f t="shared" si="10"/>
        <v>...</v>
      </c>
      <c r="Z26" s="9" t="str">
        <f t="shared" si="11"/>
        <v>...</v>
      </c>
      <c r="AA26" s="10" t="str">
        <f t="shared" si="12"/>
        <v/>
      </c>
      <c r="AB26" s="9" t="str">
        <f t="shared" si="13"/>
        <v>...</v>
      </c>
      <c r="AC26" s="9"/>
      <c r="AD26" s="15" t="str">
        <f t="shared" si="14"/>
        <v>...</v>
      </c>
      <c r="AE26" s="15"/>
      <c r="AF26" s="10" t="str">
        <f t="shared" si="15"/>
        <v>...</v>
      </c>
      <c r="AG26" s="10"/>
      <c r="AH26" s="15" t="str">
        <f t="shared" si="16"/>
        <v>...</v>
      </c>
      <c r="AI26" s="15" t="str">
        <f t="shared" si="17"/>
        <v>...</v>
      </c>
      <c r="AJ26" s="18"/>
      <c r="AK26" s="18"/>
      <c r="AL26" s="18"/>
      <c r="AM26" s="18"/>
      <c r="AN26" s="18"/>
      <c r="AO26" s="18"/>
      <c r="AP26" s="18"/>
      <c r="AQ26" s="18"/>
      <c r="AR26" s="63" t="str">
        <f>IFERROR(__xludf.DUMMYFUNCTION("""COMPUTED_VALUE"""),"* BDC28 *")</f>
        <v>* BDC28 *</v>
      </c>
      <c r="AS26" s="15">
        <f>IFERROR(__xludf.DUMMYFUNCTION("""COMPUTED_VALUE"""),110.9)</f>
        <v>110.9</v>
      </c>
    </row>
    <row r="27">
      <c r="A27" s="5"/>
      <c r="B27" s="5"/>
      <c r="C27" s="11"/>
      <c r="D27" s="5"/>
      <c r="E27" s="25"/>
      <c r="F27" s="20"/>
      <c r="G27" s="20"/>
      <c r="H27" s="5"/>
      <c r="I27" s="21"/>
      <c r="J27" s="22"/>
      <c r="K27" s="9" t="str">
        <f t="shared" si="2"/>
        <v>...</v>
      </c>
      <c r="L27" s="9" t="str">
        <f t="shared" si="3"/>
        <v>...</v>
      </c>
      <c r="M27" s="15"/>
      <c r="N27" s="9" t="str">
        <f t="array" ref="N27">if($B27=0,"...",INDEX(IMPORTFROMWEB(CONCAT(DataImports!$B$3,TEXT($C27,DataImports!$C$3)),DataImports!$D$3),1))</f>
        <v>...</v>
      </c>
      <c r="O27" s="23"/>
      <c r="P27" s="9" t="str">
        <f>if(B27=0,"...",$H27*(IF(D27="ABIERTA",L27,J27)*IF(G27="DOLARES",1,Q27)*(1-VLOOKUP(A27,Config!$A$3:$B$5,2,FALSE)))/IF(G27="DOLARES",1,100))</f>
        <v>...</v>
      </c>
      <c r="Q27" s="9" t="str">
        <f t="array" ref="Q27">if(B27=0,"...",IF($D27="ABIERTA",Config!$D$4,INDEX(IMPORTFROMWEB(CONCAT(DataImports!$B$3,TEXT($E27,DataImports!$C$3)),DataImports!$D$3),1)))</f>
        <v>...</v>
      </c>
      <c r="R27" s="23" t="str">
        <f>if(B27=0,"...",$H27*(IF(D27="ABIERTA",L27,J27)*(1-VLOOKUP(A27,Config!$A$3:$B$5,2,FALSE)))/100)</f>
        <v>...</v>
      </c>
      <c r="S27" s="10" t="str">
        <f t="shared" si="18"/>
        <v>...</v>
      </c>
      <c r="T27" s="20" t="str">
        <f t="shared" si="19"/>
        <v>...</v>
      </c>
      <c r="U27" s="24" t="str">
        <f t="shared" si="20"/>
        <v>...</v>
      </c>
      <c r="V27" s="15" t="str">
        <f t="shared" si="21"/>
        <v>...</v>
      </c>
      <c r="W27" s="18"/>
      <c r="X27" s="9"/>
      <c r="Y27" s="9" t="str">
        <f t="shared" si="10"/>
        <v>...</v>
      </c>
      <c r="Z27" s="9" t="str">
        <f t="shared" si="11"/>
        <v>...</v>
      </c>
      <c r="AA27" s="10" t="str">
        <f t="shared" si="12"/>
        <v/>
      </c>
      <c r="AB27" s="9" t="str">
        <f t="shared" si="13"/>
        <v>...</v>
      </c>
      <c r="AC27" s="9"/>
      <c r="AD27" s="15" t="str">
        <f t="shared" si="14"/>
        <v>...</v>
      </c>
      <c r="AE27" s="15"/>
      <c r="AF27" s="10" t="str">
        <f t="shared" si="15"/>
        <v>...</v>
      </c>
      <c r="AG27" s="10"/>
      <c r="AH27" s="15" t="str">
        <f t="shared" si="16"/>
        <v>...</v>
      </c>
      <c r="AI27" s="15" t="str">
        <f t="shared" si="17"/>
        <v>...</v>
      </c>
      <c r="AJ27" s="18"/>
      <c r="AK27" s="18"/>
      <c r="AL27" s="18"/>
      <c r="AM27" s="18"/>
      <c r="AN27" s="18"/>
      <c r="AO27" s="18"/>
      <c r="AP27" s="18"/>
      <c r="AQ27" s="18"/>
      <c r="AR27" s="63" t="str">
        <f>IFERROR(__xludf.DUMMYFUNCTION("""COMPUTED_VALUE"""),"* BDC33 *")</f>
        <v>* BDC33 *</v>
      </c>
      <c r="AS27" s="15">
        <f>IFERROR(__xludf.DUMMYFUNCTION("""COMPUTED_VALUE"""),152300.0)</f>
        <v>152300</v>
      </c>
    </row>
    <row r="28">
      <c r="A28" s="5"/>
      <c r="B28" s="5"/>
      <c r="C28" s="11"/>
      <c r="D28" s="5"/>
      <c r="E28" s="25"/>
      <c r="F28" s="20"/>
      <c r="G28" s="20"/>
      <c r="H28" s="5"/>
      <c r="I28" s="21"/>
      <c r="J28" s="22"/>
      <c r="K28" s="9" t="str">
        <f t="shared" si="2"/>
        <v>...</v>
      </c>
      <c r="L28" s="9" t="str">
        <f t="shared" si="3"/>
        <v>...</v>
      </c>
      <c r="M28" s="15"/>
      <c r="N28" s="9" t="str">
        <f t="array" ref="N28">if($B28=0,"...",INDEX(IMPORTFROMWEB(CONCAT(DataImports!$B$3,TEXT($C28,DataImports!$C$3)),DataImports!$D$3),1))</f>
        <v>...</v>
      </c>
      <c r="O28" s="23"/>
      <c r="P28" s="9" t="str">
        <f>if(B28=0,"...",$H28*(IF(D28="ABIERTA",L28,J28)*IF(G28="DOLARES",1,Q28)*(1-VLOOKUP(A28,Config!$A$3:$B$5,2,FALSE)))/IF(G28="DOLARES",1,100))</f>
        <v>...</v>
      </c>
      <c r="Q28" s="9" t="str">
        <f t="array" ref="Q28">if(B28=0,"...",IF($D28="ABIERTA",Config!$D$4,INDEX(IMPORTFROMWEB(CONCAT(DataImports!$B$3,TEXT($E28,DataImports!$C$3)),DataImports!$D$3),1)))</f>
        <v>...</v>
      </c>
      <c r="R28" s="23" t="str">
        <f>if(B28=0,"...",$H28*(IF(D28="ABIERTA",L28,J28)*(1-VLOOKUP(A28,Config!$A$3:$B$5,2,FALSE)))/100)</f>
        <v>...</v>
      </c>
      <c r="S28" s="10" t="str">
        <f t="shared" si="18"/>
        <v>...</v>
      </c>
      <c r="T28" s="20" t="str">
        <f t="shared" si="19"/>
        <v>...</v>
      </c>
      <c r="U28" s="24" t="str">
        <f t="shared" si="20"/>
        <v>...</v>
      </c>
      <c r="V28" s="15" t="str">
        <f t="shared" si="21"/>
        <v>...</v>
      </c>
      <c r="W28" s="18"/>
      <c r="X28" s="9"/>
      <c r="Y28" s="9" t="str">
        <f t="shared" si="10"/>
        <v>...</v>
      </c>
      <c r="Z28" s="9" t="str">
        <f t="shared" si="11"/>
        <v>...</v>
      </c>
      <c r="AA28" s="10" t="str">
        <f t="shared" si="12"/>
        <v/>
      </c>
      <c r="AB28" s="9" t="str">
        <f t="shared" si="13"/>
        <v>...</v>
      </c>
      <c r="AC28" s="9"/>
      <c r="AD28" s="15" t="str">
        <f t="shared" si="14"/>
        <v>...</v>
      </c>
      <c r="AE28" s="15"/>
      <c r="AF28" s="10" t="str">
        <f t="shared" si="15"/>
        <v>...</v>
      </c>
      <c r="AG28" s="10"/>
      <c r="AH28" s="15" t="str">
        <f t="shared" si="16"/>
        <v>...</v>
      </c>
      <c r="AI28" s="15" t="str">
        <f t="shared" si="17"/>
        <v>...</v>
      </c>
      <c r="AJ28" s="18"/>
      <c r="AK28" s="26"/>
      <c r="AL28" s="34"/>
      <c r="AM28" s="34"/>
      <c r="AN28" s="18"/>
      <c r="AO28" s="18"/>
      <c r="AP28" s="18"/>
      <c r="AQ28" s="18"/>
      <c r="AR28" s="63" t="str">
        <f>IFERROR(__xludf.DUMMYFUNCTION("""COMPUTED_VALUE"""),"* BNA26 *")</f>
        <v>* BNA26 *</v>
      </c>
      <c r="AS28" s="15">
        <f>IFERROR(__xludf.DUMMYFUNCTION("""COMPUTED_VALUE"""),75100.0)</f>
        <v>75100</v>
      </c>
    </row>
    <row r="29">
      <c r="A29" s="5"/>
      <c r="B29" s="5"/>
      <c r="C29" s="11"/>
      <c r="D29" s="5"/>
      <c r="E29" s="25"/>
      <c r="F29" s="20"/>
      <c r="G29" s="20"/>
      <c r="H29" s="5"/>
      <c r="I29" s="21"/>
      <c r="J29" s="22"/>
      <c r="K29" s="9" t="str">
        <f t="shared" si="2"/>
        <v>...</v>
      </c>
      <c r="L29" s="9" t="str">
        <f t="shared" si="3"/>
        <v>...</v>
      </c>
      <c r="M29" s="15"/>
      <c r="N29" s="9" t="str">
        <f t="array" ref="N29">if($B29=0,"...",INDEX(IMPORTFROMWEB(CONCAT(DataImports!$B$3,TEXT($C29,DataImports!$C$3)),DataImports!$D$3),1))</f>
        <v>...</v>
      </c>
      <c r="O29" s="23"/>
      <c r="P29" s="9" t="str">
        <f>if(B29=0,"...",$H29*(IF(D29="ABIERTA",L29,J29)*IF(G29="DOLARES",1,Q29)*(1-VLOOKUP(A29,Config!$A$3:$B$5,2,FALSE)))/IF(G29="DOLARES",1,100))</f>
        <v>...</v>
      </c>
      <c r="Q29" s="9" t="str">
        <f t="array" ref="Q29">if(B29=0,"...",IF($D29="ABIERTA",Config!$D$4,INDEX(IMPORTFROMWEB(CONCAT(DataImports!$B$3,TEXT($E29,DataImports!$C$3)),DataImports!$D$3),1)))</f>
        <v>...</v>
      </c>
      <c r="R29" s="23" t="str">
        <f>if(B29=0,"...",$H29*(IF(D29="ABIERTA",L29,J29)*(1-VLOOKUP(A29,Config!$A$3:$B$5,2,FALSE)))/100)</f>
        <v>...</v>
      </c>
      <c r="S29" s="10" t="str">
        <f t="shared" si="18"/>
        <v>...</v>
      </c>
      <c r="T29" s="20" t="str">
        <f t="shared" si="19"/>
        <v>...</v>
      </c>
      <c r="U29" s="24" t="str">
        <f t="shared" si="20"/>
        <v>...</v>
      </c>
      <c r="V29" s="15" t="str">
        <f t="shared" si="21"/>
        <v>...</v>
      </c>
      <c r="W29" s="18"/>
      <c r="X29" s="9"/>
      <c r="Y29" s="9" t="str">
        <f t="shared" si="10"/>
        <v>...</v>
      </c>
      <c r="Z29" s="9" t="str">
        <f t="shared" si="11"/>
        <v>...</v>
      </c>
      <c r="AA29" s="10" t="str">
        <f t="shared" si="12"/>
        <v/>
      </c>
      <c r="AB29" s="9" t="str">
        <f t="shared" si="13"/>
        <v>...</v>
      </c>
      <c r="AC29" s="9"/>
      <c r="AD29" s="15" t="str">
        <f t="shared" si="14"/>
        <v>...</v>
      </c>
      <c r="AE29" s="15"/>
      <c r="AF29" s="10" t="str">
        <f t="shared" si="15"/>
        <v>...</v>
      </c>
      <c r="AG29" s="10"/>
      <c r="AH29" s="15" t="str">
        <f t="shared" si="16"/>
        <v>...</v>
      </c>
      <c r="AI29" s="15" t="str">
        <f t="shared" si="17"/>
        <v>...</v>
      </c>
      <c r="AJ29" s="18"/>
      <c r="AK29" s="26"/>
      <c r="AL29" s="34"/>
      <c r="AM29" s="34"/>
      <c r="AN29" s="18"/>
      <c r="AO29" s="18"/>
      <c r="AP29" s="18"/>
      <c r="AQ29" s="18"/>
      <c r="AR29" s="63" t="str">
        <f>IFERROR(__xludf.DUMMYFUNCTION("""COMPUTED_VALUE"""),"* BPA7C *")</f>
        <v>* BPA7C *</v>
      </c>
      <c r="AS29" s="15">
        <f>IFERROR(__xludf.DUMMYFUNCTION("""COMPUTED_VALUE"""),97.43)</f>
        <v>97.43</v>
      </c>
    </row>
    <row r="30">
      <c r="A30" s="51"/>
      <c r="B30" s="51"/>
      <c r="C30" s="52"/>
      <c r="D30" s="51"/>
      <c r="E30" s="53"/>
      <c r="F30" s="54"/>
      <c r="G30" s="54"/>
      <c r="H30" s="51"/>
      <c r="I30" s="55"/>
      <c r="J30" s="56"/>
      <c r="K30" s="46"/>
      <c r="L30" s="46"/>
      <c r="M30" s="47"/>
      <c r="N30" s="46"/>
      <c r="O30" s="57"/>
      <c r="P30" s="46"/>
      <c r="Q30" s="46"/>
      <c r="R30" s="57"/>
      <c r="S30" s="7"/>
      <c r="T30" s="54"/>
      <c r="U30" s="58"/>
      <c r="V30" s="47"/>
      <c r="W30" s="18"/>
      <c r="X30" s="46"/>
      <c r="Y30" s="46"/>
      <c r="Z30" s="46"/>
      <c r="AA30" s="7"/>
      <c r="AB30" s="46"/>
      <c r="AC30" s="46"/>
      <c r="AD30" s="47"/>
      <c r="AE30" s="47"/>
      <c r="AF30" s="7"/>
      <c r="AG30" s="7"/>
      <c r="AH30" s="47"/>
      <c r="AI30" s="47"/>
      <c r="AJ30" s="18"/>
      <c r="AK30" s="26"/>
      <c r="AL30" s="34"/>
      <c r="AM30" s="34"/>
      <c r="AN30" s="18"/>
      <c r="AO30" s="18"/>
      <c r="AP30" s="18"/>
      <c r="AQ30" s="18"/>
      <c r="AR30" s="64" t="str">
        <f>IFERROR(__xludf.DUMMYFUNCTION("""COMPUTED_VALUE"""),"* BPA7D *")</f>
        <v>* BPA7D *</v>
      </c>
      <c r="AS30" s="64">
        <f>IFERROR(__xludf.DUMMYFUNCTION("""COMPUTED_VALUE"""),100.0)</f>
        <v>100</v>
      </c>
    </row>
    <row r="31">
      <c r="A31" s="51"/>
      <c r="B31" s="51"/>
      <c r="C31" s="52"/>
      <c r="D31" s="51"/>
      <c r="E31" s="53"/>
      <c r="F31" s="54"/>
      <c r="G31" s="54"/>
      <c r="H31" s="51"/>
      <c r="I31" s="55"/>
      <c r="J31" s="56"/>
      <c r="K31" s="46"/>
      <c r="L31" s="46"/>
      <c r="M31" s="47"/>
      <c r="N31" s="46"/>
      <c r="O31" s="57"/>
      <c r="P31" s="46"/>
      <c r="Q31" s="46"/>
      <c r="R31" s="57"/>
      <c r="S31" s="7"/>
      <c r="T31" s="54"/>
      <c r="U31" s="58"/>
      <c r="V31" s="47"/>
      <c r="W31" s="18"/>
      <c r="X31" s="46"/>
      <c r="Y31" s="46"/>
      <c r="Z31" s="46"/>
      <c r="AA31" s="7"/>
      <c r="AB31" s="46"/>
      <c r="AC31" s="46"/>
      <c r="AD31" s="47"/>
      <c r="AE31" s="47"/>
      <c r="AF31" s="7"/>
      <c r="AG31" s="7"/>
      <c r="AH31" s="47"/>
      <c r="AI31" s="47"/>
      <c r="AJ31" s="18"/>
      <c r="AK31" s="26"/>
      <c r="AL31" s="34"/>
      <c r="AM31" s="34"/>
      <c r="AN31" s="18"/>
      <c r="AO31" s="18"/>
      <c r="AP31" s="18"/>
      <c r="AQ31" s="18"/>
      <c r="AR31" s="64" t="str">
        <f>IFERROR(__xludf.DUMMYFUNCTION("""COMPUTED_VALUE"""),"* BPA8C *")</f>
        <v>* BPA8C *</v>
      </c>
      <c r="AS31" s="64">
        <f>IFERROR(__xludf.DUMMYFUNCTION("""COMPUTED_VALUE"""),84.36)</f>
        <v>84.36</v>
      </c>
    </row>
    <row r="32">
      <c r="A32" s="51"/>
      <c r="B32" s="51"/>
      <c r="C32" s="52"/>
      <c r="D32" s="51"/>
      <c r="E32" s="53"/>
      <c r="F32" s="54"/>
      <c r="G32" s="54"/>
      <c r="H32" s="51"/>
      <c r="I32" s="55"/>
      <c r="J32" s="56"/>
      <c r="K32" s="46"/>
      <c r="L32" s="46"/>
      <c r="M32" s="47"/>
      <c r="N32" s="46"/>
      <c r="O32" s="57"/>
      <c r="P32" s="46"/>
      <c r="Q32" s="46"/>
      <c r="R32" s="57"/>
      <c r="S32" s="7"/>
      <c r="T32" s="54"/>
      <c r="U32" s="58"/>
      <c r="V32" s="47"/>
      <c r="W32" s="18"/>
      <c r="X32" s="46"/>
      <c r="Y32" s="46"/>
      <c r="Z32" s="46"/>
      <c r="AA32" s="7"/>
      <c r="AB32" s="46"/>
      <c r="AC32" s="46"/>
      <c r="AD32" s="47"/>
      <c r="AE32" s="47"/>
      <c r="AF32" s="7"/>
      <c r="AG32" s="7"/>
      <c r="AH32" s="47"/>
      <c r="AI32" s="47"/>
      <c r="AJ32" s="18"/>
      <c r="AK32" s="26"/>
      <c r="AL32" s="34"/>
      <c r="AM32" s="34"/>
      <c r="AN32" s="18"/>
      <c r="AO32" s="18"/>
      <c r="AP32" s="18"/>
      <c r="AQ32" s="18"/>
      <c r="AR32" s="64" t="str">
        <f>IFERROR(__xludf.DUMMYFUNCTION("""COMPUTED_VALUE"""),"* BPA8D *")</f>
        <v>* BPA8D *</v>
      </c>
      <c r="AS32" s="64">
        <f>IFERROR(__xludf.DUMMYFUNCTION("""COMPUTED_VALUE"""),86.2)</f>
        <v>86.2</v>
      </c>
    </row>
    <row r="33">
      <c r="A33" s="51"/>
      <c r="B33" s="51"/>
      <c r="C33" s="52"/>
      <c r="D33" s="51"/>
      <c r="E33" s="53"/>
      <c r="F33" s="54"/>
      <c r="G33" s="54"/>
      <c r="H33" s="51"/>
      <c r="I33" s="55"/>
      <c r="J33" s="56"/>
      <c r="K33" s="46"/>
      <c r="L33" s="46"/>
      <c r="M33" s="47"/>
      <c r="N33" s="46"/>
      <c r="O33" s="57"/>
      <c r="P33" s="46"/>
      <c r="Q33" s="46"/>
      <c r="R33" s="57"/>
      <c r="S33" s="7"/>
      <c r="T33" s="54"/>
      <c r="U33" s="58"/>
      <c r="V33" s="47"/>
      <c r="W33" s="18"/>
      <c r="X33" s="46"/>
      <c r="Y33" s="46"/>
      <c r="Z33" s="46"/>
      <c r="AA33" s="7"/>
      <c r="AB33" s="46"/>
      <c r="AC33" s="46"/>
      <c r="AD33" s="47"/>
      <c r="AE33" s="47"/>
      <c r="AF33" s="7"/>
      <c r="AG33" s="7"/>
      <c r="AH33" s="47"/>
      <c r="AI33" s="47"/>
      <c r="AJ33" s="18"/>
      <c r="AK33" s="26"/>
      <c r="AL33" s="34"/>
      <c r="AM33" s="34"/>
      <c r="AN33" s="18"/>
      <c r="AO33" s="18"/>
      <c r="AP33" s="18"/>
      <c r="AQ33" s="18"/>
      <c r="AR33" s="64" t="str">
        <f>IFERROR(__xludf.DUMMYFUNCTION("""COMPUTED_VALUE"""),"* BPB7C *")</f>
        <v>* BPB7C *</v>
      </c>
      <c r="AS33" s="64">
        <f>IFERROR(__xludf.DUMMYFUNCTION("""COMPUTED_VALUE"""),96.75)</f>
        <v>96.75</v>
      </c>
    </row>
    <row r="34">
      <c r="A34" s="51"/>
      <c r="B34" s="51"/>
      <c r="C34" s="52"/>
      <c r="D34" s="51"/>
      <c r="E34" s="53"/>
      <c r="F34" s="54"/>
      <c r="G34" s="54"/>
      <c r="H34" s="51"/>
      <c r="I34" s="55"/>
      <c r="J34" s="56"/>
      <c r="K34" s="46"/>
      <c r="L34" s="46"/>
      <c r="M34" s="47"/>
      <c r="N34" s="46"/>
      <c r="O34" s="57"/>
      <c r="P34" s="46"/>
      <c r="Q34" s="46"/>
      <c r="R34" s="57"/>
      <c r="S34" s="7"/>
      <c r="T34" s="54"/>
      <c r="U34" s="58"/>
      <c r="V34" s="47"/>
      <c r="W34" s="18"/>
      <c r="X34" s="46"/>
      <c r="Y34" s="46"/>
      <c r="Z34" s="46"/>
      <c r="AA34" s="7"/>
      <c r="AB34" s="46"/>
      <c r="AC34" s="46"/>
      <c r="AD34" s="47"/>
      <c r="AE34" s="47"/>
      <c r="AF34" s="7"/>
      <c r="AG34" s="7"/>
      <c r="AH34" s="47"/>
      <c r="AI34" s="47"/>
      <c r="AJ34" s="18"/>
      <c r="AK34" s="26"/>
      <c r="AL34" s="34"/>
      <c r="AM34" s="34"/>
      <c r="AN34" s="18"/>
      <c r="AO34" s="18"/>
      <c r="AP34" s="18"/>
      <c r="AQ34" s="18"/>
      <c r="AR34" s="64" t="str">
        <f>IFERROR(__xludf.DUMMYFUNCTION("""COMPUTED_VALUE"""),"* BPB7D *")</f>
        <v>* BPB7D *</v>
      </c>
      <c r="AS34" s="64">
        <f>IFERROR(__xludf.DUMMYFUNCTION("""COMPUTED_VALUE"""),99.3)</f>
        <v>99.3</v>
      </c>
    </row>
    <row r="35">
      <c r="A35" s="51"/>
      <c r="B35" s="51"/>
      <c r="C35" s="52"/>
      <c r="D35" s="51"/>
      <c r="E35" s="53"/>
      <c r="F35" s="54"/>
      <c r="G35" s="54"/>
      <c r="H35" s="51"/>
      <c r="I35" s="55"/>
      <c r="J35" s="56"/>
      <c r="K35" s="46"/>
      <c r="L35" s="46"/>
      <c r="M35" s="47"/>
      <c r="N35" s="46"/>
      <c r="O35" s="57"/>
      <c r="P35" s="46"/>
      <c r="Q35" s="46"/>
      <c r="R35" s="57"/>
      <c r="S35" s="7"/>
      <c r="T35" s="54"/>
      <c r="U35" s="58"/>
      <c r="V35" s="47"/>
      <c r="W35" s="18"/>
      <c r="X35" s="46"/>
      <c r="Y35" s="46"/>
      <c r="Z35" s="46"/>
      <c r="AA35" s="7"/>
      <c r="AB35" s="46"/>
      <c r="AC35" s="46"/>
      <c r="AD35" s="47"/>
      <c r="AE35" s="47"/>
      <c r="AF35" s="7"/>
      <c r="AG35" s="7"/>
      <c r="AH35" s="47"/>
      <c r="AI35" s="47"/>
      <c r="AJ35" s="18"/>
      <c r="AK35" s="26"/>
      <c r="AL35" s="34"/>
      <c r="AM35" s="34"/>
      <c r="AN35" s="18"/>
      <c r="AO35" s="18"/>
      <c r="AP35" s="18"/>
      <c r="AQ35" s="18"/>
      <c r="AR35" s="64" t="str">
        <f>IFERROR(__xludf.DUMMYFUNCTION("""COMPUTED_VALUE"""),"* BPB8C *")</f>
        <v>* BPB8C *</v>
      </c>
      <c r="AS35" s="64">
        <f>IFERROR(__xludf.DUMMYFUNCTION("""COMPUTED_VALUE"""),80.25)</f>
        <v>80.25</v>
      </c>
    </row>
    <row r="36">
      <c r="A36" s="51"/>
      <c r="B36" s="51"/>
      <c r="C36" s="52"/>
      <c r="D36" s="51"/>
      <c r="E36" s="53"/>
      <c r="F36" s="54"/>
      <c r="G36" s="54"/>
      <c r="H36" s="51"/>
      <c r="I36" s="55"/>
      <c r="J36" s="56"/>
      <c r="K36" s="46"/>
      <c r="L36" s="46"/>
      <c r="M36" s="47"/>
      <c r="N36" s="46"/>
      <c r="O36" s="57"/>
      <c r="P36" s="46"/>
      <c r="Q36" s="46"/>
      <c r="R36" s="57"/>
      <c r="S36" s="7"/>
      <c r="T36" s="54"/>
      <c r="U36" s="58"/>
      <c r="V36" s="47"/>
      <c r="W36" s="18"/>
      <c r="X36" s="46"/>
      <c r="Y36" s="46"/>
      <c r="Z36" s="46"/>
      <c r="AA36" s="7"/>
      <c r="AB36" s="46"/>
      <c r="AC36" s="46"/>
      <c r="AD36" s="47"/>
      <c r="AE36" s="47"/>
      <c r="AF36" s="7"/>
      <c r="AG36" s="7"/>
      <c r="AH36" s="47"/>
      <c r="AI36" s="47"/>
      <c r="AJ36" s="18"/>
      <c r="AK36" s="26"/>
      <c r="AL36" s="34"/>
      <c r="AM36" s="34"/>
      <c r="AN36" s="18"/>
      <c r="AO36" s="18"/>
      <c r="AP36" s="18"/>
      <c r="AQ36" s="18"/>
      <c r="AR36" s="64" t="str">
        <f>IFERROR(__xludf.DUMMYFUNCTION("""COMPUTED_VALUE"""),"* BPB8D *")</f>
        <v>* BPB8D *</v>
      </c>
      <c r="AS36" s="64">
        <f>IFERROR(__xludf.DUMMYFUNCTION("""COMPUTED_VALUE"""),83.3)</f>
        <v>83.3</v>
      </c>
    </row>
    <row r="37">
      <c r="A37" s="51"/>
      <c r="B37" s="51"/>
      <c r="C37" s="52"/>
      <c r="D37" s="51"/>
      <c r="E37" s="53"/>
      <c r="F37" s="54"/>
      <c r="G37" s="54"/>
      <c r="H37" s="51"/>
      <c r="I37" s="55"/>
      <c r="J37" s="56"/>
      <c r="K37" s="46"/>
      <c r="L37" s="46"/>
      <c r="M37" s="47"/>
      <c r="N37" s="46"/>
      <c r="O37" s="57"/>
      <c r="P37" s="46"/>
      <c r="Q37" s="46"/>
      <c r="R37" s="57"/>
      <c r="S37" s="7"/>
      <c r="T37" s="54"/>
      <c r="U37" s="58"/>
      <c r="V37" s="47"/>
      <c r="W37" s="18"/>
      <c r="X37" s="46"/>
      <c r="Y37" s="46"/>
      <c r="Z37" s="46"/>
      <c r="AA37" s="7"/>
      <c r="AB37" s="46"/>
      <c r="AC37" s="46"/>
      <c r="AD37" s="47"/>
      <c r="AE37" s="47"/>
      <c r="AF37" s="7"/>
      <c r="AG37" s="7"/>
      <c r="AH37" s="47"/>
      <c r="AI37" s="47"/>
      <c r="AJ37" s="18"/>
      <c r="AK37" s="26"/>
      <c r="AL37" s="34"/>
      <c r="AM37" s="34"/>
      <c r="AN37" s="18"/>
      <c r="AO37" s="18"/>
      <c r="AP37" s="18"/>
      <c r="AQ37" s="18"/>
      <c r="AR37" s="64" t="str">
        <f>IFERROR(__xludf.DUMMYFUNCTION("""COMPUTED_VALUE"""),"* BPC7C *")</f>
        <v>* BPC7C *</v>
      </c>
      <c r="AS37" s="64">
        <f>IFERROR(__xludf.DUMMYFUNCTION("""COMPUTED_VALUE"""),94.85)</f>
        <v>94.85</v>
      </c>
    </row>
    <row r="38">
      <c r="A38" s="51"/>
      <c r="B38" s="51"/>
      <c r="C38" s="52"/>
      <c r="D38" s="51"/>
      <c r="E38" s="53"/>
      <c r="F38" s="54"/>
      <c r="G38" s="54"/>
      <c r="H38" s="51"/>
      <c r="I38" s="55"/>
      <c r="J38" s="56"/>
      <c r="K38" s="46"/>
      <c r="L38" s="46"/>
      <c r="M38" s="47"/>
      <c r="N38" s="46"/>
      <c r="O38" s="57"/>
      <c r="P38" s="46"/>
      <c r="Q38" s="46"/>
      <c r="R38" s="57"/>
      <c r="S38" s="7"/>
      <c r="T38" s="54"/>
      <c r="U38" s="58"/>
      <c r="V38" s="47"/>
      <c r="W38" s="18"/>
      <c r="X38" s="46"/>
      <c r="Y38" s="46"/>
      <c r="Z38" s="46"/>
      <c r="AA38" s="7"/>
      <c r="AB38" s="46"/>
      <c r="AC38" s="46"/>
      <c r="AD38" s="47"/>
      <c r="AE38" s="47"/>
      <c r="AF38" s="7"/>
      <c r="AG38" s="7"/>
      <c r="AH38" s="47"/>
      <c r="AI38" s="47"/>
      <c r="AJ38" s="18"/>
      <c r="AK38" s="26"/>
      <c r="AL38" s="34"/>
      <c r="AM38" s="34"/>
      <c r="AN38" s="18"/>
      <c r="AO38" s="18"/>
      <c r="AP38" s="18"/>
      <c r="AQ38" s="18"/>
      <c r="AR38" s="64" t="str">
        <f>IFERROR(__xludf.DUMMYFUNCTION("""COMPUTED_VALUE"""),"* BPC7D *")</f>
        <v>* BPC7D *</v>
      </c>
      <c r="AS38" s="64">
        <f>IFERROR(__xludf.DUMMYFUNCTION("""COMPUTED_VALUE"""),97.34)</f>
        <v>97.34</v>
      </c>
    </row>
    <row r="39">
      <c r="A39" s="51"/>
      <c r="B39" s="51"/>
      <c r="C39" s="52"/>
      <c r="D39" s="51"/>
      <c r="E39" s="53"/>
      <c r="F39" s="54"/>
      <c r="G39" s="54"/>
      <c r="H39" s="51"/>
      <c r="I39" s="55"/>
      <c r="J39" s="56"/>
      <c r="K39" s="46"/>
      <c r="L39" s="46"/>
      <c r="M39" s="47"/>
      <c r="N39" s="46"/>
      <c r="O39" s="57"/>
      <c r="P39" s="46"/>
      <c r="Q39" s="46"/>
      <c r="R39" s="57"/>
      <c r="S39" s="7"/>
      <c r="T39" s="54"/>
      <c r="U39" s="58"/>
      <c r="V39" s="47"/>
      <c r="W39" s="18"/>
      <c r="X39" s="46"/>
      <c r="Y39" s="46"/>
      <c r="Z39" s="46"/>
      <c r="AA39" s="7"/>
      <c r="AB39" s="46"/>
      <c r="AC39" s="46"/>
      <c r="AD39" s="47"/>
      <c r="AE39" s="47"/>
      <c r="AF39" s="7"/>
      <c r="AG39" s="7"/>
      <c r="AH39" s="47"/>
      <c r="AI39" s="47"/>
      <c r="AJ39" s="18"/>
      <c r="AK39" s="26"/>
      <c r="AL39" s="34"/>
      <c r="AM39" s="34"/>
      <c r="AN39" s="18"/>
      <c r="AO39" s="18"/>
      <c r="AP39" s="18"/>
      <c r="AQ39" s="18"/>
      <c r="AR39" s="64" t="str">
        <f>IFERROR(__xludf.DUMMYFUNCTION("""COMPUTED_VALUE"""),"* BPD7C *")</f>
        <v>* BPD7C *</v>
      </c>
      <c r="AS39" s="64">
        <f>IFERROR(__xludf.DUMMYFUNCTION("""COMPUTED_VALUE"""),94.7)</f>
        <v>94.7</v>
      </c>
    </row>
    <row r="40">
      <c r="A40" s="51"/>
      <c r="B40" s="51"/>
      <c r="C40" s="52"/>
      <c r="D40" s="51"/>
      <c r="E40" s="53"/>
      <c r="F40" s="54"/>
      <c r="G40" s="54"/>
      <c r="H40" s="51"/>
      <c r="I40" s="55"/>
      <c r="J40" s="56"/>
      <c r="K40" s="46"/>
      <c r="L40" s="46"/>
      <c r="M40" s="47"/>
      <c r="N40" s="46"/>
      <c r="O40" s="57"/>
      <c r="P40" s="46"/>
      <c r="Q40" s="46"/>
      <c r="R40" s="57"/>
      <c r="S40" s="7"/>
      <c r="T40" s="54"/>
      <c r="U40" s="58"/>
      <c r="V40" s="47"/>
      <c r="W40" s="18"/>
      <c r="X40" s="46"/>
      <c r="Y40" s="46"/>
      <c r="Z40" s="46"/>
      <c r="AA40" s="7"/>
      <c r="AB40" s="46"/>
      <c r="AC40" s="46"/>
      <c r="AD40" s="47"/>
      <c r="AE40" s="47"/>
      <c r="AF40" s="7"/>
      <c r="AG40" s="7"/>
      <c r="AH40" s="47"/>
      <c r="AI40" s="47"/>
      <c r="AJ40" s="18"/>
      <c r="AK40" s="26"/>
      <c r="AL40" s="34"/>
      <c r="AM40" s="34"/>
      <c r="AN40" s="18"/>
      <c r="AO40" s="18"/>
      <c r="AP40" s="18"/>
      <c r="AQ40" s="18"/>
      <c r="AR40" s="64" t="str">
        <f>IFERROR(__xludf.DUMMYFUNCTION("""COMPUTED_VALUE"""),"* BPD7D *")</f>
        <v>* BPD7D *</v>
      </c>
      <c r="AS40" s="64">
        <f>IFERROR(__xludf.DUMMYFUNCTION("""COMPUTED_VALUE"""),97.05)</f>
        <v>97.05</v>
      </c>
    </row>
    <row r="41">
      <c r="A41" s="51"/>
      <c r="B41" s="51"/>
      <c r="C41" s="52"/>
      <c r="D41" s="51"/>
      <c r="E41" s="53"/>
      <c r="F41" s="54"/>
      <c r="G41" s="54"/>
      <c r="H41" s="51"/>
      <c r="I41" s="55"/>
      <c r="J41" s="56"/>
      <c r="K41" s="46"/>
      <c r="L41" s="46"/>
      <c r="M41" s="47"/>
      <c r="N41" s="46"/>
      <c r="O41" s="57"/>
      <c r="P41" s="46"/>
      <c r="Q41" s="46"/>
      <c r="R41" s="57"/>
      <c r="S41" s="7"/>
      <c r="T41" s="54"/>
      <c r="U41" s="58"/>
      <c r="V41" s="47"/>
      <c r="W41" s="18"/>
      <c r="X41" s="46"/>
      <c r="Y41" s="46"/>
      <c r="Z41" s="46"/>
      <c r="AA41" s="7"/>
      <c r="AB41" s="46"/>
      <c r="AC41" s="46"/>
      <c r="AD41" s="47"/>
      <c r="AE41" s="47"/>
      <c r="AF41" s="7"/>
      <c r="AG41" s="7"/>
      <c r="AH41" s="47"/>
      <c r="AI41" s="47"/>
      <c r="AJ41" s="18"/>
      <c r="AK41" s="26"/>
      <c r="AL41" s="34"/>
      <c r="AM41" s="34"/>
      <c r="AN41" s="18"/>
      <c r="AO41" s="18"/>
      <c r="AP41" s="18"/>
      <c r="AQ41" s="18"/>
      <c r="AR41" s="64" t="str">
        <f>IFERROR(__xludf.DUMMYFUNCTION("""COMPUTED_VALUE"""),"* BPOA7 *")</f>
        <v>* BPOA7 *</v>
      </c>
      <c r="AS41" s="64">
        <f>IFERROR(__xludf.DUMMYFUNCTION("""COMPUTED_VALUE"""),146420.0)</f>
        <v>146420</v>
      </c>
    </row>
    <row r="42">
      <c r="A42" s="51"/>
      <c r="B42" s="51"/>
      <c r="C42" s="52"/>
      <c r="D42" s="51"/>
      <c r="E42" s="53"/>
      <c r="F42" s="54"/>
      <c r="G42" s="54"/>
      <c r="H42" s="51"/>
      <c r="I42" s="55"/>
      <c r="J42" s="56"/>
      <c r="K42" s="46"/>
      <c r="L42" s="46"/>
      <c r="M42" s="47"/>
      <c r="N42" s="46"/>
      <c r="O42" s="57"/>
      <c r="P42" s="46"/>
      <c r="Q42" s="46"/>
      <c r="R42" s="57"/>
      <c r="S42" s="7"/>
      <c r="T42" s="54"/>
      <c r="U42" s="58"/>
      <c r="V42" s="47"/>
      <c r="W42" s="18"/>
      <c r="X42" s="46"/>
      <c r="Y42" s="46"/>
      <c r="Z42" s="46"/>
      <c r="AA42" s="7"/>
      <c r="AB42" s="46"/>
      <c r="AC42" s="46"/>
      <c r="AD42" s="47"/>
      <c r="AE42" s="47"/>
      <c r="AF42" s="7"/>
      <c r="AG42" s="7"/>
      <c r="AH42" s="47"/>
      <c r="AI42" s="47"/>
      <c r="AJ42" s="18"/>
      <c r="AK42" s="26"/>
      <c r="AL42" s="34"/>
      <c r="AM42" s="34"/>
      <c r="AN42" s="18"/>
      <c r="AO42" s="18"/>
      <c r="AP42" s="18"/>
      <c r="AQ42" s="18"/>
      <c r="AR42" s="64" t="str">
        <f>IFERROR(__xludf.DUMMYFUNCTION("""COMPUTED_VALUE"""),"* BPOA8 *")</f>
        <v>* BPOA8 *</v>
      </c>
      <c r="AS42" s="64">
        <f>IFERROR(__xludf.DUMMYFUNCTION("""COMPUTED_VALUE"""),126000.0)</f>
        <v>126000</v>
      </c>
    </row>
    <row r="43">
      <c r="A43" s="51"/>
      <c r="B43" s="51"/>
      <c r="C43" s="52"/>
      <c r="D43" s="51"/>
      <c r="E43" s="53"/>
      <c r="F43" s="54"/>
      <c r="G43" s="54"/>
      <c r="H43" s="51"/>
      <c r="I43" s="55"/>
      <c r="J43" s="56"/>
      <c r="K43" s="46"/>
      <c r="L43" s="46"/>
      <c r="M43" s="47"/>
      <c r="N43" s="46"/>
      <c r="O43" s="57"/>
      <c r="P43" s="46"/>
      <c r="Q43" s="46"/>
      <c r="R43" s="57"/>
      <c r="S43" s="7"/>
      <c r="T43" s="54"/>
      <c r="U43" s="58"/>
      <c r="V43" s="47"/>
      <c r="W43" s="18"/>
      <c r="X43" s="46"/>
      <c r="Y43" s="46"/>
      <c r="Z43" s="46"/>
      <c r="AA43" s="7"/>
      <c r="AB43" s="46"/>
      <c r="AC43" s="46"/>
      <c r="AD43" s="47"/>
      <c r="AE43" s="47"/>
      <c r="AF43" s="7"/>
      <c r="AG43" s="7"/>
      <c r="AH43" s="47"/>
      <c r="AI43" s="47"/>
      <c r="AJ43" s="18"/>
      <c r="AK43" s="26"/>
      <c r="AL43" s="34"/>
      <c r="AM43" s="34"/>
      <c r="AN43" s="18"/>
      <c r="AO43" s="18"/>
      <c r="AP43" s="18"/>
      <c r="AQ43" s="18"/>
      <c r="AR43" s="64" t="str">
        <f>IFERROR(__xludf.DUMMYFUNCTION("""COMPUTED_VALUE"""),"* BPOB7 *")</f>
        <v>* BPOB7 *</v>
      </c>
      <c r="AS43" s="64">
        <f>IFERROR(__xludf.DUMMYFUNCTION("""COMPUTED_VALUE"""),145500.0)</f>
        <v>145500</v>
      </c>
    </row>
    <row r="44">
      <c r="A44" s="51"/>
      <c r="B44" s="51"/>
      <c r="C44" s="52"/>
      <c r="D44" s="51"/>
      <c r="E44" s="53"/>
      <c r="F44" s="54"/>
      <c r="G44" s="54"/>
      <c r="H44" s="51"/>
      <c r="I44" s="55"/>
      <c r="J44" s="56"/>
      <c r="K44" s="46"/>
      <c r="L44" s="46"/>
      <c r="M44" s="47"/>
      <c r="N44" s="46"/>
      <c r="O44" s="57"/>
      <c r="P44" s="46"/>
      <c r="Q44" s="46"/>
      <c r="R44" s="57"/>
      <c r="S44" s="7"/>
      <c r="T44" s="54"/>
      <c r="U44" s="58"/>
      <c r="V44" s="47"/>
      <c r="W44" s="18"/>
      <c r="X44" s="46"/>
      <c r="Y44" s="46"/>
      <c r="Z44" s="46"/>
      <c r="AA44" s="7"/>
      <c r="AB44" s="46"/>
      <c r="AC44" s="46"/>
      <c r="AD44" s="47"/>
      <c r="AE44" s="47"/>
      <c r="AF44" s="7"/>
      <c r="AG44" s="7"/>
      <c r="AH44" s="47"/>
      <c r="AI44" s="47"/>
      <c r="AJ44" s="18"/>
      <c r="AK44" s="26"/>
      <c r="AL44" s="34"/>
      <c r="AM44" s="34"/>
      <c r="AN44" s="18"/>
      <c r="AO44" s="18"/>
      <c r="AP44" s="18"/>
      <c r="AQ44" s="18"/>
      <c r="AR44" s="64" t="str">
        <f>IFERROR(__xludf.DUMMYFUNCTION("""COMPUTED_VALUE"""),"* BPOB8 *")</f>
        <v>* BPOB8 *</v>
      </c>
      <c r="AS44" s="64">
        <f>IFERROR(__xludf.DUMMYFUNCTION("""COMPUTED_VALUE"""),122990.0)</f>
        <v>122990</v>
      </c>
    </row>
    <row r="45">
      <c r="A45" s="51"/>
      <c r="B45" s="51"/>
      <c r="C45" s="52"/>
      <c r="D45" s="51"/>
      <c r="E45" s="53"/>
      <c r="F45" s="54"/>
      <c r="G45" s="54"/>
      <c r="H45" s="51"/>
      <c r="I45" s="55"/>
      <c r="J45" s="56"/>
      <c r="K45" s="46"/>
      <c r="L45" s="46"/>
      <c r="M45" s="47"/>
      <c r="N45" s="46"/>
      <c r="O45" s="57"/>
      <c r="P45" s="46"/>
      <c r="Q45" s="46"/>
      <c r="R45" s="57"/>
      <c r="S45" s="7"/>
      <c r="T45" s="54"/>
      <c r="U45" s="58"/>
      <c r="V45" s="47"/>
      <c r="W45" s="18"/>
      <c r="X45" s="46"/>
      <c r="Y45" s="46"/>
      <c r="Z45" s="46"/>
      <c r="AA45" s="7"/>
      <c r="AB45" s="46"/>
      <c r="AC45" s="46"/>
      <c r="AD45" s="47"/>
      <c r="AE45" s="47"/>
      <c r="AF45" s="7"/>
      <c r="AG45" s="7"/>
      <c r="AH45" s="47"/>
      <c r="AI45" s="47"/>
      <c r="AJ45" s="18"/>
      <c r="AK45" s="26"/>
      <c r="AL45" s="34"/>
      <c r="AM45" s="34"/>
      <c r="AN45" s="18"/>
      <c r="AO45" s="18"/>
      <c r="AP45" s="18"/>
      <c r="AQ45" s="18"/>
      <c r="AR45" s="64" t="str">
        <f>IFERROR(__xludf.DUMMYFUNCTION("""COMPUTED_VALUE"""),"* BPOC7 *")</f>
        <v>* BPOC7 *</v>
      </c>
      <c r="AS45" s="64">
        <f>IFERROR(__xludf.DUMMYFUNCTION("""COMPUTED_VALUE"""),142540.0)</f>
        <v>142540</v>
      </c>
    </row>
    <row r="46">
      <c r="A46" s="51"/>
      <c r="B46" s="51"/>
      <c r="C46" s="52"/>
      <c r="D46" s="51"/>
      <c r="E46" s="53"/>
      <c r="F46" s="54"/>
      <c r="G46" s="54"/>
      <c r="H46" s="51"/>
      <c r="I46" s="55"/>
      <c r="J46" s="56"/>
      <c r="K46" s="46"/>
      <c r="L46" s="46"/>
      <c r="M46" s="47"/>
      <c r="N46" s="46"/>
      <c r="O46" s="57"/>
      <c r="P46" s="46"/>
      <c r="Q46" s="46"/>
      <c r="R46" s="57"/>
      <c r="S46" s="7"/>
      <c r="T46" s="54"/>
      <c r="U46" s="58"/>
      <c r="V46" s="47"/>
      <c r="W46" s="18"/>
      <c r="X46" s="46"/>
      <c r="Y46" s="46"/>
      <c r="Z46" s="46"/>
      <c r="AA46" s="7"/>
      <c r="AB46" s="46"/>
      <c r="AC46" s="46"/>
      <c r="AD46" s="47"/>
      <c r="AE46" s="47"/>
      <c r="AF46" s="7"/>
      <c r="AG46" s="7"/>
      <c r="AH46" s="47"/>
      <c r="AI46" s="47"/>
      <c r="AJ46" s="18"/>
      <c r="AK46" s="26"/>
      <c r="AL46" s="34"/>
      <c r="AM46" s="34"/>
      <c r="AN46" s="18"/>
      <c r="AO46" s="18"/>
      <c r="AP46" s="18"/>
      <c r="AQ46" s="18"/>
      <c r="AR46" s="64" t="str">
        <f>IFERROR(__xludf.DUMMYFUNCTION("""COMPUTED_VALUE"""),"* BPOD7 *")</f>
        <v>* BPOD7 *</v>
      </c>
      <c r="AS46" s="64">
        <f>IFERROR(__xludf.DUMMYFUNCTION("""COMPUTED_VALUE"""),142200.0)</f>
        <v>142200</v>
      </c>
    </row>
    <row r="47">
      <c r="A47" s="51"/>
      <c r="B47" s="51"/>
      <c r="C47" s="52"/>
      <c r="D47" s="51"/>
      <c r="E47" s="53"/>
      <c r="F47" s="54"/>
      <c r="G47" s="54"/>
      <c r="H47" s="51"/>
      <c r="I47" s="55"/>
      <c r="J47" s="56"/>
      <c r="K47" s="46"/>
      <c r="L47" s="46"/>
      <c r="M47" s="47"/>
      <c r="N47" s="46"/>
      <c r="O47" s="57"/>
      <c r="P47" s="46"/>
      <c r="Q47" s="46"/>
      <c r="R47" s="57"/>
      <c r="S47" s="7"/>
      <c r="T47" s="54"/>
      <c r="U47" s="58"/>
      <c r="V47" s="47"/>
      <c r="W47" s="18"/>
      <c r="X47" s="46"/>
      <c r="Y47" s="46"/>
      <c r="Z47" s="46"/>
      <c r="AA47" s="7"/>
      <c r="AB47" s="46"/>
      <c r="AC47" s="46"/>
      <c r="AD47" s="47"/>
      <c r="AE47" s="47"/>
      <c r="AF47" s="7"/>
      <c r="AG47" s="7"/>
      <c r="AH47" s="47"/>
      <c r="AI47" s="47"/>
      <c r="AJ47" s="18"/>
      <c r="AK47" s="26"/>
      <c r="AL47" s="34"/>
      <c r="AM47" s="34"/>
      <c r="AN47" s="18"/>
      <c r="AO47" s="18"/>
      <c r="AP47" s="18"/>
      <c r="AQ47" s="18"/>
      <c r="AR47" s="64" t="str">
        <f>IFERROR(__xludf.DUMMYFUNCTION("""COMPUTED_VALUE"""),"* BPY26 *")</f>
        <v>* BPY26 *</v>
      </c>
      <c r="AS47" s="64">
        <f>IFERROR(__xludf.DUMMYFUNCTION("""COMPUTED_VALUE"""),99250.0)</f>
        <v>99250</v>
      </c>
    </row>
    <row r="48">
      <c r="A48" s="51"/>
      <c r="B48" s="51"/>
      <c r="C48" s="52"/>
      <c r="D48" s="51"/>
      <c r="E48" s="53"/>
      <c r="F48" s="54"/>
      <c r="G48" s="54"/>
      <c r="H48" s="51"/>
      <c r="I48" s="55"/>
      <c r="J48" s="56"/>
      <c r="K48" s="46"/>
      <c r="L48" s="46"/>
      <c r="M48" s="47"/>
      <c r="N48" s="46"/>
      <c r="O48" s="57"/>
      <c r="P48" s="46"/>
      <c r="Q48" s="46"/>
      <c r="R48" s="57"/>
      <c r="S48" s="7"/>
      <c r="T48" s="54"/>
      <c r="U48" s="58"/>
      <c r="V48" s="47"/>
      <c r="W48" s="18"/>
      <c r="X48" s="46"/>
      <c r="Y48" s="46"/>
      <c r="Z48" s="46"/>
      <c r="AA48" s="7"/>
      <c r="AB48" s="46"/>
      <c r="AC48" s="46"/>
      <c r="AD48" s="47"/>
      <c r="AE48" s="47"/>
      <c r="AF48" s="7"/>
      <c r="AG48" s="7"/>
      <c r="AH48" s="47"/>
      <c r="AI48" s="47"/>
      <c r="AJ48" s="18"/>
      <c r="AK48" s="26"/>
      <c r="AL48" s="34"/>
      <c r="AM48" s="34"/>
      <c r="AN48" s="18"/>
      <c r="AO48" s="18"/>
      <c r="AP48" s="18"/>
      <c r="AQ48" s="18"/>
      <c r="AR48" s="64" t="str">
        <f>IFERROR(__xludf.DUMMYFUNCTION("""COMPUTED_VALUE"""),"* BPY6C *")</f>
        <v>* BPY6C *</v>
      </c>
      <c r="AS48" s="64">
        <f>IFERROR(__xludf.DUMMYFUNCTION("""COMPUTED_VALUE"""),65.93)</f>
        <v>65.93</v>
      </c>
    </row>
    <row r="49">
      <c r="A49" s="51"/>
      <c r="B49" s="51"/>
      <c r="C49" s="52"/>
      <c r="D49" s="51"/>
      <c r="E49" s="53"/>
      <c r="F49" s="54"/>
      <c r="G49" s="54"/>
      <c r="H49" s="51"/>
      <c r="I49" s="55"/>
      <c r="J49" s="56"/>
      <c r="K49" s="46"/>
      <c r="L49" s="46"/>
      <c r="M49" s="47"/>
      <c r="N49" s="46"/>
      <c r="O49" s="57"/>
      <c r="P49" s="46"/>
      <c r="Q49" s="46"/>
      <c r="R49" s="57"/>
      <c r="S49" s="7"/>
      <c r="T49" s="54"/>
      <c r="U49" s="58"/>
      <c r="V49" s="47"/>
      <c r="W49" s="18"/>
      <c r="X49" s="46"/>
      <c r="Y49" s="46"/>
      <c r="Z49" s="46"/>
      <c r="AA49" s="7"/>
      <c r="AB49" s="46"/>
      <c r="AC49" s="46"/>
      <c r="AD49" s="47"/>
      <c r="AE49" s="47"/>
      <c r="AF49" s="7"/>
      <c r="AG49" s="7"/>
      <c r="AH49" s="47"/>
      <c r="AI49" s="47"/>
      <c r="AJ49" s="18"/>
      <c r="AK49" s="26"/>
      <c r="AL49" s="34"/>
      <c r="AM49" s="34"/>
      <c r="AN49" s="18"/>
      <c r="AO49" s="18"/>
      <c r="AP49" s="18"/>
      <c r="AQ49" s="18"/>
      <c r="AR49" s="64" t="str">
        <f>IFERROR(__xludf.DUMMYFUNCTION("""COMPUTED_VALUE"""),"* BPY6D *")</f>
        <v>* BPY6D *</v>
      </c>
      <c r="AS49" s="64">
        <f>IFERROR(__xludf.DUMMYFUNCTION("""COMPUTED_VALUE"""),67.75)</f>
        <v>67.75</v>
      </c>
    </row>
    <row r="50">
      <c r="A50" s="51"/>
      <c r="B50" s="51"/>
      <c r="C50" s="52"/>
      <c r="D50" s="51"/>
      <c r="E50" s="53"/>
      <c r="F50" s="54"/>
      <c r="G50" s="54"/>
      <c r="H50" s="51"/>
      <c r="I50" s="55"/>
      <c r="J50" s="56"/>
      <c r="K50" s="46"/>
      <c r="L50" s="46"/>
      <c r="M50" s="47"/>
      <c r="N50" s="46"/>
      <c r="O50" s="57"/>
      <c r="P50" s="46"/>
      <c r="Q50" s="46"/>
      <c r="R50" s="57"/>
      <c r="S50" s="7"/>
      <c r="T50" s="54"/>
      <c r="U50" s="58"/>
      <c r="V50" s="47"/>
      <c r="W50" s="18"/>
      <c r="X50" s="46"/>
      <c r="Y50" s="46"/>
      <c r="Z50" s="46"/>
      <c r="AA50" s="7"/>
      <c r="AB50" s="46"/>
      <c r="AC50" s="46"/>
      <c r="AD50" s="47"/>
      <c r="AE50" s="47"/>
      <c r="AF50" s="7"/>
      <c r="AG50" s="7"/>
      <c r="AH50" s="47"/>
      <c r="AI50" s="47"/>
      <c r="AJ50" s="18"/>
      <c r="AK50" s="26"/>
      <c r="AL50" s="34"/>
      <c r="AM50" s="34"/>
      <c r="AN50" s="18"/>
      <c r="AO50" s="18"/>
      <c r="AP50" s="18"/>
      <c r="AQ50" s="18"/>
      <c r="AR50" s="64" t="str">
        <f>IFERROR(__xludf.DUMMYFUNCTION("""COMPUTED_VALUE"""),"* CO26 *")</f>
        <v>* CO26 *</v>
      </c>
      <c r="AS50" s="64">
        <f>IFERROR(__xludf.DUMMYFUNCTION("""COMPUTED_VALUE"""),19490.0)</f>
        <v>19490</v>
      </c>
    </row>
    <row r="51">
      <c r="A51" s="51"/>
      <c r="B51" s="51"/>
      <c r="C51" s="52"/>
      <c r="D51" s="51"/>
      <c r="E51" s="53"/>
      <c r="F51" s="54"/>
      <c r="G51" s="54"/>
      <c r="H51" s="51"/>
      <c r="I51" s="55"/>
      <c r="J51" s="56"/>
      <c r="K51" s="46"/>
      <c r="L51" s="46"/>
      <c r="M51" s="47"/>
      <c r="N51" s="46"/>
      <c r="O51" s="57"/>
      <c r="P51" s="46"/>
      <c r="Q51" s="46"/>
      <c r="R51" s="57"/>
      <c r="S51" s="7"/>
      <c r="T51" s="54"/>
      <c r="U51" s="58"/>
      <c r="V51" s="47"/>
      <c r="W51" s="18"/>
      <c r="X51" s="46"/>
      <c r="Y51" s="46"/>
      <c r="Z51" s="46"/>
      <c r="AA51" s="7"/>
      <c r="AB51" s="46"/>
      <c r="AC51" s="46"/>
      <c r="AD51" s="47"/>
      <c r="AE51" s="47"/>
      <c r="AF51" s="7"/>
      <c r="AG51" s="7"/>
      <c r="AH51" s="47"/>
      <c r="AI51" s="47"/>
      <c r="AJ51" s="18"/>
      <c r="AK51" s="26"/>
      <c r="AL51" s="34"/>
      <c r="AM51" s="34"/>
      <c r="AN51" s="18"/>
      <c r="AO51" s="18"/>
      <c r="AP51" s="18"/>
      <c r="AQ51" s="18"/>
      <c r="AR51" s="64" t="str">
        <f>IFERROR(__xludf.DUMMYFUNCTION("""COMPUTED_VALUE"""),"* CO26D *")</f>
        <v>* CO26D *</v>
      </c>
      <c r="AS51" s="64">
        <f>IFERROR(__xludf.DUMMYFUNCTION("""COMPUTED_VALUE"""),13.0)</f>
        <v>13</v>
      </c>
    </row>
    <row r="52">
      <c r="A52" s="51"/>
      <c r="B52" s="51"/>
      <c r="C52" s="52"/>
      <c r="D52" s="51"/>
      <c r="E52" s="53"/>
      <c r="F52" s="54"/>
      <c r="G52" s="54"/>
      <c r="H52" s="51"/>
      <c r="I52" s="55"/>
      <c r="J52" s="56"/>
      <c r="K52" s="46"/>
      <c r="L52" s="46"/>
      <c r="M52" s="47"/>
      <c r="N52" s="46"/>
      <c r="O52" s="57"/>
      <c r="P52" s="46"/>
      <c r="Q52" s="46"/>
      <c r="R52" s="57"/>
      <c r="S52" s="7"/>
      <c r="T52" s="54"/>
      <c r="U52" s="58"/>
      <c r="V52" s="47"/>
      <c r="W52" s="18"/>
      <c r="X52" s="46"/>
      <c r="Y52" s="46"/>
      <c r="Z52" s="46"/>
      <c r="AA52" s="7"/>
      <c r="AB52" s="46"/>
      <c r="AC52" s="46"/>
      <c r="AD52" s="47"/>
      <c r="AE52" s="47"/>
      <c r="AF52" s="7"/>
      <c r="AG52" s="7"/>
      <c r="AH52" s="47"/>
      <c r="AI52" s="47"/>
      <c r="AJ52" s="18"/>
      <c r="AK52" s="26"/>
      <c r="AL52" s="34"/>
      <c r="AM52" s="34"/>
      <c r="AN52" s="18"/>
      <c r="AO52" s="18"/>
      <c r="AP52" s="18"/>
      <c r="AQ52" s="18"/>
      <c r="AR52" s="64" t="str">
        <f>IFERROR(__xludf.DUMMYFUNCTION("""COMPUTED_VALUE"""),"* CO32 *")</f>
        <v>* CO32 *</v>
      </c>
      <c r="AS52" s="64">
        <f>IFERROR(__xludf.DUMMYFUNCTION("""COMPUTED_VALUE"""),163000.0)</f>
        <v>163000</v>
      </c>
    </row>
    <row r="53">
      <c r="A53" s="51"/>
      <c r="B53" s="51"/>
      <c r="C53" s="52"/>
      <c r="D53" s="51"/>
      <c r="E53" s="53"/>
      <c r="F53" s="54"/>
      <c r="G53" s="54"/>
      <c r="H53" s="51"/>
      <c r="I53" s="55"/>
      <c r="J53" s="56"/>
      <c r="K53" s="46"/>
      <c r="L53" s="46"/>
      <c r="M53" s="47"/>
      <c r="N53" s="46"/>
      <c r="O53" s="57"/>
      <c r="P53" s="46"/>
      <c r="Q53" s="46"/>
      <c r="R53" s="57"/>
      <c r="S53" s="7"/>
      <c r="T53" s="54"/>
      <c r="U53" s="58"/>
      <c r="V53" s="47"/>
      <c r="W53" s="18"/>
      <c r="X53" s="46"/>
      <c r="Y53" s="46"/>
      <c r="Z53" s="46"/>
      <c r="AA53" s="7"/>
      <c r="AB53" s="46"/>
      <c r="AC53" s="46"/>
      <c r="AD53" s="47"/>
      <c r="AE53" s="47"/>
      <c r="AF53" s="7"/>
      <c r="AG53" s="7"/>
      <c r="AH53" s="47"/>
      <c r="AI53" s="47"/>
      <c r="AJ53" s="18"/>
      <c r="AK53" s="26"/>
      <c r="AL53" s="34"/>
      <c r="AM53" s="34"/>
      <c r="AN53" s="18"/>
      <c r="AO53" s="18"/>
      <c r="AP53" s="18"/>
      <c r="AQ53" s="18"/>
      <c r="AR53" s="64" t="str">
        <f>IFERROR(__xludf.DUMMYFUNCTION("""COMPUTED_VALUE"""),"* CO32C *")</f>
        <v>* CO32C *</v>
      </c>
      <c r="AS53" s="64">
        <f>IFERROR(__xludf.DUMMYFUNCTION("""COMPUTED_VALUE"""),109.0)</f>
        <v>109</v>
      </c>
    </row>
    <row r="54">
      <c r="A54" s="51"/>
      <c r="B54" s="51"/>
      <c r="C54" s="52"/>
      <c r="D54" s="51"/>
      <c r="E54" s="53"/>
      <c r="F54" s="54"/>
      <c r="G54" s="54"/>
      <c r="H54" s="51"/>
      <c r="I54" s="55"/>
      <c r="J54" s="56"/>
      <c r="K54" s="46"/>
      <c r="L54" s="46"/>
      <c r="M54" s="47"/>
      <c r="N54" s="46"/>
      <c r="O54" s="57"/>
      <c r="P54" s="46"/>
      <c r="Q54" s="46"/>
      <c r="R54" s="57"/>
      <c r="S54" s="7"/>
      <c r="T54" s="54"/>
      <c r="U54" s="58"/>
      <c r="V54" s="47"/>
      <c r="W54" s="18"/>
      <c r="X54" s="46"/>
      <c r="Y54" s="46"/>
      <c r="Z54" s="46"/>
      <c r="AA54" s="7"/>
      <c r="AB54" s="46"/>
      <c r="AC54" s="46"/>
      <c r="AD54" s="47"/>
      <c r="AE54" s="47"/>
      <c r="AF54" s="7"/>
      <c r="AG54" s="7"/>
      <c r="AH54" s="47"/>
      <c r="AI54" s="47"/>
      <c r="AJ54" s="18"/>
      <c r="AK54" s="26"/>
      <c r="AL54" s="34"/>
      <c r="AM54" s="34"/>
      <c r="AN54" s="18"/>
      <c r="AO54" s="18"/>
      <c r="AP54" s="18"/>
      <c r="AQ54" s="18"/>
      <c r="AR54" s="64" t="str">
        <f>IFERROR(__xludf.DUMMYFUNCTION("""COMPUTED_VALUE"""),"* CO32D *")</f>
        <v>* CO32D *</v>
      </c>
      <c r="AS54" s="64">
        <f>IFERROR(__xludf.DUMMYFUNCTION("""COMPUTED_VALUE"""),111.0)</f>
        <v>111</v>
      </c>
    </row>
    <row r="55">
      <c r="A55" s="51"/>
      <c r="B55" s="51"/>
      <c r="C55" s="52"/>
      <c r="D55" s="51"/>
      <c r="E55" s="53"/>
      <c r="F55" s="54"/>
      <c r="G55" s="54"/>
      <c r="H55" s="51"/>
      <c r="I55" s="55"/>
      <c r="J55" s="56"/>
      <c r="K55" s="46"/>
      <c r="L55" s="46"/>
      <c r="M55" s="47"/>
      <c r="N55" s="46"/>
      <c r="O55" s="57"/>
      <c r="P55" s="46"/>
      <c r="Q55" s="46"/>
      <c r="R55" s="57"/>
      <c r="S55" s="7"/>
      <c r="T55" s="54"/>
      <c r="U55" s="58"/>
      <c r="V55" s="47"/>
      <c r="W55" s="18"/>
      <c r="X55" s="46"/>
      <c r="Y55" s="46"/>
      <c r="Z55" s="46"/>
      <c r="AA55" s="7"/>
      <c r="AB55" s="46"/>
      <c r="AC55" s="46"/>
      <c r="AD55" s="47"/>
      <c r="AE55" s="47"/>
      <c r="AF55" s="7"/>
      <c r="AG55" s="7"/>
      <c r="AH55" s="47"/>
      <c r="AI55" s="47"/>
      <c r="AJ55" s="18"/>
      <c r="AK55" s="26"/>
      <c r="AL55" s="34"/>
      <c r="AM55" s="34"/>
      <c r="AN55" s="18"/>
      <c r="AO55" s="18"/>
      <c r="AP55" s="18"/>
      <c r="AQ55" s="18"/>
      <c r="AR55" s="64" t="str">
        <f>IFERROR(__xludf.DUMMYFUNCTION("""COMPUTED_VALUE"""),"* CUAP *")</f>
        <v>* CUAP *</v>
      </c>
      <c r="AS55" s="64">
        <f>IFERROR(__xludf.DUMMYFUNCTION("""COMPUTED_VALUE"""),34575.0)</f>
        <v>34575</v>
      </c>
    </row>
    <row r="56">
      <c r="A56" s="51"/>
      <c r="B56" s="51"/>
      <c r="C56" s="52"/>
      <c r="D56" s="51"/>
      <c r="E56" s="53"/>
      <c r="F56" s="54"/>
      <c r="G56" s="54"/>
      <c r="H56" s="51"/>
      <c r="I56" s="55"/>
      <c r="J56" s="56"/>
      <c r="K56" s="46"/>
      <c r="L56" s="46"/>
      <c r="M56" s="47"/>
      <c r="N56" s="46"/>
      <c r="O56" s="57"/>
      <c r="P56" s="46"/>
      <c r="Q56" s="46"/>
      <c r="R56" s="57"/>
      <c r="S56" s="7"/>
      <c r="T56" s="54"/>
      <c r="U56" s="58"/>
      <c r="V56" s="47"/>
      <c r="W56" s="18"/>
      <c r="X56" s="46"/>
      <c r="Y56" s="46"/>
      <c r="Z56" s="46"/>
      <c r="AA56" s="7"/>
      <c r="AB56" s="46"/>
      <c r="AC56" s="46"/>
      <c r="AD56" s="47"/>
      <c r="AE56" s="47"/>
      <c r="AF56" s="7"/>
      <c r="AG56" s="7"/>
      <c r="AH56" s="47"/>
      <c r="AI56" s="47"/>
      <c r="AJ56" s="18"/>
      <c r="AK56" s="26"/>
      <c r="AL56" s="34"/>
      <c r="AM56" s="34"/>
      <c r="AN56" s="18"/>
      <c r="AO56" s="18"/>
      <c r="AP56" s="18"/>
      <c r="AQ56" s="18"/>
      <c r="AR56" s="64" t="str">
        <f>IFERROR(__xludf.DUMMYFUNCTION("""COMPUTED_VALUE"""),"* D16E6 *")</f>
        <v>* D16E6 *</v>
      </c>
      <c r="AS56" s="64">
        <f>IFERROR(__xludf.DUMMYFUNCTION("""COMPUTED_VALUE"""),143100.0)</f>
        <v>143100</v>
      </c>
    </row>
    <row r="57">
      <c r="A57" s="51"/>
      <c r="B57" s="51"/>
      <c r="C57" s="52"/>
      <c r="D57" s="51"/>
      <c r="E57" s="53"/>
      <c r="F57" s="54"/>
      <c r="G57" s="54"/>
      <c r="H57" s="51"/>
      <c r="I57" s="55"/>
      <c r="J57" s="56"/>
      <c r="K57" s="46"/>
      <c r="L57" s="46"/>
      <c r="M57" s="47"/>
      <c r="N57" s="46"/>
      <c r="O57" s="57"/>
      <c r="P57" s="46"/>
      <c r="Q57" s="46"/>
      <c r="R57" s="57"/>
      <c r="S57" s="7"/>
      <c r="T57" s="54"/>
      <c r="U57" s="58"/>
      <c r="V57" s="47"/>
      <c r="W57" s="18"/>
      <c r="X57" s="46"/>
      <c r="Y57" s="46"/>
      <c r="Z57" s="46"/>
      <c r="AA57" s="7"/>
      <c r="AB57" s="46"/>
      <c r="AC57" s="46"/>
      <c r="AD57" s="47"/>
      <c r="AE57" s="47"/>
      <c r="AF57" s="7"/>
      <c r="AG57" s="7"/>
      <c r="AH57" s="47"/>
      <c r="AI57" s="47"/>
      <c r="AJ57" s="18"/>
      <c r="AK57" s="26"/>
      <c r="AL57" s="34"/>
      <c r="AM57" s="34"/>
      <c r="AN57" s="18"/>
      <c r="AO57" s="18"/>
      <c r="AP57" s="18"/>
      <c r="AQ57" s="18"/>
      <c r="AR57" s="64" t="str">
        <f>IFERROR(__xludf.DUMMYFUNCTION("""COMPUTED_VALUE"""),"* D28N5 *")</f>
        <v>* D28N5 *</v>
      </c>
      <c r="AS57" s="64">
        <f>IFERROR(__xludf.DUMMYFUNCTION("""COMPUTED_VALUE"""),144165.0)</f>
        <v>144165</v>
      </c>
    </row>
    <row r="58">
      <c r="A58" s="51"/>
      <c r="B58" s="51"/>
      <c r="C58" s="52"/>
      <c r="D58" s="51"/>
      <c r="E58" s="53"/>
      <c r="F58" s="54"/>
      <c r="G58" s="54"/>
      <c r="H58" s="51"/>
      <c r="I58" s="55"/>
      <c r="J58" s="56"/>
      <c r="K58" s="46"/>
      <c r="L58" s="46"/>
      <c r="M58" s="47"/>
      <c r="N58" s="46"/>
      <c r="O58" s="57"/>
      <c r="P58" s="46"/>
      <c r="Q58" s="46"/>
      <c r="R58" s="57"/>
      <c r="S58" s="7"/>
      <c r="T58" s="54"/>
      <c r="U58" s="58"/>
      <c r="V58" s="47"/>
      <c r="W58" s="18"/>
      <c r="X58" s="46"/>
      <c r="Y58" s="46"/>
      <c r="Z58" s="46"/>
      <c r="AA58" s="7"/>
      <c r="AB58" s="46"/>
      <c r="AC58" s="46"/>
      <c r="AD58" s="47"/>
      <c r="AE58" s="47"/>
      <c r="AF58" s="7"/>
      <c r="AG58" s="7"/>
      <c r="AH58" s="47"/>
      <c r="AI58" s="47"/>
      <c r="AJ58" s="18"/>
      <c r="AK58" s="26"/>
      <c r="AL58" s="34"/>
      <c r="AM58" s="34"/>
      <c r="AN58" s="18"/>
      <c r="AO58" s="18"/>
      <c r="AP58" s="18"/>
      <c r="AQ58" s="18"/>
      <c r="AR58" s="64" t="str">
        <f>IFERROR(__xludf.DUMMYFUNCTION("""COMPUTED_VALUE"""),"* D30E6 *")</f>
        <v>* D30E6 *</v>
      </c>
      <c r="AS58" s="64">
        <f>IFERROR(__xludf.DUMMYFUNCTION("""COMPUTED_VALUE"""),143010.0)</f>
        <v>143010</v>
      </c>
    </row>
    <row r="59">
      <c r="A59" s="51"/>
      <c r="B59" s="51"/>
      <c r="C59" s="52"/>
      <c r="D59" s="51"/>
      <c r="E59" s="53"/>
      <c r="F59" s="54"/>
      <c r="G59" s="54"/>
      <c r="H59" s="51"/>
      <c r="I59" s="55"/>
      <c r="J59" s="56"/>
      <c r="K59" s="46"/>
      <c r="L59" s="46"/>
      <c r="M59" s="47"/>
      <c r="N59" s="46"/>
      <c r="O59" s="57"/>
      <c r="P59" s="46"/>
      <c r="Q59" s="46"/>
      <c r="R59" s="57"/>
      <c r="S59" s="7"/>
      <c r="T59" s="54"/>
      <c r="U59" s="58"/>
      <c r="V59" s="47"/>
      <c r="W59" s="18"/>
      <c r="X59" s="46"/>
      <c r="Y59" s="46"/>
      <c r="Z59" s="46"/>
      <c r="AA59" s="7"/>
      <c r="AB59" s="46"/>
      <c r="AC59" s="46"/>
      <c r="AD59" s="47"/>
      <c r="AE59" s="47"/>
      <c r="AF59" s="7"/>
      <c r="AG59" s="7"/>
      <c r="AH59" s="47"/>
      <c r="AI59" s="47"/>
      <c r="AJ59" s="18"/>
      <c r="AK59" s="26"/>
      <c r="AL59" s="34"/>
      <c r="AM59" s="34"/>
      <c r="AN59" s="18"/>
      <c r="AO59" s="18"/>
      <c r="AP59" s="18"/>
      <c r="AQ59" s="18"/>
      <c r="AR59" s="64" t="str">
        <f>IFERROR(__xludf.DUMMYFUNCTION("""COMPUTED_VALUE"""),"* DICP *")</f>
        <v>* DICP *</v>
      </c>
      <c r="AS59" s="64">
        <f>IFERROR(__xludf.DUMMYFUNCTION("""COMPUTED_VALUE"""),45250.0)</f>
        <v>45250</v>
      </c>
    </row>
    <row r="60">
      <c r="A60" s="51"/>
      <c r="B60" s="51"/>
      <c r="C60" s="52"/>
      <c r="D60" s="51"/>
      <c r="E60" s="53"/>
      <c r="F60" s="54"/>
      <c r="G60" s="54"/>
      <c r="H60" s="51"/>
      <c r="I60" s="55"/>
      <c r="J60" s="56"/>
      <c r="K60" s="46"/>
      <c r="L60" s="46"/>
      <c r="M60" s="47"/>
      <c r="N60" s="46"/>
      <c r="O60" s="57"/>
      <c r="P60" s="46"/>
      <c r="Q60" s="46"/>
      <c r="R60" s="57"/>
      <c r="S60" s="7"/>
      <c r="T60" s="54"/>
      <c r="U60" s="58"/>
      <c r="V60" s="47"/>
      <c r="W60" s="18"/>
      <c r="X60" s="46"/>
      <c r="Y60" s="46"/>
      <c r="Z60" s="46"/>
      <c r="AA60" s="7"/>
      <c r="AB60" s="46"/>
      <c r="AC60" s="46"/>
      <c r="AD60" s="47"/>
      <c r="AE60" s="47"/>
      <c r="AF60" s="7"/>
      <c r="AG60" s="7"/>
      <c r="AH60" s="47"/>
      <c r="AI60" s="47"/>
      <c r="AJ60" s="18"/>
      <c r="AK60" s="26"/>
      <c r="AL60" s="34"/>
      <c r="AM60" s="34"/>
      <c r="AN60" s="18"/>
      <c r="AO60" s="18"/>
      <c r="AP60" s="18"/>
      <c r="AQ60" s="18"/>
      <c r="AR60" s="64" t="str">
        <f>IFERROR(__xludf.DUMMYFUNCTION("""COMPUTED_VALUE"""),"* DIP0 *")</f>
        <v>* DIP0 *</v>
      </c>
      <c r="AS60" s="64">
        <f>IFERROR(__xludf.DUMMYFUNCTION("""COMPUTED_VALUE"""),44490.0)</f>
        <v>44490</v>
      </c>
    </row>
    <row r="61">
      <c r="A61" s="51"/>
      <c r="B61" s="51"/>
      <c r="C61" s="52"/>
      <c r="D61" s="51"/>
      <c r="E61" s="53"/>
      <c r="F61" s="54"/>
      <c r="G61" s="54"/>
      <c r="H61" s="51"/>
      <c r="I61" s="55"/>
      <c r="J61" s="56"/>
      <c r="K61" s="46"/>
      <c r="L61" s="46"/>
      <c r="M61" s="47"/>
      <c r="N61" s="46"/>
      <c r="O61" s="57"/>
      <c r="P61" s="46"/>
      <c r="Q61" s="46"/>
      <c r="R61" s="57"/>
      <c r="S61" s="7"/>
      <c r="T61" s="54"/>
      <c r="U61" s="58"/>
      <c r="V61" s="47"/>
      <c r="W61" s="18"/>
      <c r="X61" s="46"/>
      <c r="Y61" s="46"/>
      <c r="Z61" s="46"/>
      <c r="AA61" s="7"/>
      <c r="AB61" s="46"/>
      <c r="AC61" s="46"/>
      <c r="AD61" s="47"/>
      <c r="AE61" s="47"/>
      <c r="AF61" s="7"/>
      <c r="AG61" s="7"/>
      <c r="AH61" s="47"/>
      <c r="AI61" s="47"/>
      <c r="AJ61" s="18"/>
      <c r="AK61" s="26"/>
      <c r="AL61" s="34"/>
      <c r="AM61" s="34"/>
      <c r="AN61" s="18"/>
      <c r="AO61" s="18"/>
      <c r="AP61" s="18"/>
      <c r="AQ61" s="18"/>
      <c r="AR61" s="64" t="str">
        <f>IFERROR(__xludf.DUMMYFUNCTION("""COMPUTED_VALUE"""),"* DODIC25 *")</f>
        <v>* DODIC25 *</v>
      </c>
      <c r="AS61" s="64">
        <f>IFERROR(__xludf.DUMMYFUNCTION("""COMPUTED_VALUE"""),1599.16)</f>
        <v>1599.16</v>
      </c>
    </row>
    <row r="62">
      <c r="A62" s="51"/>
      <c r="B62" s="51"/>
      <c r="C62" s="52"/>
      <c r="D62" s="51"/>
      <c r="E62" s="53"/>
      <c r="F62" s="54"/>
      <c r="G62" s="54"/>
      <c r="H62" s="51"/>
      <c r="I62" s="55"/>
      <c r="J62" s="56"/>
      <c r="K62" s="46"/>
      <c r="L62" s="46"/>
      <c r="M62" s="47"/>
      <c r="N62" s="46"/>
      <c r="O62" s="57"/>
      <c r="P62" s="46"/>
      <c r="Q62" s="46"/>
      <c r="R62" s="57"/>
      <c r="S62" s="7"/>
      <c r="T62" s="54"/>
      <c r="U62" s="58"/>
      <c r="V62" s="47"/>
      <c r="W62" s="18"/>
      <c r="X62" s="46"/>
      <c r="Y62" s="46"/>
      <c r="Z62" s="46"/>
      <c r="AA62" s="7"/>
      <c r="AB62" s="46"/>
      <c r="AC62" s="46"/>
      <c r="AD62" s="47"/>
      <c r="AE62" s="47"/>
      <c r="AF62" s="7"/>
      <c r="AG62" s="7"/>
      <c r="AH62" s="47"/>
      <c r="AI62" s="47"/>
      <c r="AJ62" s="18"/>
      <c r="AK62" s="26"/>
      <c r="AL62" s="34"/>
      <c r="AM62" s="34"/>
      <c r="AN62" s="18"/>
      <c r="AO62" s="18"/>
      <c r="AP62" s="18"/>
      <c r="AQ62" s="18"/>
      <c r="AR62" s="64" t="str">
        <f>IFERROR(__xludf.DUMMYFUNCTION("""COMPUTED_VALUE"""),"* EF25D *")</f>
        <v>* EF25D *</v>
      </c>
      <c r="AS62" s="64">
        <f>IFERROR(__xludf.DUMMYFUNCTION("""COMPUTED_VALUE"""),54.18)</f>
        <v>54.18</v>
      </c>
    </row>
    <row r="63">
      <c r="A63" s="51"/>
      <c r="B63" s="51"/>
      <c r="C63" s="52"/>
      <c r="D63" s="51"/>
      <c r="E63" s="53"/>
      <c r="F63" s="54"/>
      <c r="G63" s="54"/>
      <c r="H63" s="51"/>
      <c r="I63" s="55"/>
      <c r="J63" s="56"/>
      <c r="K63" s="46"/>
      <c r="L63" s="46"/>
      <c r="M63" s="47"/>
      <c r="N63" s="46"/>
      <c r="O63" s="57"/>
      <c r="P63" s="46"/>
      <c r="Q63" s="46"/>
      <c r="R63" s="57"/>
      <c r="S63" s="7"/>
      <c r="T63" s="54"/>
      <c r="U63" s="58"/>
      <c r="V63" s="47"/>
      <c r="W63" s="18"/>
      <c r="X63" s="46"/>
      <c r="Y63" s="46"/>
      <c r="Z63" s="46"/>
      <c r="AA63" s="7"/>
      <c r="AB63" s="46"/>
      <c r="AC63" s="46"/>
      <c r="AD63" s="47"/>
      <c r="AE63" s="47"/>
      <c r="AF63" s="7"/>
      <c r="AG63" s="7"/>
      <c r="AH63" s="47"/>
      <c r="AI63" s="47"/>
      <c r="AJ63" s="18"/>
      <c r="AK63" s="26"/>
      <c r="AL63" s="34"/>
      <c r="AM63" s="34"/>
      <c r="AN63" s="18"/>
      <c r="AO63" s="18"/>
      <c r="AP63" s="18"/>
      <c r="AQ63" s="18"/>
      <c r="AR63" s="64" t="str">
        <f>IFERROR(__xludf.DUMMYFUNCTION("""COMPUTED_VALUE"""),"* ERF25 *")</f>
        <v>* ERF25 *</v>
      </c>
      <c r="AS63" s="64">
        <f>IFERROR(__xludf.DUMMYFUNCTION("""COMPUTED_VALUE"""),80700.0)</f>
        <v>80700</v>
      </c>
    </row>
    <row r="64">
      <c r="A64" s="51"/>
      <c r="B64" s="51"/>
      <c r="C64" s="52"/>
      <c r="D64" s="51"/>
      <c r="E64" s="53"/>
      <c r="F64" s="54"/>
      <c r="G64" s="54"/>
      <c r="H64" s="51"/>
      <c r="I64" s="55"/>
      <c r="J64" s="56"/>
      <c r="K64" s="46"/>
      <c r="L64" s="46"/>
      <c r="M64" s="47"/>
      <c r="N64" s="46"/>
      <c r="O64" s="57"/>
      <c r="P64" s="46"/>
      <c r="Q64" s="46"/>
      <c r="R64" s="57"/>
      <c r="S64" s="7"/>
      <c r="T64" s="54"/>
      <c r="U64" s="58"/>
      <c r="V64" s="47"/>
      <c r="W64" s="18"/>
      <c r="X64" s="46"/>
      <c r="Y64" s="46"/>
      <c r="Z64" s="46"/>
      <c r="AA64" s="7"/>
      <c r="AB64" s="46"/>
      <c r="AC64" s="46"/>
      <c r="AD64" s="47"/>
      <c r="AE64" s="47"/>
      <c r="AF64" s="7"/>
      <c r="AG64" s="7"/>
      <c r="AH64" s="47"/>
      <c r="AI64" s="47"/>
      <c r="AJ64" s="18"/>
      <c r="AK64" s="26"/>
      <c r="AL64" s="34"/>
      <c r="AM64" s="34"/>
      <c r="AN64" s="18"/>
      <c r="AO64" s="18"/>
      <c r="AP64" s="18"/>
      <c r="AQ64" s="18"/>
      <c r="AR64" s="64" t="str">
        <f>IFERROR(__xludf.DUMMYFUNCTION("""COMPUTED_VALUE"""),"* GD29 *")</f>
        <v>* GD29 *</v>
      </c>
      <c r="AS64" s="64">
        <f>IFERROR(__xludf.DUMMYFUNCTION("""COMPUTED_VALUE"""),105570.0)</f>
        <v>105570</v>
      </c>
    </row>
    <row r="65">
      <c r="A65" s="51"/>
      <c r="B65" s="51"/>
      <c r="C65" s="52"/>
      <c r="D65" s="51"/>
      <c r="E65" s="53"/>
      <c r="F65" s="54"/>
      <c r="G65" s="54"/>
      <c r="H65" s="51"/>
      <c r="I65" s="55"/>
      <c r="J65" s="56"/>
      <c r="K65" s="46"/>
      <c r="L65" s="46"/>
      <c r="M65" s="47"/>
      <c r="N65" s="46"/>
      <c r="O65" s="57"/>
      <c r="P65" s="46"/>
      <c r="Q65" s="46"/>
      <c r="R65" s="57"/>
      <c r="S65" s="7"/>
      <c r="T65" s="54"/>
      <c r="U65" s="58"/>
      <c r="V65" s="47"/>
      <c r="W65" s="18"/>
      <c r="X65" s="46"/>
      <c r="Y65" s="46"/>
      <c r="Z65" s="46"/>
      <c r="AA65" s="7"/>
      <c r="AB65" s="46"/>
      <c r="AC65" s="46"/>
      <c r="AD65" s="47"/>
      <c r="AE65" s="47"/>
      <c r="AF65" s="7"/>
      <c r="AG65" s="7"/>
      <c r="AH65" s="47"/>
      <c r="AI65" s="47"/>
      <c r="AJ65" s="18"/>
      <c r="AK65" s="26"/>
      <c r="AL65" s="34"/>
      <c r="AM65" s="34"/>
      <c r="AN65" s="18"/>
      <c r="AO65" s="18"/>
      <c r="AP65" s="18"/>
      <c r="AQ65" s="18"/>
      <c r="AR65" s="64" t="str">
        <f>IFERROR(__xludf.DUMMYFUNCTION("""COMPUTED_VALUE"""),"* GD29C *")</f>
        <v>* GD29C *</v>
      </c>
      <c r="AS65" s="64">
        <f>IFERROR(__xludf.DUMMYFUNCTION("""COMPUTED_VALUE"""),69.9)</f>
        <v>69.9</v>
      </c>
    </row>
    <row r="66">
      <c r="A66" s="51"/>
      <c r="B66" s="51"/>
      <c r="C66" s="52"/>
      <c r="D66" s="51"/>
      <c r="E66" s="53"/>
      <c r="F66" s="54"/>
      <c r="G66" s="54"/>
      <c r="H66" s="51"/>
      <c r="I66" s="55"/>
      <c r="J66" s="56"/>
      <c r="K66" s="46"/>
      <c r="L66" s="46"/>
      <c r="M66" s="47"/>
      <c r="N66" s="46"/>
      <c r="O66" s="57"/>
      <c r="P66" s="46"/>
      <c r="Q66" s="46"/>
      <c r="R66" s="57"/>
      <c r="S66" s="7"/>
      <c r="T66" s="54"/>
      <c r="U66" s="58"/>
      <c r="V66" s="47"/>
      <c r="W66" s="18"/>
      <c r="X66" s="46"/>
      <c r="Y66" s="46"/>
      <c r="Z66" s="46"/>
      <c r="AA66" s="7"/>
      <c r="AB66" s="46"/>
      <c r="AC66" s="46"/>
      <c r="AD66" s="47"/>
      <c r="AE66" s="47"/>
      <c r="AF66" s="7"/>
      <c r="AG66" s="7"/>
      <c r="AH66" s="47"/>
      <c r="AI66" s="47"/>
      <c r="AJ66" s="18"/>
      <c r="AK66" s="26"/>
      <c r="AL66" s="34"/>
      <c r="AM66" s="34"/>
      <c r="AN66" s="18"/>
      <c r="AO66" s="18"/>
      <c r="AP66" s="18"/>
      <c r="AQ66" s="18"/>
      <c r="AR66" s="64" t="str">
        <f>IFERROR(__xludf.DUMMYFUNCTION("""COMPUTED_VALUE"""),"* GD29D *")</f>
        <v>* GD29D *</v>
      </c>
      <c r="AS66" s="64">
        <f>IFERROR(__xludf.DUMMYFUNCTION("""COMPUTED_VALUE"""),72.19)</f>
        <v>72.19</v>
      </c>
    </row>
    <row r="67">
      <c r="A67" s="51"/>
      <c r="B67" s="51"/>
      <c r="C67" s="52"/>
      <c r="D67" s="51"/>
      <c r="E67" s="53"/>
      <c r="F67" s="54"/>
      <c r="G67" s="54"/>
      <c r="H67" s="51"/>
      <c r="I67" s="55"/>
      <c r="J67" s="56"/>
      <c r="K67" s="46"/>
      <c r="L67" s="46"/>
      <c r="M67" s="47"/>
      <c r="N67" s="46"/>
      <c r="O67" s="57"/>
      <c r="P67" s="46"/>
      <c r="Q67" s="46"/>
      <c r="R67" s="57"/>
      <c r="S67" s="7"/>
      <c r="T67" s="54"/>
      <c r="U67" s="58"/>
      <c r="V67" s="47"/>
      <c r="W67" s="18"/>
      <c r="X67" s="46"/>
      <c r="Y67" s="46"/>
      <c r="Z67" s="46"/>
      <c r="AA67" s="7"/>
      <c r="AB67" s="46"/>
      <c r="AC67" s="46"/>
      <c r="AD67" s="47"/>
      <c r="AE67" s="47"/>
      <c r="AF67" s="7"/>
      <c r="AG67" s="7"/>
      <c r="AH67" s="47"/>
      <c r="AI67" s="47"/>
      <c r="AJ67" s="18"/>
      <c r="AK67" s="26"/>
      <c r="AL67" s="34"/>
      <c r="AM67" s="34"/>
      <c r="AN67" s="18"/>
      <c r="AO67" s="18"/>
      <c r="AP67" s="18"/>
      <c r="AQ67" s="18"/>
      <c r="AR67" s="64" t="str">
        <f>IFERROR(__xludf.DUMMYFUNCTION("""COMPUTED_VALUE"""),"* GD30 *")</f>
        <v>* GD30 *</v>
      </c>
      <c r="AS67" s="64">
        <f>IFERROR(__xludf.DUMMYFUNCTION("""COMPUTED_VALUE"""),100410.0)</f>
        <v>100410</v>
      </c>
    </row>
    <row r="68">
      <c r="A68" s="51"/>
      <c r="B68" s="51"/>
      <c r="C68" s="52"/>
      <c r="D68" s="51"/>
      <c r="E68" s="53"/>
      <c r="F68" s="54"/>
      <c r="G68" s="54"/>
      <c r="H68" s="51"/>
      <c r="I68" s="55"/>
      <c r="J68" s="56"/>
      <c r="K68" s="46"/>
      <c r="L68" s="46"/>
      <c r="M68" s="47"/>
      <c r="N68" s="46"/>
      <c r="O68" s="57"/>
      <c r="P68" s="46"/>
      <c r="Q68" s="46"/>
      <c r="R68" s="57"/>
      <c r="S68" s="7"/>
      <c r="T68" s="54"/>
      <c r="U68" s="58"/>
      <c r="V68" s="47"/>
      <c r="W68" s="18"/>
      <c r="X68" s="46"/>
      <c r="Y68" s="46"/>
      <c r="Z68" s="46"/>
      <c r="AA68" s="7"/>
      <c r="AB68" s="46"/>
      <c r="AC68" s="46"/>
      <c r="AD68" s="47"/>
      <c r="AE68" s="47"/>
      <c r="AF68" s="7"/>
      <c r="AG68" s="7"/>
      <c r="AH68" s="47"/>
      <c r="AI68" s="47"/>
      <c r="AJ68" s="18"/>
      <c r="AK68" s="26"/>
      <c r="AL68" s="34"/>
      <c r="AM68" s="34"/>
      <c r="AN68" s="18"/>
      <c r="AO68" s="18"/>
      <c r="AP68" s="18"/>
      <c r="AQ68" s="18"/>
      <c r="AR68" s="64" t="str">
        <f>IFERROR(__xludf.DUMMYFUNCTION("""COMPUTED_VALUE"""),"* GD30C *")</f>
        <v>* GD30C *</v>
      </c>
      <c r="AS68" s="64">
        <f>IFERROR(__xludf.DUMMYFUNCTION("""COMPUTED_VALUE"""),66.93)</f>
        <v>66.93</v>
      </c>
    </row>
    <row r="69">
      <c r="A69" s="51"/>
      <c r="B69" s="51"/>
      <c r="C69" s="52"/>
      <c r="D69" s="51"/>
      <c r="E69" s="53"/>
      <c r="F69" s="54"/>
      <c r="G69" s="54"/>
      <c r="H69" s="51"/>
      <c r="I69" s="55"/>
      <c r="J69" s="56"/>
      <c r="K69" s="46"/>
      <c r="L69" s="46"/>
      <c r="M69" s="47"/>
      <c r="N69" s="46"/>
      <c r="O69" s="57"/>
      <c r="P69" s="46"/>
      <c r="Q69" s="46"/>
      <c r="R69" s="57"/>
      <c r="S69" s="7"/>
      <c r="T69" s="54"/>
      <c r="U69" s="58"/>
      <c r="V69" s="47"/>
      <c r="W69" s="18"/>
      <c r="X69" s="46"/>
      <c r="Y69" s="46"/>
      <c r="Z69" s="46"/>
      <c r="AA69" s="7"/>
      <c r="AB69" s="46"/>
      <c r="AC69" s="46"/>
      <c r="AD69" s="47"/>
      <c r="AE69" s="47"/>
      <c r="AF69" s="7"/>
      <c r="AG69" s="7"/>
      <c r="AH69" s="47"/>
      <c r="AI69" s="47"/>
      <c r="AJ69" s="18"/>
      <c r="AK69" s="26"/>
      <c r="AL69" s="34"/>
      <c r="AM69" s="34"/>
      <c r="AN69" s="18"/>
      <c r="AO69" s="18"/>
      <c r="AP69" s="18"/>
      <c r="AQ69" s="18"/>
      <c r="AR69" s="64" t="str">
        <f>IFERROR(__xludf.DUMMYFUNCTION("""COMPUTED_VALUE"""),"* GD30D *")</f>
        <v>* GD30D *</v>
      </c>
      <c r="AS69" s="64">
        <f>IFERROR(__xludf.DUMMYFUNCTION("""COMPUTED_VALUE"""),68.56)</f>
        <v>68.56</v>
      </c>
    </row>
    <row r="70">
      <c r="A70" s="51"/>
      <c r="B70" s="51"/>
      <c r="C70" s="52"/>
      <c r="D70" s="51"/>
      <c r="E70" s="53"/>
      <c r="F70" s="54"/>
      <c r="G70" s="54"/>
      <c r="H70" s="51"/>
      <c r="I70" s="55"/>
      <c r="J70" s="56"/>
      <c r="K70" s="46"/>
      <c r="L70" s="46"/>
      <c r="M70" s="47"/>
      <c r="N70" s="46"/>
      <c r="O70" s="57"/>
      <c r="P70" s="46"/>
      <c r="Q70" s="46"/>
      <c r="R70" s="57"/>
      <c r="S70" s="7"/>
      <c r="T70" s="54"/>
      <c r="U70" s="58"/>
      <c r="V70" s="47"/>
      <c r="W70" s="18"/>
      <c r="X70" s="46"/>
      <c r="Y70" s="46"/>
      <c r="Z70" s="46"/>
      <c r="AA70" s="7"/>
      <c r="AB70" s="46"/>
      <c r="AC70" s="46"/>
      <c r="AD70" s="47"/>
      <c r="AE70" s="47"/>
      <c r="AF70" s="7"/>
      <c r="AG70" s="7"/>
      <c r="AH70" s="47"/>
      <c r="AI70" s="47"/>
      <c r="AJ70" s="18"/>
      <c r="AK70" s="26"/>
      <c r="AL70" s="34"/>
      <c r="AM70" s="34"/>
      <c r="AN70" s="18"/>
      <c r="AO70" s="18"/>
      <c r="AP70" s="18"/>
      <c r="AQ70" s="18"/>
      <c r="AR70" s="64" t="str">
        <f>IFERROR(__xludf.DUMMYFUNCTION("""COMPUTED_VALUE"""),"* GD35 *")</f>
        <v>* GD35 *</v>
      </c>
      <c r="AS70" s="64">
        <f>IFERROR(__xludf.DUMMYFUNCTION("""COMPUTED_VALUE"""),111000.0)</f>
        <v>111000</v>
      </c>
    </row>
    <row r="71">
      <c r="A71" s="51"/>
      <c r="B71" s="51"/>
      <c r="C71" s="52"/>
      <c r="D71" s="51"/>
      <c r="E71" s="53"/>
      <c r="F71" s="54"/>
      <c r="G71" s="54"/>
      <c r="H71" s="51"/>
      <c r="I71" s="55"/>
      <c r="J71" s="56"/>
      <c r="K71" s="46"/>
      <c r="L71" s="46"/>
      <c r="M71" s="47"/>
      <c r="N71" s="46"/>
      <c r="O71" s="57"/>
      <c r="P71" s="46"/>
      <c r="Q71" s="46"/>
      <c r="R71" s="57"/>
      <c r="S71" s="7"/>
      <c r="T71" s="54"/>
      <c r="U71" s="58"/>
      <c r="V71" s="47"/>
      <c r="W71" s="18"/>
      <c r="X71" s="46"/>
      <c r="Y71" s="46"/>
      <c r="Z71" s="46"/>
      <c r="AA71" s="7"/>
      <c r="AB71" s="46"/>
      <c r="AC71" s="46"/>
      <c r="AD71" s="47"/>
      <c r="AE71" s="47"/>
      <c r="AF71" s="7"/>
      <c r="AG71" s="7"/>
      <c r="AH71" s="47"/>
      <c r="AI71" s="47"/>
      <c r="AJ71" s="18"/>
      <c r="AK71" s="26"/>
      <c r="AL71" s="34"/>
      <c r="AM71" s="34"/>
      <c r="AN71" s="18"/>
      <c r="AO71" s="18"/>
      <c r="AP71" s="18"/>
      <c r="AQ71" s="18"/>
      <c r="AR71" s="64" t="str">
        <f>IFERROR(__xludf.DUMMYFUNCTION("""COMPUTED_VALUE"""),"* GD35C *")</f>
        <v>* GD35C *</v>
      </c>
      <c r="AS71" s="64">
        <f>IFERROR(__xludf.DUMMYFUNCTION("""COMPUTED_VALUE"""),73.81)</f>
        <v>73.81</v>
      </c>
    </row>
    <row r="72">
      <c r="A72" s="51"/>
      <c r="B72" s="51"/>
      <c r="C72" s="52"/>
      <c r="D72" s="51"/>
      <c r="E72" s="53"/>
      <c r="F72" s="54"/>
      <c r="G72" s="54"/>
      <c r="H72" s="51"/>
      <c r="I72" s="55"/>
      <c r="J72" s="56"/>
      <c r="K72" s="46"/>
      <c r="L72" s="46"/>
      <c r="M72" s="47"/>
      <c r="N72" s="46"/>
      <c r="O72" s="57"/>
      <c r="P72" s="46"/>
      <c r="Q72" s="46"/>
      <c r="R72" s="57"/>
      <c r="S72" s="7"/>
      <c r="T72" s="54"/>
      <c r="U72" s="58"/>
      <c r="V72" s="47"/>
      <c r="W72" s="18"/>
      <c r="X72" s="46"/>
      <c r="Y72" s="46"/>
      <c r="Z72" s="46"/>
      <c r="AA72" s="7"/>
      <c r="AB72" s="46"/>
      <c r="AC72" s="46"/>
      <c r="AD72" s="47"/>
      <c r="AE72" s="47"/>
      <c r="AF72" s="7"/>
      <c r="AG72" s="7"/>
      <c r="AH72" s="47"/>
      <c r="AI72" s="47"/>
      <c r="AJ72" s="18"/>
      <c r="AK72" s="26"/>
      <c r="AL72" s="34"/>
      <c r="AM72" s="34"/>
      <c r="AN72" s="18"/>
      <c r="AO72" s="18"/>
      <c r="AP72" s="18"/>
      <c r="AQ72" s="18"/>
      <c r="AR72" s="64" t="str">
        <f>IFERROR(__xludf.DUMMYFUNCTION("""COMPUTED_VALUE"""),"* GD35D *")</f>
        <v>* GD35D *</v>
      </c>
      <c r="AS72" s="64">
        <f>IFERROR(__xludf.DUMMYFUNCTION("""COMPUTED_VALUE"""),75.7)</f>
        <v>75.7</v>
      </c>
    </row>
    <row r="73">
      <c r="A73" s="51"/>
      <c r="B73" s="51"/>
      <c r="C73" s="52"/>
      <c r="D73" s="51"/>
      <c r="E73" s="53"/>
      <c r="F73" s="54"/>
      <c r="G73" s="54"/>
      <c r="H73" s="51"/>
      <c r="I73" s="55"/>
      <c r="J73" s="56"/>
      <c r="K73" s="46"/>
      <c r="L73" s="46"/>
      <c r="M73" s="47"/>
      <c r="N73" s="46"/>
      <c r="O73" s="57"/>
      <c r="P73" s="46"/>
      <c r="Q73" s="46"/>
      <c r="R73" s="57"/>
      <c r="S73" s="7"/>
      <c r="T73" s="54"/>
      <c r="U73" s="58"/>
      <c r="V73" s="47"/>
      <c r="W73" s="18"/>
      <c r="X73" s="46"/>
      <c r="Y73" s="46"/>
      <c r="Z73" s="46"/>
      <c r="AA73" s="7"/>
      <c r="AB73" s="46"/>
      <c r="AC73" s="46"/>
      <c r="AD73" s="47"/>
      <c r="AE73" s="47"/>
      <c r="AF73" s="7"/>
      <c r="AG73" s="7"/>
      <c r="AH73" s="47"/>
      <c r="AI73" s="47"/>
      <c r="AJ73" s="18"/>
      <c r="AK73" s="26"/>
      <c r="AL73" s="34"/>
      <c r="AM73" s="34"/>
      <c r="AN73" s="18"/>
      <c r="AO73" s="18"/>
      <c r="AP73" s="18"/>
      <c r="AQ73" s="18"/>
      <c r="AR73" s="64" t="str">
        <f>IFERROR(__xludf.DUMMYFUNCTION("""COMPUTED_VALUE"""),"* GD38 *")</f>
        <v>* GD38 *</v>
      </c>
      <c r="AS73" s="64">
        <f>IFERROR(__xludf.DUMMYFUNCTION("""COMPUTED_VALUE"""),116790.0)</f>
        <v>116790</v>
      </c>
    </row>
    <row r="74">
      <c r="A74" s="51"/>
      <c r="B74" s="51"/>
      <c r="C74" s="52"/>
      <c r="D74" s="51"/>
      <c r="E74" s="53"/>
      <c r="F74" s="54"/>
      <c r="G74" s="54"/>
      <c r="H74" s="51"/>
      <c r="I74" s="55"/>
      <c r="J74" s="56"/>
      <c r="K74" s="46"/>
      <c r="L74" s="46"/>
      <c r="M74" s="47"/>
      <c r="N74" s="46"/>
      <c r="O74" s="57"/>
      <c r="P74" s="46"/>
      <c r="Q74" s="46"/>
      <c r="R74" s="57"/>
      <c r="S74" s="7"/>
      <c r="T74" s="54"/>
      <c r="U74" s="58"/>
      <c r="V74" s="47"/>
      <c r="W74" s="18"/>
      <c r="X74" s="46"/>
      <c r="Y74" s="46"/>
      <c r="Z74" s="46"/>
      <c r="AA74" s="7"/>
      <c r="AB74" s="46"/>
      <c r="AC74" s="46"/>
      <c r="AD74" s="47"/>
      <c r="AE74" s="47"/>
      <c r="AF74" s="7"/>
      <c r="AG74" s="7"/>
      <c r="AH74" s="47"/>
      <c r="AI74" s="47"/>
      <c r="AJ74" s="18"/>
      <c r="AK74" s="26"/>
      <c r="AL74" s="34"/>
      <c r="AM74" s="34"/>
      <c r="AN74" s="18"/>
      <c r="AO74" s="18"/>
      <c r="AP74" s="18"/>
      <c r="AQ74" s="18"/>
      <c r="AR74" s="64" t="str">
        <f>IFERROR(__xludf.DUMMYFUNCTION("""COMPUTED_VALUE"""),"* GD38C *")</f>
        <v>* GD38C *</v>
      </c>
      <c r="AS74" s="64">
        <f>IFERROR(__xludf.DUMMYFUNCTION("""COMPUTED_VALUE"""),77.18)</f>
        <v>77.18</v>
      </c>
    </row>
    <row r="75">
      <c r="A75" s="51"/>
      <c r="B75" s="51"/>
      <c r="C75" s="52"/>
      <c r="D75" s="51"/>
      <c r="E75" s="53"/>
      <c r="F75" s="54"/>
      <c r="G75" s="54"/>
      <c r="H75" s="51"/>
      <c r="I75" s="55"/>
      <c r="J75" s="56"/>
      <c r="K75" s="46"/>
      <c r="L75" s="46"/>
      <c r="M75" s="47"/>
      <c r="N75" s="46"/>
      <c r="O75" s="57"/>
      <c r="P75" s="46"/>
      <c r="Q75" s="46"/>
      <c r="R75" s="57"/>
      <c r="S75" s="7"/>
      <c r="T75" s="54"/>
      <c r="U75" s="58"/>
      <c r="V75" s="47"/>
      <c r="W75" s="18"/>
      <c r="X75" s="46"/>
      <c r="Y75" s="46"/>
      <c r="Z75" s="46"/>
      <c r="AA75" s="7"/>
      <c r="AB75" s="46"/>
      <c r="AC75" s="46"/>
      <c r="AD75" s="47"/>
      <c r="AE75" s="47"/>
      <c r="AF75" s="7"/>
      <c r="AG75" s="7"/>
      <c r="AH75" s="47"/>
      <c r="AI75" s="47"/>
      <c r="AJ75" s="18"/>
      <c r="AK75" s="26"/>
      <c r="AL75" s="34"/>
      <c r="AM75" s="34"/>
      <c r="AN75" s="18"/>
      <c r="AO75" s="18"/>
      <c r="AP75" s="18"/>
      <c r="AQ75" s="18"/>
      <c r="AR75" s="64" t="str">
        <f>IFERROR(__xludf.DUMMYFUNCTION("""COMPUTED_VALUE"""),"* GD38D *")</f>
        <v>* GD38D *</v>
      </c>
      <c r="AS75" s="64">
        <f>IFERROR(__xludf.DUMMYFUNCTION("""COMPUTED_VALUE"""),79.75)</f>
        <v>79.75</v>
      </c>
    </row>
    <row r="76">
      <c r="A76" s="51"/>
      <c r="B76" s="51"/>
      <c r="C76" s="52"/>
      <c r="D76" s="51"/>
      <c r="E76" s="53"/>
      <c r="F76" s="54"/>
      <c r="G76" s="54"/>
      <c r="H76" s="51"/>
      <c r="I76" s="55"/>
      <c r="J76" s="56"/>
      <c r="K76" s="46"/>
      <c r="L76" s="46"/>
      <c r="M76" s="47"/>
      <c r="N76" s="46"/>
      <c r="O76" s="57"/>
      <c r="P76" s="46"/>
      <c r="Q76" s="46"/>
      <c r="R76" s="57"/>
      <c r="S76" s="7"/>
      <c r="T76" s="54"/>
      <c r="U76" s="58"/>
      <c r="V76" s="47"/>
      <c r="W76" s="18"/>
      <c r="X76" s="46"/>
      <c r="Y76" s="46"/>
      <c r="Z76" s="46"/>
      <c r="AA76" s="7"/>
      <c r="AB76" s="46"/>
      <c r="AC76" s="46"/>
      <c r="AD76" s="47"/>
      <c r="AE76" s="47"/>
      <c r="AF76" s="7"/>
      <c r="AG76" s="7"/>
      <c r="AH76" s="47"/>
      <c r="AI76" s="47"/>
      <c r="AJ76" s="18"/>
      <c r="AK76" s="26"/>
      <c r="AL76" s="34"/>
      <c r="AM76" s="34"/>
      <c r="AN76" s="18"/>
      <c r="AO76" s="18"/>
      <c r="AP76" s="18"/>
      <c r="AQ76" s="18"/>
      <c r="AR76" s="64" t="str">
        <f>IFERROR(__xludf.DUMMYFUNCTION("""COMPUTED_VALUE"""),"* GD41 *")</f>
        <v>* GD41 *</v>
      </c>
      <c r="AS76" s="64">
        <f>IFERROR(__xludf.DUMMYFUNCTION("""COMPUTED_VALUE"""),103250.0)</f>
        <v>103250</v>
      </c>
    </row>
    <row r="77">
      <c r="A77" s="51"/>
      <c r="B77" s="51"/>
      <c r="C77" s="52"/>
      <c r="D77" s="51"/>
      <c r="E77" s="53"/>
      <c r="F77" s="54"/>
      <c r="G77" s="54"/>
      <c r="H77" s="51"/>
      <c r="I77" s="55"/>
      <c r="J77" s="56"/>
      <c r="K77" s="46"/>
      <c r="L77" s="46"/>
      <c r="M77" s="47"/>
      <c r="N77" s="46"/>
      <c r="O77" s="57"/>
      <c r="P77" s="46"/>
      <c r="Q77" s="46"/>
      <c r="R77" s="57"/>
      <c r="S77" s="7"/>
      <c r="T77" s="54"/>
      <c r="U77" s="58"/>
      <c r="V77" s="47"/>
      <c r="W77" s="18"/>
      <c r="X77" s="46"/>
      <c r="Y77" s="46"/>
      <c r="Z77" s="46"/>
      <c r="AA77" s="7"/>
      <c r="AB77" s="46"/>
      <c r="AC77" s="46"/>
      <c r="AD77" s="47"/>
      <c r="AE77" s="47"/>
      <c r="AF77" s="7"/>
      <c r="AG77" s="7"/>
      <c r="AH77" s="47"/>
      <c r="AI77" s="47"/>
      <c r="AJ77" s="18"/>
      <c r="AK77" s="26"/>
      <c r="AL77" s="34"/>
      <c r="AM77" s="34"/>
      <c r="AN77" s="18"/>
      <c r="AO77" s="18"/>
      <c r="AP77" s="18"/>
      <c r="AQ77" s="18"/>
      <c r="AR77" s="64" t="str">
        <f>IFERROR(__xludf.DUMMYFUNCTION("""COMPUTED_VALUE"""),"* GD41C *")</f>
        <v>* GD41C *</v>
      </c>
      <c r="AS77" s="64">
        <f>IFERROR(__xludf.DUMMYFUNCTION("""COMPUTED_VALUE"""),69.19)</f>
        <v>69.19</v>
      </c>
    </row>
    <row r="78">
      <c r="A78" s="51"/>
      <c r="B78" s="51"/>
      <c r="C78" s="52"/>
      <c r="D78" s="51"/>
      <c r="E78" s="53"/>
      <c r="F78" s="54"/>
      <c r="G78" s="54"/>
      <c r="H78" s="51"/>
      <c r="I78" s="55"/>
      <c r="J78" s="56"/>
      <c r="K78" s="46"/>
      <c r="L78" s="46"/>
      <c r="M78" s="47"/>
      <c r="N78" s="46"/>
      <c r="O78" s="57"/>
      <c r="P78" s="46"/>
      <c r="Q78" s="46"/>
      <c r="R78" s="57"/>
      <c r="S78" s="7"/>
      <c r="T78" s="54"/>
      <c r="U78" s="58"/>
      <c r="V78" s="47"/>
      <c r="W78" s="18"/>
      <c r="X78" s="46"/>
      <c r="Y78" s="46"/>
      <c r="Z78" s="46"/>
      <c r="AA78" s="7"/>
      <c r="AB78" s="46"/>
      <c r="AC78" s="46"/>
      <c r="AD78" s="47"/>
      <c r="AE78" s="47"/>
      <c r="AF78" s="7"/>
      <c r="AG78" s="7"/>
      <c r="AH78" s="47"/>
      <c r="AI78" s="47"/>
      <c r="AJ78" s="18"/>
      <c r="AK78" s="26"/>
      <c r="AL78" s="34"/>
      <c r="AM78" s="34"/>
      <c r="AN78" s="18"/>
      <c r="AO78" s="18"/>
      <c r="AP78" s="18"/>
      <c r="AQ78" s="18"/>
      <c r="AR78" s="64" t="str">
        <f>IFERROR(__xludf.DUMMYFUNCTION("""COMPUTED_VALUE"""),"* GD41D *")</f>
        <v>* GD41D *</v>
      </c>
      <c r="AS78" s="64">
        <f>IFERROR(__xludf.DUMMYFUNCTION("""COMPUTED_VALUE"""),70.54)</f>
        <v>70.54</v>
      </c>
    </row>
    <row r="79">
      <c r="A79" s="51"/>
      <c r="B79" s="51"/>
      <c r="C79" s="52"/>
      <c r="D79" s="51"/>
      <c r="E79" s="53"/>
      <c r="F79" s="54"/>
      <c r="G79" s="54"/>
      <c r="H79" s="51"/>
      <c r="I79" s="55"/>
      <c r="J79" s="56"/>
      <c r="K79" s="46"/>
      <c r="L79" s="46"/>
      <c r="M79" s="47"/>
      <c r="N79" s="46"/>
      <c r="O79" s="57"/>
      <c r="P79" s="46"/>
      <c r="Q79" s="46"/>
      <c r="R79" s="57"/>
      <c r="S79" s="7"/>
      <c r="T79" s="54"/>
      <c r="U79" s="58"/>
      <c r="V79" s="47"/>
      <c r="W79" s="18"/>
      <c r="X79" s="46"/>
      <c r="Y79" s="46"/>
      <c r="Z79" s="46"/>
      <c r="AA79" s="7"/>
      <c r="AB79" s="46"/>
      <c r="AC79" s="46"/>
      <c r="AD79" s="47"/>
      <c r="AE79" s="47"/>
      <c r="AF79" s="7"/>
      <c r="AG79" s="7"/>
      <c r="AH79" s="47"/>
      <c r="AI79" s="47"/>
      <c r="AJ79" s="18"/>
      <c r="AK79" s="26"/>
      <c r="AL79" s="34"/>
      <c r="AM79" s="34"/>
      <c r="AN79" s="18"/>
      <c r="AO79" s="18"/>
      <c r="AP79" s="18"/>
      <c r="AQ79" s="18"/>
      <c r="AR79" s="64" t="str">
        <f>IFERROR(__xludf.DUMMYFUNCTION("""COMPUTED_VALUE"""),"* GD46 *")</f>
        <v>* GD46 *</v>
      </c>
      <c r="AS79" s="64">
        <f>IFERROR(__xludf.DUMMYFUNCTION("""COMPUTED_VALUE"""),103010.0)</f>
        <v>103010</v>
      </c>
    </row>
    <row r="80">
      <c r="A80" s="51"/>
      <c r="B80" s="51"/>
      <c r="C80" s="52"/>
      <c r="D80" s="51"/>
      <c r="E80" s="53"/>
      <c r="F80" s="54"/>
      <c r="G80" s="54"/>
      <c r="H80" s="51"/>
      <c r="I80" s="55"/>
      <c r="J80" s="56"/>
      <c r="K80" s="46"/>
      <c r="L80" s="46"/>
      <c r="M80" s="47"/>
      <c r="N80" s="46"/>
      <c r="O80" s="57"/>
      <c r="P80" s="46"/>
      <c r="Q80" s="46"/>
      <c r="R80" s="57"/>
      <c r="S80" s="7"/>
      <c r="T80" s="54"/>
      <c r="U80" s="58"/>
      <c r="V80" s="47"/>
      <c r="W80" s="18"/>
      <c r="X80" s="46"/>
      <c r="Y80" s="46"/>
      <c r="Z80" s="46"/>
      <c r="AA80" s="7"/>
      <c r="AB80" s="46"/>
      <c r="AC80" s="46"/>
      <c r="AD80" s="47"/>
      <c r="AE80" s="47"/>
      <c r="AF80" s="7"/>
      <c r="AG80" s="7"/>
      <c r="AH80" s="47"/>
      <c r="AI80" s="47"/>
      <c r="AJ80" s="18"/>
      <c r="AK80" s="26"/>
      <c r="AL80" s="34"/>
      <c r="AM80" s="34"/>
      <c r="AN80" s="18"/>
      <c r="AO80" s="18"/>
      <c r="AP80" s="18"/>
      <c r="AQ80" s="18"/>
      <c r="AR80" s="64" t="str">
        <f>IFERROR(__xludf.DUMMYFUNCTION("""COMPUTED_VALUE"""),"* GD46C *")</f>
        <v>* GD46C *</v>
      </c>
      <c r="AS80" s="64">
        <f>IFERROR(__xludf.DUMMYFUNCTION("""COMPUTED_VALUE"""),69.04)</f>
        <v>69.04</v>
      </c>
    </row>
    <row r="81">
      <c r="A81" s="51"/>
      <c r="B81" s="51"/>
      <c r="C81" s="52"/>
      <c r="D81" s="51"/>
      <c r="E81" s="53"/>
      <c r="F81" s="54"/>
      <c r="G81" s="54"/>
      <c r="H81" s="51"/>
      <c r="I81" s="55"/>
      <c r="J81" s="56"/>
      <c r="K81" s="46"/>
      <c r="L81" s="46"/>
      <c r="M81" s="47"/>
      <c r="N81" s="46"/>
      <c r="O81" s="57"/>
      <c r="P81" s="46"/>
      <c r="Q81" s="46"/>
      <c r="R81" s="57"/>
      <c r="S81" s="7"/>
      <c r="T81" s="54"/>
      <c r="U81" s="58"/>
      <c r="V81" s="47"/>
      <c r="W81" s="18"/>
      <c r="X81" s="46"/>
      <c r="Y81" s="46"/>
      <c r="Z81" s="46"/>
      <c r="AA81" s="7"/>
      <c r="AB81" s="46"/>
      <c r="AC81" s="46"/>
      <c r="AD81" s="47"/>
      <c r="AE81" s="47"/>
      <c r="AF81" s="7"/>
      <c r="AG81" s="7"/>
      <c r="AH81" s="47"/>
      <c r="AI81" s="47"/>
      <c r="AJ81" s="18"/>
      <c r="AK81" s="26"/>
      <c r="AL81" s="34"/>
      <c r="AM81" s="34"/>
      <c r="AN81" s="18"/>
      <c r="AO81" s="18"/>
      <c r="AP81" s="18"/>
      <c r="AQ81" s="18"/>
      <c r="AR81" s="64" t="str">
        <f>IFERROR(__xludf.DUMMYFUNCTION("""COMPUTED_VALUE"""),"* GD46D *")</f>
        <v>* GD46D *</v>
      </c>
      <c r="AS81" s="64">
        <f>IFERROR(__xludf.DUMMYFUNCTION("""COMPUTED_VALUE"""),70.35)</f>
        <v>70.35</v>
      </c>
    </row>
    <row r="82">
      <c r="A82" s="51"/>
      <c r="B82" s="51"/>
      <c r="C82" s="52"/>
      <c r="D82" s="51"/>
      <c r="E82" s="53"/>
      <c r="F82" s="54"/>
      <c r="G82" s="54"/>
      <c r="H82" s="51"/>
      <c r="I82" s="55"/>
      <c r="J82" s="56"/>
      <c r="K82" s="46"/>
      <c r="L82" s="46"/>
      <c r="M82" s="47"/>
      <c r="N82" s="46"/>
      <c r="O82" s="57"/>
      <c r="P82" s="46"/>
      <c r="Q82" s="46"/>
      <c r="R82" s="57"/>
      <c r="S82" s="7"/>
      <c r="T82" s="54"/>
      <c r="U82" s="58"/>
      <c r="V82" s="47"/>
      <c r="W82" s="18"/>
      <c r="X82" s="46"/>
      <c r="Y82" s="46"/>
      <c r="Z82" s="46"/>
      <c r="AA82" s="7"/>
      <c r="AB82" s="46"/>
      <c r="AC82" s="46"/>
      <c r="AD82" s="47"/>
      <c r="AE82" s="47"/>
      <c r="AF82" s="7"/>
      <c r="AG82" s="7"/>
      <c r="AH82" s="47"/>
      <c r="AI82" s="47"/>
      <c r="AJ82" s="18"/>
      <c r="AK82" s="26"/>
      <c r="AL82" s="34"/>
      <c r="AM82" s="34"/>
      <c r="AN82" s="18"/>
      <c r="AO82" s="18"/>
      <c r="AP82" s="18"/>
      <c r="AQ82" s="18"/>
      <c r="AR82" s="64" t="str">
        <f>IFERROR(__xludf.DUMMYFUNCTION("""COMPUTED_VALUE"""),"* M30A6 *")</f>
        <v>* M30A6 *</v>
      </c>
      <c r="AS82" s="64">
        <f>IFERROR(__xludf.DUMMYFUNCTION("""COMPUTED_VALUE"""),102.0)</f>
        <v>102</v>
      </c>
    </row>
    <row r="83">
      <c r="A83" s="51"/>
      <c r="B83" s="51"/>
      <c r="C83" s="52"/>
      <c r="D83" s="51"/>
      <c r="E83" s="53"/>
      <c r="F83" s="54"/>
      <c r="G83" s="54"/>
      <c r="H83" s="51"/>
      <c r="I83" s="55"/>
      <c r="J83" s="56"/>
      <c r="K83" s="46"/>
      <c r="L83" s="46"/>
      <c r="M83" s="47"/>
      <c r="N83" s="46"/>
      <c r="O83" s="57"/>
      <c r="P83" s="46"/>
      <c r="Q83" s="46"/>
      <c r="R83" s="57"/>
      <c r="S83" s="7"/>
      <c r="T83" s="54"/>
      <c r="U83" s="58"/>
      <c r="V83" s="47"/>
      <c r="W83" s="18"/>
      <c r="X83" s="46"/>
      <c r="Y83" s="46"/>
      <c r="Z83" s="46"/>
      <c r="AA83" s="7"/>
      <c r="AB83" s="46"/>
      <c r="AC83" s="46"/>
      <c r="AD83" s="47"/>
      <c r="AE83" s="47"/>
      <c r="AF83" s="7"/>
      <c r="AG83" s="7"/>
      <c r="AH83" s="47"/>
      <c r="AI83" s="47"/>
      <c r="AJ83" s="18"/>
      <c r="AK83" s="26"/>
      <c r="AL83" s="34"/>
      <c r="AM83" s="34"/>
      <c r="AN83" s="18"/>
      <c r="AO83" s="18"/>
      <c r="AP83" s="18"/>
      <c r="AQ83" s="18"/>
      <c r="AR83" s="64" t="str">
        <f>IFERROR(__xludf.DUMMYFUNCTION("""COMPUTED_VALUE"""),"* NDT25 *")</f>
        <v>* NDT25 *</v>
      </c>
      <c r="AS83" s="64">
        <f>IFERROR(__xludf.DUMMYFUNCTION("""COMPUTED_VALUE"""),100710.0)</f>
        <v>100710</v>
      </c>
    </row>
    <row r="84">
      <c r="A84" s="51"/>
      <c r="B84" s="51"/>
      <c r="C84" s="52"/>
      <c r="D84" s="51"/>
      <c r="E84" s="53"/>
      <c r="F84" s="54"/>
      <c r="G84" s="54"/>
      <c r="H84" s="51"/>
      <c r="I84" s="55"/>
      <c r="J84" s="56"/>
      <c r="K84" s="46"/>
      <c r="L84" s="46"/>
      <c r="M84" s="47"/>
      <c r="N84" s="46"/>
      <c r="O84" s="57"/>
      <c r="P84" s="46"/>
      <c r="Q84" s="46"/>
      <c r="R84" s="57"/>
      <c r="S84" s="7"/>
      <c r="T84" s="54"/>
      <c r="U84" s="58"/>
      <c r="V84" s="47"/>
      <c r="W84" s="18"/>
      <c r="X84" s="46"/>
      <c r="Y84" s="46"/>
      <c r="Z84" s="46"/>
      <c r="AA84" s="7"/>
      <c r="AB84" s="46"/>
      <c r="AC84" s="46"/>
      <c r="AD84" s="47"/>
      <c r="AE84" s="47"/>
      <c r="AF84" s="7"/>
      <c r="AG84" s="7"/>
      <c r="AH84" s="47"/>
      <c r="AI84" s="47"/>
      <c r="AJ84" s="18"/>
      <c r="AK84" s="26"/>
      <c r="AL84" s="34"/>
      <c r="AM84" s="34"/>
      <c r="AN84" s="18"/>
      <c r="AO84" s="18"/>
      <c r="AP84" s="18"/>
      <c r="AQ84" s="18"/>
      <c r="AR84" s="64" t="str">
        <f>IFERROR(__xludf.DUMMYFUNCTION("""COMPUTED_VALUE"""),"* NDT5D *")</f>
        <v>* NDT5D *</v>
      </c>
      <c r="AS84" s="64">
        <f>IFERROR(__xludf.DUMMYFUNCTION("""COMPUTED_VALUE"""),68.65)</f>
        <v>68.65</v>
      </c>
    </row>
    <row r="85">
      <c r="A85" s="51"/>
      <c r="B85" s="51"/>
      <c r="C85" s="52"/>
      <c r="D85" s="51"/>
      <c r="E85" s="53"/>
      <c r="F85" s="54"/>
      <c r="G85" s="54"/>
      <c r="H85" s="51"/>
      <c r="I85" s="55"/>
      <c r="J85" s="56"/>
      <c r="K85" s="46"/>
      <c r="L85" s="46"/>
      <c r="M85" s="47"/>
      <c r="N85" s="46"/>
      <c r="O85" s="57"/>
      <c r="P85" s="46"/>
      <c r="Q85" s="46"/>
      <c r="R85" s="57"/>
      <c r="S85" s="7"/>
      <c r="T85" s="54"/>
      <c r="U85" s="58"/>
      <c r="V85" s="47"/>
      <c r="W85" s="18"/>
      <c r="X85" s="46"/>
      <c r="Y85" s="46"/>
      <c r="Z85" s="46"/>
      <c r="AA85" s="7"/>
      <c r="AB85" s="46"/>
      <c r="AC85" s="46"/>
      <c r="AD85" s="47"/>
      <c r="AE85" s="47"/>
      <c r="AF85" s="7"/>
      <c r="AG85" s="7"/>
      <c r="AH85" s="47"/>
      <c r="AI85" s="47"/>
      <c r="AJ85" s="18"/>
      <c r="AK85" s="26"/>
      <c r="AL85" s="34"/>
      <c r="AM85" s="34"/>
      <c r="AN85" s="18"/>
      <c r="AO85" s="18"/>
      <c r="AP85" s="18"/>
      <c r="AQ85" s="18"/>
      <c r="AR85" s="64" t="str">
        <f>IFERROR(__xludf.DUMMYFUNCTION("""COMPUTED_VALUE"""),"* PAP0 *")</f>
        <v>* PAP0 *</v>
      </c>
      <c r="AS85" s="64">
        <f>IFERROR(__xludf.DUMMYFUNCTION("""COMPUTED_VALUE"""),26875.0)</f>
        <v>26875</v>
      </c>
    </row>
    <row r="86">
      <c r="A86" s="51"/>
      <c r="B86" s="51"/>
      <c r="C86" s="52"/>
      <c r="D86" s="51"/>
      <c r="E86" s="53"/>
      <c r="F86" s="54"/>
      <c r="G86" s="54"/>
      <c r="H86" s="51"/>
      <c r="I86" s="55"/>
      <c r="J86" s="56"/>
      <c r="K86" s="46"/>
      <c r="L86" s="46"/>
      <c r="M86" s="47"/>
      <c r="N86" s="46"/>
      <c r="O86" s="57"/>
      <c r="P86" s="46"/>
      <c r="Q86" s="46"/>
      <c r="R86" s="57"/>
      <c r="S86" s="7"/>
      <c r="T86" s="54"/>
      <c r="U86" s="58"/>
      <c r="V86" s="47"/>
      <c r="W86" s="18"/>
      <c r="X86" s="46"/>
      <c r="Y86" s="46"/>
      <c r="Z86" s="46"/>
      <c r="AA86" s="7"/>
      <c r="AB86" s="46"/>
      <c r="AC86" s="46"/>
      <c r="AD86" s="47"/>
      <c r="AE86" s="47"/>
      <c r="AF86" s="7"/>
      <c r="AG86" s="7"/>
      <c r="AH86" s="47"/>
      <c r="AI86" s="47"/>
      <c r="AJ86" s="18"/>
      <c r="AK86" s="26"/>
      <c r="AL86" s="34"/>
      <c r="AM86" s="34"/>
      <c r="AN86" s="18"/>
      <c r="AO86" s="18"/>
      <c r="AP86" s="18"/>
      <c r="AQ86" s="18"/>
      <c r="AR86" s="64" t="str">
        <f>IFERROR(__xludf.DUMMYFUNCTION("""COMPUTED_VALUE"""),"* PARP *")</f>
        <v>* PARP *</v>
      </c>
      <c r="AS86" s="64">
        <f>IFERROR(__xludf.DUMMYFUNCTION("""COMPUTED_VALUE"""),27475.0)</f>
        <v>27475</v>
      </c>
    </row>
    <row r="87">
      <c r="A87" s="51"/>
      <c r="B87" s="51"/>
      <c r="C87" s="52"/>
      <c r="D87" s="51"/>
      <c r="E87" s="53"/>
      <c r="F87" s="54"/>
      <c r="G87" s="54"/>
      <c r="H87" s="51"/>
      <c r="I87" s="55"/>
      <c r="J87" s="56"/>
      <c r="K87" s="46"/>
      <c r="L87" s="46"/>
      <c r="M87" s="47"/>
      <c r="N87" s="46"/>
      <c r="O87" s="57"/>
      <c r="P87" s="46"/>
      <c r="Q87" s="46"/>
      <c r="R87" s="57"/>
      <c r="S87" s="7"/>
      <c r="T87" s="54"/>
      <c r="U87" s="58"/>
      <c r="V87" s="47"/>
      <c r="W87" s="18"/>
      <c r="X87" s="46"/>
      <c r="Y87" s="46"/>
      <c r="Z87" s="46"/>
      <c r="AA87" s="7"/>
      <c r="AB87" s="46"/>
      <c r="AC87" s="46"/>
      <c r="AD87" s="47"/>
      <c r="AE87" s="47"/>
      <c r="AF87" s="7"/>
      <c r="AG87" s="7"/>
      <c r="AH87" s="47"/>
      <c r="AI87" s="47"/>
      <c r="AJ87" s="18"/>
      <c r="AK87" s="26"/>
      <c r="AL87" s="34"/>
      <c r="AM87" s="34"/>
      <c r="AN87" s="18"/>
      <c r="AO87" s="18"/>
      <c r="AP87" s="18"/>
      <c r="AQ87" s="18"/>
      <c r="AR87" s="64" t="str">
        <f>IFERROR(__xludf.DUMMYFUNCTION("""COMPUTED_VALUE"""),"* PBY26 *")</f>
        <v>* PBY26 *</v>
      </c>
      <c r="AS87" s="64">
        <f>IFERROR(__xludf.DUMMYFUNCTION("""COMPUTED_VALUE"""),104.5)</f>
        <v>104.5</v>
      </c>
    </row>
    <row r="88">
      <c r="A88" s="51"/>
      <c r="B88" s="51"/>
      <c r="C88" s="52"/>
      <c r="D88" s="51"/>
      <c r="E88" s="53"/>
      <c r="F88" s="54"/>
      <c r="G88" s="54"/>
      <c r="H88" s="51"/>
      <c r="I88" s="55"/>
      <c r="J88" s="56"/>
      <c r="K88" s="46"/>
      <c r="L88" s="46"/>
      <c r="M88" s="47"/>
      <c r="N88" s="46"/>
      <c r="O88" s="57"/>
      <c r="P88" s="46"/>
      <c r="Q88" s="46"/>
      <c r="R88" s="57"/>
      <c r="S88" s="7"/>
      <c r="T88" s="54"/>
      <c r="U88" s="58"/>
      <c r="V88" s="47"/>
      <c r="W88" s="18"/>
      <c r="X88" s="46"/>
      <c r="Y88" s="46"/>
      <c r="Z88" s="46"/>
      <c r="AA88" s="7"/>
      <c r="AB88" s="46"/>
      <c r="AC88" s="46"/>
      <c r="AD88" s="47"/>
      <c r="AE88" s="47"/>
      <c r="AF88" s="7"/>
      <c r="AG88" s="7"/>
      <c r="AH88" s="47"/>
      <c r="AI88" s="47"/>
      <c r="AJ88" s="18"/>
      <c r="AK88" s="26"/>
      <c r="AL88" s="34"/>
      <c r="AM88" s="34"/>
      <c r="AN88" s="18"/>
      <c r="AO88" s="18"/>
      <c r="AP88" s="18"/>
      <c r="AQ88" s="18"/>
      <c r="AR88" s="64" t="str">
        <f>IFERROR(__xludf.DUMMYFUNCTION("""COMPUTED_VALUE"""),"* PM29C *")</f>
        <v>* PM29C *</v>
      </c>
      <c r="AS88" s="64">
        <f>IFERROR(__xludf.DUMMYFUNCTION("""COMPUTED_VALUE"""),51.8)</f>
        <v>51.8</v>
      </c>
    </row>
    <row r="89">
      <c r="A89" s="51"/>
      <c r="B89" s="51"/>
      <c r="C89" s="52"/>
      <c r="D89" s="51"/>
      <c r="E89" s="53"/>
      <c r="F89" s="54"/>
      <c r="G89" s="54"/>
      <c r="H89" s="51"/>
      <c r="I89" s="55"/>
      <c r="J89" s="56"/>
      <c r="K89" s="46"/>
      <c r="L89" s="46"/>
      <c r="M89" s="47"/>
      <c r="N89" s="46"/>
      <c r="O89" s="57"/>
      <c r="P89" s="46"/>
      <c r="Q89" s="46"/>
      <c r="R89" s="57"/>
      <c r="S89" s="7"/>
      <c r="T89" s="54"/>
      <c r="U89" s="58"/>
      <c r="V89" s="47"/>
      <c r="W89" s="18"/>
      <c r="X89" s="46"/>
      <c r="Y89" s="46"/>
      <c r="Z89" s="46"/>
      <c r="AA89" s="7"/>
      <c r="AB89" s="46"/>
      <c r="AC89" s="46"/>
      <c r="AD89" s="47"/>
      <c r="AE89" s="47"/>
      <c r="AF89" s="7"/>
      <c r="AG89" s="7"/>
      <c r="AH89" s="47"/>
      <c r="AI89" s="47"/>
      <c r="AJ89" s="18"/>
      <c r="AK89" s="26"/>
      <c r="AL89" s="34"/>
      <c r="AM89" s="34"/>
      <c r="AN89" s="18"/>
      <c r="AO89" s="18"/>
      <c r="AP89" s="18"/>
      <c r="AQ89" s="18"/>
      <c r="AR89" s="64" t="str">
        <f>IFERROR(__xludf.DUMMYFUNCTION("""COMPUTED_VALUE"""),"* PM29D *")</f>
        <v>* PM29D *</v>
      </c>
      <c r="AS89" s="64">
        <f>IFERROR(__xludf.DUMMYFUNCTION("""COMPUTED_VALUE"""),53.0)</f>
        <v>53</v>
      </c>
    </row>
    <row r="90">
      <c r="A90" s="51"/>
      <c r="B90" s="51"/>
      <c r="C90" s="52"/>
      <c r="D90" s="51"/>
      <c r="E90" s="53"/>
      <c r="F90" s="54"/>
      <c r="G90" s="54"/>
      <c r="H90" s="51"/>
      <c r="I90" s="55"/>
      <c r="J90" s="56"/>
      <c r="K90" s="46"/>
      <c r="L90" s="46"/>
      <c r="M90" s="47"/>
      <c r="N90" s="46"/>
      <c r="O90" s="57"/>
      <c r="P90" s="46"/>
      <c r="Q90" s="46"/>
      <c r="R90" s="57"/>
      <c r="S90" s="7"/>
      <c r="T90" s="54"/>
      <c r="U90" s="58"/>
      <c r="V90" s="47"/>
      <c r="W90" s="18"/>
      <c r="X90" s="46"/>
      <c r="Y90" s="46"/>
      <c r="Z90" s="46"/>
      <c r="AA90" s="7"/>
      <c r="AB90" s="46"/>
      <c r="AC90" s="46"/>
      <c r="AD90" s="47"/>
      <c r="AE90" s="47"/>
      <c r="AF90" s="7"/>
      <c r="AG90" s="7"/>
      <c r="AH90" s="47"/>
      <c r="AI90" s="47"/>
      <c r="AJ90" s="18"/>
      <c r="AK90" s="26"/>
      <c r="AL90" s="34"/>
      <c r="AM90" s="34"/>
      <c r="AN90" s="18"/>
      <c r="AO90" s="18"/>
      <c r="AP90" s="18"/>
      <c r="AQ90" s="18"/>
      <c r="AR90" s="64" t="str">
        <f>IFERROR(__xludf.DUMMYFUNCTION("""COMPUTED_VALUE"""),"* PMJ26 *")</f>
        <v>* PMJ26 *</v>
      </c>
      <c r="AS90" s="64">
        <f>IFERROR(__xludf.DUMMYFUNCTION("""COMPUTED_VALUE"""),108.05)</f>
        <v>108.05</v>
      </c>
    </row>
    <row r="91">
      <c r="A91" s="51"/>
      <c r="B91" s="51"/>
      <c r="C91" s="52"/>
      <c r="D91" s="51"/>
      <c r="E91" s="53"/>
      <c r="F91" s="54"/>
      <c r="G91" s="54"/>
      <c r="H91" s="51"/>
      <c r="I91" s="55"/>
      <c r="J91" s="56"/>
      <c r="K91" s="46"/>
      <c r="L91" s="46"/>
      <c r="M91" s="47"/>
      <c r="N91" s="46"/>
      <c r="O91" s="57"/>
      <c r="P91" s="46"/>
      <c r="Q91" s="46"/>
      <c r="R91" s="57"/>
      <c r="S91" s="7"/>
      <c r="T91" s="54"/>
      <c r="U91" s="58"/>
      <c r="V91" s="47"/>
      <c r="W91" s="18"/>
      <c r="X91" s="46"/>
      <c r="Y91" s="46"/>
      <c r="Z91" s="46"/>
      <c r="AA91" s="7"/>
      <c r="AB91" s="46"/>
      <c r="AC91" s="46"/>
      <c r="AD91" s="47"/>
      <c r="AE91" s="47"/>
      <c r="AF91" s="7"/>
      <c r="AG91" s="7"/>
      <c r="AH91" s="47"/>
      <c r="AI91" s="47"/>
      <c r="AJ91" s="18"/>
      <c r="AK91" s="26"/>
      <c r="AL91" s="34"/>
      <c r="AM91" s="34"/>
      <c r="AN91" s="18"/>
      <c r="AO91" s="18"/>
      <c r="AP91" s="18"/>
      <c r="AQ91" s="18"/>
      <c r="AR91" s="64" t="str">
        <f>IFERROR(__xludf.DUMMYFUNCTION("""COMPUTED_VALUE"""),"* PMM29 *")</f>
        <v>* PMM29 *</v>
      </c>
      <c r="AS91" s="64">
        <f>IFERROR(__xludf.DUMMYFUNCTION("""COMPUTED_VALUE"""),78460.0)</f>
        <v>78460</v>
      </c>
    </row>
    <row r="92">
      <c r="A92" s="51"/>
      <c r="B92" s="51"/>
      <c r="C92" s="52"/>
      <c r="D92" s="51"/>
      <c r="E92" s="53"/>
      <c r="F92" s="54"/>
      <c r="G92" s="54"/>
      <c r="H92" s="51"/>
      <c r="I92" s="55"/>
      <c r="J92" s="56"/>
      <c r="K92" s="46"/>
      <c r="L92" s="46"/>
      <c r="M92" s="47"/>
      <c r="N92" s="46"/>
      <c r="O92" s="57"/>
      <c r="P92" s="46"/>
      <c r="Q92" s="46"/>
      <c r="R92" s="57"/>
      <c r="S92" s="7"/>
      <c r="T92" s="54"/>
      <c r="U92" s="58"/>
      <c r="V92" s="47"/>
      <c r="W92" s="18"/>
      <c r="X92" s="46"/>
      <c r="Y92" s="46"/>
      <c r="Z92" s="46"/>
      <c r="AA92" s="7"/>
      <c r="AB92" s="46"/>
      <c r="AC92" s="46"/>
      <c r="AD92" s="47"/>
      <c r="AE92" s="47"/>
      <c r="AF92" s="7"/>
      <c r="AG92" s="7"/>
      <c r="AH92" s="47"/>
      <c r="AI92" s="47"/>
      <c r="AJ92" s="18"/>
      <c r="AK92" s="26"/>
      <c r="AL92" s="34"/>
      <c r="AM92" s="34"/>
      <c r="AN92" s="18"/>
      <c r="AO92" s="18"/>
      <c r="AP92" s="18"/>
      <c r="AQ92" s="18"/>
      <c r="AR92" s="64" t="str">
        <f>IFERROR(__xludf.DUMMYFUNCTION("""COMPUTED_VALUE"""),"* PR17 *")</f>
        <v>* PR17 *</v>
      </c>
      <c r="AS92" s="64">
        <f>IFERROR(__xludf.DUMMYFUNCTION("""COMPUTED_VALUE"""),692.1)</f>
        <v>692.1</v>
      </c>
    </row>
    <row r="93">
      <c r="A93" s="51"/>
      <c r="B93" s="51"/>
      <c r="C93" s="52"/>
      <c r="D93" s="51"/>
      <c r="E93" s="53"/>
      <c r="F93" s="54"/>
      <c r="G93" s="54"/>
      <c r="H93" s="51"/>
      <c r="I93" s="55"/>
      <c r="J93" s="56"/>
      <c r="K93" s="46"/>
      <c r="L93" s="46"/>
      <c r="M93" s="47"/>
      <c r="N93" s="46"/>
      <c r="O93" s="57"/>
      <c r="P93" s="46"/>
      <c r="Q93" s="46"/>
      <c r="R93" s="57"/>
      <c r="S93" s="7"/>
      <c r="T93" s="54"/>
      <c r="U93" s="58"/>
      <c r="V93" s="47"/>
      <c r="W93" s="18"/>
      <c r="X93" s="46"/>
      <c r="Y93" s="46"/>
      <c r="Z93" s="46"/>
      <c r="AA93" s="7"/>
      <c r="AB93" s="46"/>
      <c r="AC93" s="46"/>
      <c r="AD93" s="47"/>
      <c r="AE93" s="47"/>
      <c r="AF93" s="7"/>
      <c r="AG93" s="7"/>
      <c r="AH93" s="47"/>
      <c r="AI93" s="47"/>
      <c r="AJ93" s="18"/>
      <c r="AK93" s="26"/>
      <c r="AL93" s="34"/>
      <c r="AM93" s="34"/>
      <c r="AN93" s="18"/>
      <c r="AO93" s="18"/>
      <c r="AP93" s="18"/>
      <c r="AQ93" s="18"/>
      <c r="AR93" s="64" t="str">
        <f>IFERROR(__xludf.DUMMYFUNCTION("""COMPUTED_VALUE"""),"* PUL26 *")</f>
        <v>* PUL26 *</v>
      </c>
      <c r="AS93" s="64">
        <f>IFERROR(__xludf.DUMMYFUNCTION("""COMPUTED_VALUE"""),67840.0)</f>
        <v>67840</v>
      </c>
    </row>
    <row r="94">
      <c r="A94" s="51"/>
      <c r="B94" s="51"/>
      <c r="C94" s="52"/>
      <c r="D94" s="51"/>
      <c r="E94" s="53"/>
      <c r="F94" s="54"/>
      <c r="G94" s="54"/>
      <c r="H94" s="51"/>
      <c r="I94" s="55"/>
      <c r="J94" s="56"/>
      <c r="K94" s="46"/>
      <c r="L94" s="46"/>
      <c r="M94" s="47"/>
      <c r="N94" s="46"/>
      <c r="O94" s="57"/>
      <c r="P94" s="46"/>
      <c r="Q94" s="46"/>
      <c r="R94" s="57"/>
      <c r="S94" s="7"/>
      <c r="T94" s="54"/>
      <c r="U94" s="58"/>
      <c r="V94" s="47"/>
      <c r="W94" s="18"/>
      <c r="X94" s="46"/>
      <c r="Y94" s="46"/>
      <c r="Z94" s="46"/>
      <c r="AA94" s="7"/>
      <c r="AB94" s="46"/>
      <c r="AC94" s="46"/>
      <c r="AD94" s="47"/>
      <c r="AE94" s="47"/>
      <c r="AF94" s="7"/>
      <c r="AG94" s="7"/>
      <c r="AH94" s="47"/>
      <c r="AI94" s="47"/>
      <c r="AJ94" s="18"/>
      <c r="AK94" s="26"/>
      <c r="AL94" s="34"/>
      <c r="AM94" s="34"/>
      <c r="AN94" s="18"/>
      <c r="AO94" s="18"/>
      <c r="AP94" s="18"/>
      <c r="AQ94" s="18"/>
      <c r="AR94" s="64" t="str">
        <f>IFERROR(__xludf.DUMMYFUNCTION("""COMPUTED_VALUE"""),"* S24DD *")</f>
        <v>* S24DD *</v>
      </c>
      <c r="AS94" s="64">
        <f>IFERROR(__xludf.DUMMYFUNCTION("""COMPUTED_VALUE"""),50.5)</f>
        <v>50.5</v>
      </c>
    </row>
    <row r="95">
      <c r="A95" s="51"/>
      <c r="B95" s="51"/>
      <c r="C95" s="52"/>
      <c r="D95" s="51"/>
      <c r="E95" s="53"/>
      <c r="F95" s="54"/>
      <c r="G95" s="54"/>
      <c r="H95" s="51"/>
      <c r="I95" s="55"/>
      <c r="J95" s="56"/>
      <c r="K95" s="46"/>
      <c r="L95" s="46"/>
      <c r="M95" s="47"/>
      <c r="N95" s="46"/>
      <c r="O95" s="57"/>
      <c r="P95" s="46"/>
      <c r="Q95" s="46"/>
      <c r="R95" s="57"/>
      <c r="S95" s="7"/>
      <c r="T95" s="54"/>
      <c r="U95" s="58"/>
      <c r="V95" s="47"/>
      <c r="W95" s="18"/>
      <c r="X95" s="46"/>
      <c r="Y95" s="46"/>
      <c r="Z95" s="46"/>
      <c r="AA95" s="7"/>
      <c r="AB95" s="46"/>
      <c r="AC95" s="46"/>
      <c r="AD95" s="47"/>
      <c r="AE95" s="47"/>
      <c r="AF95" s="7"/>
      <c r="AG95" s="7"/>
      <c r="AH95" s="47"/>
      <c r="AI95" s="47"/>
      <c r="AJ95" s="18"/>
      <c r="AK95" s="26"/>
      <c r="AL95" s="34"/>
      <c r="AM95" s="34"/>
      <c r="AN95" s="18"/>
      <c r="AO95" s="18"/>
      <c r="AP95" s="18"/>
      <c r="AQ95" s="18"/>
      <c r="AR95" s="64" t="str">
        <f>IFERROR(__xludf.DUMMYFUNCTION("""COMPUTED_VALUE"""),"* SA24D *")</f>
        <v>* SA24D *</v>
      </c>
      <c r="AS95" s="64">
        <f>IFERROR(__xludf.DUMMYFUNCTION("""COMPUTED_VALUE"""),74000.0)</f>
        <v>74000</v>
      </c>
    </row>
    <row r="96">
      <c r="A96" s="51"/>
      <c r="B96" s="51"/>
      <c r="C96" s="52"/>
      <c r="D96" s="51"/>
      <c r="E96" s="53"/>
      <c r="F96" s="54"/>
      <c r="G96" s="54"/>
      <c r="H96" s="51"/>
      <c r="I96" s="55"/>
      <c r="J96" s="56"/>
      <c r="K96" s="46"/>
      <c r="L96" s="46"/>
      <c r="M96" s="47"/>
      <c r="N96" s="46"/>
      <c r="O96" s="57"/>
      <c r="P96" s="46"/>
      <c r="Q96" s="46"/>
      <c r="R96" s="57"/>
      <c r="S96" s="7"/>
      <c r="T96" s="54"/>
      <c r="U96" s="58"/>
      <c r="V96" s="47"/>
      <c r="W96" s="18"/>
      <c r="X96" s="46"/>
      <c r="Y96" s="46"/>
      <c r="Z96" s="46"/>
      <c r="AA96" s="7"/>
      <c r="AB96" s="46"/>
      <c r="AC96" s="46"/>
      <c r="AD96" s="47"/>
      <c r="AE96" s="47"/>
      <c r="AF96" s="7"/>
      <c r="AG96" s="7"/>
      <c r="AH96" s="47"/>
      <c r="AI96" s="47"/>
      <c r="AJ96" s="18"/>
      <c r="AK96" s="26"/>
      <c r="AL96" s="34"/>
      <c r="AM96" s="34"/>
      <c r="AN96" s="18"/>
      <c r="AO96" s="18"/>
      <c r="AP96" s="18"/>
      <c r="AQ96" s="18"/>
      <c r="AR96" s="64" t="str">
        <f>IFERROR(__xludf.DUMMYFUNCTION("""COMPUTED_VALUE"""),"* T13F6 *")</f>
        <v>* T13F6 *</v>
      </c>
      <c r="AS96" s="64">
        <f>IFERROR(__xludf.DUMMYFUNCTION("""COMPUTED_VALUE"""),138.06)</f>
        <v>138.06</v>
      </c>
    </row>
    <row r="97">
      <c r="A97" s="51"/>
      <c r="B97" s="51"/>
      <c r="C97" s="52"/>
      <c r="D97" s="51"/>
      <c r="E97" s="53"/>
      <c r="F97" s="54"/>
      <c r="G97" s="54"/>
      <c r="H97" s="51"/>
      <c r="I97" s="55"/>
      <c r="J97" s="56"/>
      <c r="K97" s="46"/>
      <c r="L97" s="46"/>
      <c r="M97" s="47"/>
      <c r="N97" s="46"/>
      <c r="O97" s="57"/>
      <c r="P97" s="46"/>
      <c r="Q97" s="46"/>
      <c r="R97" s="57"/>
      <c r="S97" s="7"/>
      <c r="T97" s="54"/>
      <c r="U97" s="58"/>
      <c r="V97" s="47"/>
      <c r="W97" s="18"/>
      <c r="X97" s="46"/>
      <c r="Y97" s="46"/>
      <c r="Z97" s="46"/>
      <c r="AA97" s="7"/>
      <c r="AB97" s="46"/>
      <c r="AC97" s="46"/>
      <c r="AD97" s="47"/>
      <c r="AE97" s="47"/>
      <c r="AF97" s="7"/>
      <c r="AG97" s="7"/>
      <c r="AH97" s="47"/>
      <c r="AI97" s="47"/>
      <c r="AJ97" s="18"/>
      <c r="AK97" s="26"/>
      <c r="AL97" s="34"/>
      <c r="AM97" s="34"/>
      <c r="AN97" s="18"/>
      <c r="AO97" s="18"/>
      <c r="AP97" s="18"/>
      <c r="AQ97" s="18"/>
      <c r="AR97" s="64" t="str">
        <f>IFERROR(__xludf.DUMMYFUNCTION("""COMPUTED_VALUE"""),"* T15D5 *")</f>
        <v>* T15D5 *</v>
      </c>
      <c r="AS97" s="64">
        <f>IFERROR(__xludf.DUMMYFUNCTION("""COMPUTED_VALUE"""),170.25)</f>
        <v>170.25</v>
      </c>
    </row>
    <row r="98">
      <c r="A98" s="51"/>
      <c r="B98" s="51"/>
      <c r="C98" s="52"/>
      <c r="D98" s="51"/>
      <c r="E98" s="53"/>
      <c r="F98" s="54"/>
      <c r="G98" s="54"/>
      <c r="H98" s="51"/>
      <c r="I98" s="55"/>
      <c r="J98" s="56"/>
      <c r="K98" s="46"/>
      <c r="L98" s="46"/>
      <c r="M98" s="47"/>
      <c r="N98" s="46"/>
      <c r="O98" s="57"/>
      <c r="P98" s="46"/>
      <c r="Q98" s="46"/>
      <c r="R98" s="57"/>
      <c r="S98" s="7"/>
      <c r="T98" s="54"/>
      <c r="U98" s="58"/>
      <c r="V98" s="47"/>
      <c r="W98" s="18"/>
      <c r="X98" s="46"/>
      <c r="Y98" s="46"/>
      <c r="Z98" s="46"/>
      <c r="AA98" s="7"/>
      <c r="AB98" s="46"/>
      <c r="AC98" s="46"/>
      <c r="AD98" s="47"/>
      <c r="AE98" s="47"/>
      <c r="AF98" s="7"/>
      <c r="AG98" s="7"/>
      <c r="AH98" s="47"/>
      <c r="AI98" s="47"/>
      <c r="AJ98" s="18"/>
      <c r="AK98" s="26"/>
      <c r="AL98" s="34"/>
      <c r="AM98" s="34"/>
      <c r="AN98" s="18"/>
      <c r="AO98" s="18"/>
      <c r="AP98" s="18"/>
      <c r="AQ98" s="18"/>
      <c r="AR98" s="64" t="str">
        <f>IFERROR(__xludf.DUMMYFUNCTION("""COMPUTED_VALUE"""),"* T15E7 *")</f>
        <v>* T15E7 *</v>
      </c>
      <c r="AS98" s="64">
        <f>IFERROR(__xludf.DUMMYFUNCTION("""COMPUTED_VALUE"""),119.15)</f>
        <v>119.15</v>
      </c>
    </row>
    <row r="99">
      <c r="A99" s="51"/>
      <c r="B99" s="51"/>
      <c r="C99" s="52"/>
      <c r="D99" s="51"/>
      <c r="E99" s="53"/>
      <c r="F99" s="54"/>
      <c r="G99" s="54"/>
      <c r="H99" s="51"/>
      <c r="I99" s="55"/>
      <c r="J99" s="56"/>
      <c r="K99" s="46"/>
      <c r="L99" s="46"/>
      <c r="M99" s="47"/>
      <c r="N99" s="46"/>
      <c r="O99" s="57"/>
      <c r="P99" s="46"/>
      <c r="Q99" s="46"/>
      <c r="R99" s="57"/>
      <c r="S99" s="7"/>
      <c r="T99" s="54"/>
      <c r="U99" s="58"/>
      <c r="V99" s="47"/>
      <c r="W99" s="18"/>
      <c r="X99" s="46"/>
      <c r="Y99" s="46"/>
      <c r="Z99" s="46"/>
      <c r="AA99" s="7"/>
      <c r="AB99" s="46"/>
      <c r="AC99" s="46"/>
      <c r="AD99" s="47"/>
      <c r="AE99" s="47"/>
      <c r="AF99" s="7"/>
      <c r="AG99" s="7"/>
      <c r="AH99" s="47"/>
      <c r="AI99" s="47"/>
      <c r="AJ99" s="18"/>
      <c r="AK99" s="26"/>
      <c r="AL99" s="34"/>
      <c r="AM99" s="34"/>
      <c r="AN99" s="18"/>
      <c r="AO99" s="18"/>
      <c r="AP99" s="18"/>
      <c r="AQ99" s="18"/>
      <c r="AR99" s="64" t="str">
        <f>IFERROR(__xludf.DUMMYFUNCTION("""COMPUTED_VALUE"""),"* T30A7 *")</f>
        <v>* T30A7 *</v>
      </c>
      <c r="AS99" s="64">
        <f>IFERROR(__xludf.DUMMYFUNCTION("""COMPUTED_VALUE"""),105.6)</f>
        <v>105.6</v>
      </c>
    </row>
    <row r="100">
      <c r="A100" s="51"/>
      <c r="B100" s="51"/>
      <c r="C100" s="52"/>
      <c r="D100" s="51"/>
      <c r="E100" s="53"/>
      <c r="F100" s="54"/>
      <c r="G100" s="54"/>
      <c r="H100" s="51"/>
      <c r="I100" s="55"/>
      <c r="J100" s="56"/>
      <c r="K100" s="46"/>
      <c r="L100" s="46"/>
      <c r="M100" s="47"/>
      <c r="N100" s="46"/>
      <c r="O100" s="57"/>
      <c r="P100" s="46"/>
      <c r="Q100" s="46"/>
      <c r="R100" s="57"/>
      <c r="S100" s="7"/>
      <c r="T100" s="54"/>
      <c r="U100" s="58"/>
      <c r="V100" s="47"/>
      <c r="W100" s="18"/>
      <c r="X100" s="46"/>
      <c r="Y100" s="46"/>
      <c r="Z100" s="46"/>
      <c r="AA100" s="7"/>
      <c r="AB100" s="46"/>
      <c r="AC100" s="46"/>
      <c r="AD100" s="47"/>
      <c r="AE100" s="47"/>
      <c r="AF100" s="7"/>
      <c r="AG100" s="7"/>
      <c r="AH100" s="47"/>
      <c r="AI100" s="47"/>
      <c r="AJ100" s="18"/>
      <c r="AK100" s="26"/>
      <c r="AL100" s="34"/>
      <c r="AM100" s="34"/>
      <c r="AN100" s="18"/>
      <c r="AO100" s="18"/>
      <c r="AP100" s="18"/>
      <c r="AQ100" s="18"/>
      <c r="AR100" s="64" t="str">
        <f>IFERROR(__xludf.DUMMYFUNCTION("""COMPUTED_VALUE"""),"* T30E6 *")</f>
        <v>* T30E6 *</v>
      </c>
      <c r="AS100" s="64">
        <f>IFERROR(__xludf.DUMMYFUNCTION("""COMPUTED_VALUE"""),137.24)</f>
        <v>137.24</v>
      </c>
    </row>
    <row r="101">
      <c r="A101" s="51"/>
      <c r="B101" s="51"/>
      <c r="C101" s="52"/>
      <c r="D101" s="51"/>
      <c r="E101" s="53"/>
      <c r="F101" s="54"/>
      <c r="G101" s="54"/>
      <c r="H101" s="51"/>
      <c r="I101" s="55"/>
      <c r="J101" s="56"/>
      <c r="K101" s="46"/>
      <c r="L101" s="46"/>
      <c r="M101" s="47"/>
      <c r="N101" s="46"/>
      <c r="O101" s="57"/>
      <c r="P101" s="46"/>
      <c r="Q101" s="46"/>
      <c r="R101" s="57"/>
      <c r="S101" s="7"/>
      <c r="T101" s="54"/>
      <c r="U101" s="58"/>
      <c r="V101" s="47"/>
      <c r="W101" s="18"/>
      <c r="X101" s="46"/>
      <c r="Y101" s="46"/>
      <c r="Z101" s="46"/>
      <c r="AA101" s="7"/>
      <c r="AB101" s="46"/>
      <c r="AC101" s="46"/>
      <c r="AD101" s="47"/>
      <c r="AE101" s="47"/>
      <c r="AF101" s="7"/>
      <c r="AG101" s="7"/>
      <c r="AH101" s="47"/>
      <c r="AI101" s="47"/>
      <c r="AJ101" s="18"/>
      <c r="AK101" s="26"/>
      <c r="AL101" s="34"/>
      <c r="AM101" s="34"/>
      <c r="AN101" s="18"/>
      <c r="AO101" s="18"/>
      <c r="AP101" s="18"/>
      <c r="AQ101" s="18"/>
      <c r="AR101" s="64" t="str">
        <f>IFERROR(__xludf.DUMMYFUNCTION("""COMPUTED_VALUE"""),"* T30J6 *")</f>
        <v>* T30J6 *</v>
      </c>
      <c r="AS101" s="64">
        <f>IFERROR(__xludf.DUMMYFUNCTION("""COMPUTED_VALUE"""),124.4)</f>
        <v>124.4</v>
      </c>
    </row>
    <row r="102">
      <c r="A102" s="51"/>
      <c r="B102" s="51"/>
      <c r="C102" s="52"/>
      <c r="D102" s="51"/>
      <c r="E102" s="53"/>
      <c r="F102" s="54"/>
      <c r="G102" s="54"/>
      <c r="H102" s="51"/>
      <c r="I102" s="55"/>
      <c r="J102" s="56"/>
      <c r="K102" s="46"/>
      <c r="L102" s="46"/>
      <c r="M102" s="47"/>
      <c r="N102" s="46"/>
      <c r="O102" s="57"/>
      <c r="P102" s="46"/>
      <c r="Q102" s="46"/>
      <c r="R102" s="57"/>
      <c r="S102" s="7"/>
      <c r="T102" s="54"/>
      <c r="U102" s="58"/>
      <c r="V102" s="47"/>
      <c r="W102" s="18"/>
      <c r="X102" s="46"/>
      <c r="Y102" s="46"/>
      <c r="Z102" s="46"/>
      <c r="AA102" s="7"/>
      <c r="AB102" s="46"/>
      <c r="AC102" s="46"/>
      <c r="AD102" s="47"/>
      <c r="AE102" s="47"/>
      <c r="AF102" s="7"/>
      <c r="AG102" s="7"/>
      <c r="AH102" s="47"/>
      <c r="AI102" s="47"/>
      <c r="AJ102" s="18"/>
      <c r="AK102" s="26"/>
      <c r="AL102" s="34"/>
      <c r="AM102" s="34"/>
      <c r="AN102" s="18"/>
      <c r="AO102" s="18"/>
      <c r="AP102" s="18"/>
      <c r="AQ102" s="18"/>
      <c r="AR102" s="64" t="str">
        <f>IFERROR(__xludf.DUMMYFUNCTION("""COMPUTED_VALUE"""),"* TB27D *")</f>
        <v>* TB27D *</v>
      </c>
      <c r="AS102" s="64">
        <f>IFERROR(__xludf.DUMMYFUNCTION("""COMPUTED_VALUE"""),100.0)</f>
        <v>100</v>
      </c>
    </row>
    <row r="103">
      <c r="A103" s="51"/>
      <c r="B103" s="51"/>
      <c r="C103" s="52"/>
      <c r="D103" s="51"/>
      <c r="E103" s="53"/>
      <c r="F103" s="54"/>
      <c r="G103" s="54"/>
      <c r="H103" s="51"/>
      <c r="I103" s="55"/>
      <c r="J103" s="56"/>
      <c r="K103" s="46"/>
      <c r="L103" s="46"/>
      <c r="M103" s="47"/>
      <c r="N103" s="46"/>
      <c r="O103" s="57"/>
      <c r="P103" s="46"/>
      <c r="Q103" s="46"/>
      <c r="R103" s="57"/>
      <c r="S103" s="7"/>
      <c r="T103" s="54"/>
      <c r="U103" s="58"/>
      <c r="V103" s="47"/>
      <c r="W103" s="18"/>
      <c r="X103" s="46"/>
      <c r="Y103" s="46"/>
      <c r="Z103" s="46"/>
      <c r="AA103" s="7"/>
      <c r="AB103" s="46"/>
      <c r="AC103" s="46"/>
      <c r="AD103" s="47"/>
      <c r="AE103" s="47"/>
      <c r="AF103" s="7"/>
      <c r="AG103" s="7"/>
      <c r="AH103" s="47"/>
      <c r="AI103" s="47"/>
      <c r="AJ103" s="18"/>
      <c r="AK103" s="26"/>
      <c r="AL103" s="34"/>
      <c r="AM103" s="34"/>
      <c r="AN103" s="18"/>
      <c r="AO103" s="18"/>
      <c r="AP103" s="18"/>
      <c r="AQ103" s="18"/>
      <c r="AR103" s="64" t="str">
        <f>IFERROR(__xludf.DUMMYFUNCTION("""COMPUTED_VALUE"""),"* TD5C *")</f>
        <v>* TD5C *</v>
      </c>
      <c r="AS103" s="64">
        <f>IFERROR(__xludf.DUMMYFUNCTION("""COMPUTED_VALUE"""),0.1)</f>
        <v>0.1</v>
      </c>
    </row>
    <row r="104">
      <c r="A104" s="51"/>
      <c r="B104" s="51"/>
      <c r="C104" s="52"/>
      <c r="D104" s="51"/>
      <c r="E104" s="53"/>
      <c r="F104" s="54"/>
      <c r="G104" s="54"/>
      <c r="H104" s="51"/>
      <c r="I104" s="55"/>
      <c r="J104" s="56"/>
      <c r="K104" s="46"/>
      <c r="L104" s="46"/>
      <c r="M104" s="47"/>
      <c r="N104" s="46"/>
      <c r="O104" s="57"/>
      <c r="P104" s="46"/>
      <c r="Q104" s="46"/>
      <c r="R104" s="57"/>
      <c r="S104" s="7"/>
      <c r="T104" s="54"/>
      <c r="U104" s="58"/>
      <c r="V104" s="47"/>
      <c r="W104" s="18"/>
      <c r="X104" s="46"/>
      <c r="Y104" s="46"/>
      <c r="Z104" s="46"/>
      <c r="AA104" s="7"/>
      <c r="AB104" s="46"/>
      <c r="AC104" s="46"/>
      <c r="AD104" s="47"/>
      <c r="AE104" s="47"/>
      <c r="AF104" s="7"/>
      <c r="AG104" s="7"/>
      <c r="AH104" s="47"/>
      <c r="AI104" s="47"/>
      <c r="AJ104" s="18"/>
      <c r="AK104" s="26"/>
      <c r="AL104" s="34"/>
      <c r="AM104" s="34"/>
      <c r="AN104" s="18"/>
      <c r="AO104" s="18"/>
      <c r="AP104" s="18"/>
      <c r="AQ104" s="18"/>
      <c r="AR104" s="64" t="str">
        <f>IFERROR(__xludf.DUMMYFUNCTION("""COMPUTED_VALUE"""),"* TD5D *")</f>
        <v>* TD5D *</v>
      </c>
      <c r="AS104" s="64">
        <f>IFERROR(__xludf.DUMMYFUNCTION("""COMPUTED_VALUE"""),0.12)</f>
        <v>0.12</v>
      </c>
    </row>
    <row r="105">
      <c r="A105" s="51"/>
      <c r="B105" s="51"/>
      <c r="C105" s="52"/>
      <c r="D105" s="51"/>
      <c r="E105" s="53"/>
      <c r="F105" s="54"/>
      <c r="G105" s="54"/>
      <c r="H105" s="51"/>
      <c r="I105" s="55"/>
      <c r="J105" s="56"/>
      <c r="K105" s="46"/>
      <c r="L105" s="46"/>
      <c r="M105" s="47"/>
      <c r="N105" s="46"/>
      <c r="O105" s="57"/>
      <c r="P105" s="46"/>
      <c r="Q105" s="46"/>
      <c r="R105" s="57"/>
      <c r="S105" s="7"/>
      <c r="T105" s="54"/>
      <c r="U105" s="58"/>
      <c r="V105" s="47"/>
      <c r="W105" s="18"/>
      <c r="X105" s="46"/>
      <c r="Y105" s="46"/>
      <c r="Z105" s="46"/>
      <c r="AA105" s="7"/>
      <c r="AB105" s="46"/>
      <c r="AC105" s="46"/>
      <c r="AD105" s="47"/>
      <c r="AE105" s="47"/>
      <c r="AF105" s="7"/>
      <c r="AG105" s="7"/>
      <c r="AH105" s="47"/>
      <c r="AI105" s="47"/>
      <c r="AJ105" s="18"/>
      <c r="AK105" s="26"/>
      <c r="AL105" s="34"/>
      <c r="AM105" s="34"/>
      <c r="AN105" s="18"/>
      <c r="AO105" s="18"/>
      <c r="AP105" s="18"/>
      <c r="AQ105" s="18"/>
      <c r="AR105" s="64" t="str">
        <f>IFERROR(__xludf.DUMMYFUNCTION("""COMPUTED_VALUE"""),"* TF6D *")</f>
        <v>* TF6D *</v>
      </c>
      <c r="AS105" s="64">
        <f>IFERROR(__xludf.DUMMYFUNCTION("""COMPUTED_VALUE"""),0.1)</f>
        <v>0.1</v>
      </c>
    </row>
    <row r="106">
      <c r="A106" s="51"/>
      <c r="B106" s="51"/>
      <c r="C106" s="52"/>
      <c r="D106" s="51"/>
      <c r="E106" s="53"/>
      <c r="F106" s="54"/>
      <c r="G106" s="54"/>
      <c r="H106" s="51"/>
      <c r="I106" s="55"/>
      <c r="J106" s="56"/>
      <c r="K106" s="46"/>
      <c r="L106" s="46"/>
      <c r="M106" s="47"/>
      <c r="N106" s="46"/>
      <c r="O106" s="57"/>
      <c r="P106" s="46"/>
      <c r="Q106" s="46"/>
      <c r="R106" s="57"/>
      <c r="S106" s="7"/>
      <c r="T106" s="54"/>
      <c r="U106" s="58"/>
      <c r="V106" s="47"/>
      <c r="W106" s="18"/>
      <c r="X106" s="46"/>
      <c r="Y106" s="46"/>
      <c r="Z106" s="46"/>
      <c r="AA106" s="7"/>
      <c r="AB106" s="46"/>
      <c r="AC106" s="46"/>
      <c r="AD106" s="47"/>
      <c r="AE106" s="47"/>
      <c r="AF106" s="7"/>
      <c r="AG106" s="7"/>
      <c r="AH106" s="47"/>
      <c r="AI106" s="47"/>
      <c r="AJ106" s="18"/>
      <c r="AK106" s="26"/>
      <c r="AL106" s="34"/>
      <c r="AM106" s="34"/>
      <c r="AN106" s="18"/>
      <c r="AO106" s="18"/>
      <c r="AP106" s="18"/>
      <c r="AQ106" s="18"/>
      <c r="AR106" s="64" t="str">
        <f>IFERROR(__xludf.DUMMYFUNCTION("""COMPUTED_VALUE"""),"* TFU27 *")</f>
        <v>* TFU27 *</v>
      </c>
      <c r="AS106" s="64">
        <f>IFERROR(__xludf.DUMMYFUNCTION("""COMPUTED_VALUE"""),61000.0)</f>
        <v>61000</v>
      </c>
    </row>
    <row r="107">
      <c r="A107" s="51"/>
      <c r="B107" s="51"/>
      <c r="C107" s="52"/>
      <c r="D107" s="51"/>
      <c r="E107" s="53"/>
      <c r="F107" s="54"/>
      <c r="G107" s="54"/>
      <c r="H107" s="51"/>
      <c r="I107" s="55"/>
      <c r="J107" s="56"/>
      <c r="K107" s="46"/>
      <c r="L107" s="46"/>
      <c r="M107" s="47"/>
      <c r="N107" s="46"/>
      <c r="O107" s="57"/>
      <c r="P107" s="46"/>
      <c r="Q107" s="46"/>
      <c r="R107" s="57"/>
      <c r="S107" s="7"/>
      <c r="T107" s="54"/>
      <c r="U107" s="58"/>
      <c r="V107" s="47"/>
      <c r="W107" s="18"/>
      <c r="X107" s="46"/>
      <c r="Y107" s="46"/>
      <c r="Z107" s="46"/>
      <c r="AA107" s="7"/>
      <c r="AB107" s="46"/>
      <c r="AC107" s="46"/>
      <c r="AD107" s="47"/>
      <c r="AE107" s="47"/>
      <c r="AF107" s="7"/>
      <c r="AG107" s="7"/>
      <c r="AH107" s="47"/>
      <c r="AI107" s="47"/>
      <c r="AJ107" s="18"/>
      <c r="AK107" s="26"/>
      <c r="AL107" s="34"/>
      <c r="AM107" s="34"/>
      <c r="AN107" s="18"/>
      <c r="AO107" s="18"/>
      <c r="AP107" s="18"/>
      <c r="AQ107" s="18"/>
      <c r="AR107" s="64" t="str">
        <f>IFERROR(__xludf.DUMMYFUNCTION("""COMPUTED_VALUE"""),"* TO26 *")</f>
        <v>* TO26 *</v>
      </c>
      <c r="AS107" s="64">
        <f>IFERROR(__xludf.DUMMYFUNCTION("""COMPUTED_VALUE"""),91.9)</f>
        <v>91.9</v>
      </c>
    </row>
    <row r="108">
      <c r="A108" s="51"/>
      <c r="B108" s="51"/>
      <c r="C108" s="52"/>
      <c r="D108" s="51"/>
      <c r="E108" s="53"/>
      <c r="F108" s="54"/>
      <c r="G108" s="54"/>
      <c r="H108" s="51"/>
      <c r="I108" s="55"/>
      <c r="J108" s="56"/>
      <c r="K108" s="46"/>
      <c r="L108" s="46"/>
      <c r="M108" s="47"/>
      <c r="N108" s="46"/>
      <c r="O108" s="57"/>
      <c r="P108" s="46"/>
      <c r="Q108" s="46"/>
      <c r="R108" s="57"/>
      <c r="S108" s="7"/>
      <c r="T108" s="54"/>
      <c r="U108" s="58"/>
      <c r="V108" s="47"/>
      <c r="W108" s="18"/>
      <c r="X108" s="46"/>
      <c r="Y108" s="46"/>
      <c r="Z108" s="46"/>
      <c r="AA108" s="7"/>
      <c r="AB108" s="46"/>
      <c r="AC108" s="46"/>
      <c r="AD108" s="47"/>
      <c r="AE108" s="47"/>
      <c r="AF108" s="7"/>
      <c r="AG108" s="7"/>
      <c r="AH108" s="47"/>
      <c r="AI108" s="47"/>
      <c r="AJ108" s="18"/>
      <c r="AK108" s="26"/>
      <c r="AL108" s="34"/>
      <c r="AM108" s="34"/>
      <c r="AN108" s="18"/>
      <c r="AO108" s="18"/>
      <c r="AP108" s="18"/>
      <c r="AQ108" s="18"/>
      <c r="AR108" s="64" t="str">
        <f>IFERROR(__xludf.DUMMYFUNCTION("""COMPUTED_VALUE"""),"* TTD26 *")</f>
        <v>* TTD26 *</v>
      </c>
      <c r="AS108" s="64">
        <f>IFERROR(__xludf.DUMMYFUNCTION("""COMPUTED_VALUE"""),132.65)</f>
        <v>132.65</v>
      </c>
    </row>
    <row r="109">
      <c r="A109" s="51"/>
      <c r="B109" s="51"/>
      <c r="C109" s="52"/>
      <c r="D109" s="51"/>
      <c r="E109" s="53"/>
      <c r="F109" s="54"/>
      <c r="G109" s="54"/>
      <c r="H109" s="51"/>
      <c r="I109" s="55"/>
      <c r="J109" s="56"/>
      <c r="K109" s="46"/>
      <c r="L109" s="46"/>
      <c r="M109" s="47"/>
      <c r="N109" s="46"/>
      <c r="O109" s="57"/>
      <c r="P109" s="46"/>
      <c r="Q109" s="46"/>
      <c r="R109" s="57"/>
      <c r="S109" s="7"/>
      <c r="T109" s="54"/>
      <c r="U109" s="58"/>
      <c r="V109" s="47"/>
      <c r="W109" s="18"/>
      <c r="X109" s="46"/>
      <c r="Y109" s="46"/>
      <c r="Z109" s="46"/>
      <c r="AA109" s="7"/>
      <c r="AB109" s="46"/>
      <c r="AC109" s="46"/>
      <c r="AD109" s="47"/>
      <c r="AE109" s="47"/>
      <c r="AF109" s="7"/>
      <c r="AG109" s="7"/>
      <c r="AH109" s="47"/>
      <c r="AI109" s="47"/>
      <c r="AJ109" s="18"/>
      <c r="AK109" s="26"/>
      <c r="AL109" s="34"/>
      <c r="AM109" s="34"/>
      <c r="AN109" s="18"/>
      <c r="AO109" s="18"/>
      <c r="AP109" s="18"/>
      <c r="AQ109" s="18"/>
      <c r="AR109" s="64" t="str">
        <f>IFERROR(__xludf.DUMMYFUNCTION("""COMPUTED_VALUE"""),"* TTD6C *")</f>
        <v>* TTD6C *</v>
      </c>
      <c r="AS109" s="64">
        <f>IFERROR(__xludf.DUMMYFUNCTION("""COMPUTED_VALUE"""),0.09)</f>
        <v>0.09</v>
      </c>
    </row>
    <row r="110">
      <c r="A110" s="51"/>
      <c r="B110" s="51"/>
      <c r="C110" s="52"/>
      <c r="D110" s="51"/>
      <c r="E110" s="53"/>
      <c r="F110" s="54"/>
      <c r="G110" s="54"/>
      <c r="H110" s="51"/>
      <c r="I110" s="55"/>
      <c r="J110" s="56"/>
      <c r="K110" s="46"/>
      <c r="L110" s="46"/>
      <c r="M110" s="47"/>
      <c r="N110" s="46"/>
      <c r="O110" s="57"/>
      <c r="P110" s="46"/>
      <c r="Q110" s="46"/>
      <c r="R110" s="57"/>
      <c r="S110" s="7"/>
      <c r="T110" s="54"/>
      <c r="U110" s="58"/>
      <c r="V110" s="47"/>
      <c r="W110" s="18"/>
      <c r="X110" s="46"/>
      <c r="Y110" s="46"/>
      <c r="Z110" s="46"/>
      <c r="AA110" s="7"/>
      <c r="AB110" s="46"/>
      <c r="AC110" s="46"/>
      <c r="AD110" s="47"/>
      <c r="AE110" s="47"/>
      <c r="AF110" s="7"/>
      <c r="AG110" s="7"/>
      <c r="AH110" s="47"/>
      <c r="AI110" s="47"/>
      <c r="AJ110" s="18"/>
      <c r="AK110" s="26"/>
      <c r="AL110" s="34"/>
      <c r="AM110" s="34"/>
      <c r="AN110" s="18"/>
      <c r="AO110" s="18"/>
      <c r="AP110" s="18"/>
      <c r="AQ110" s="18"/>
      <c r="AR110" s="64" t="str">
        <f>IFERROR(__xludf.DUMMYFUNCTION("""COMPUTED_VALUE"""),"* TTD6D *")</f>
        <v>* TTD6D *</v>
      </c>
      <c r="AS110" s="64">
        <f>IFERROR(__xludf.DUMMYFUNCTION("""COMPUTED_VALUE"""),0.09)</f>
        <v>0.09</v>
      </c>
    </row>
    <row r="111">
      <c r="A111" s="51"/>
      <c r="B111" s="51"/>
      <c r="C111" s="52"/>
      <c r="D111" s="51"/>
      <c r="E111" s="53"/>
      <c r="F111" s="54"/>
      <c r="G111" s="54"/>
      <c r="H111" s="51"/>
      <c r="I111" s="55"/>
      <c r="J111" s="56"/>
      <c r="K111" s="46"/>
      <c r="L111" s="46"/>
      <c r="M111" s="47"/>
      <c r="N111" s="46"/>
      <c r="O111" s="57"/>
      <c r="P111" s="46"/>
      <c r="Q111" s="46"/>
      <c r="R111" s="57"/>
      <c r="S111" s="7"/>
      <c r="T111" s="54"/>
      <c r="U111" s="58"/>
      <c r="V111" s="47"/>
      <c r="W111" s="18"/>
      <c r="X111" s="46"/>
      <c r="Y111" s="46"/>
      <c r="Z111" s="46"/>
      <c r="AA111" s="7"/>
      <c r="AB111" s="46"/>
      <c r="AC111" s="46"/>
      <c r="AD111" s="47"/>
      <c r="AE111" s="47"/>
      <c r="AF111" s="7"/>
      <c r="AG111" s="7"/>
      <c r="AH111" s="47"/>
      <c r="AI111" s="47"/>
      <c r="AJ111" s="18"/>
      <c r="AK111" s="26"/>
      <c r="AL111" s="34"/>
      <c r="AM111" s="34"/>
      <c r="AN111" s="18"/>
      <c r="AO111" s="18"/>
      <c r="AP111" s="18"/>
      <c r="AQ111" s="18"/>
      <c r="AR111" s="64" t="str">
        <f>IFERROR(__xludf.DUMMYFUNCTION("""COMPUTED_VALUE"""),"* TTJ26 *")</f>
        <v>* TTJ26 *</v>
      </c>
      <c r="AS111" s="64">
        <f>IFERROR(__xludf.DUMMYFUNCTION("""COMPUTED_VALUE"""),136.3)</f>
        <v>136.3</v>
      </c>
    </row>
    <row r="112">
      <c r="A112" s="51"/>
      <c r="B112" s="51"/>
      <c r="C112" s="52"/>
      <c r="D112" s="51"/>
      <c r="E112" s="53"/>
      <c r="F112" s="54"/>
      <c r="G112" s="54"/>
      <c r="H112" s="51"/>
      <c r="I112" s="55"/>
      <c r="J112" s="56"/>
      <c r="K112" s="46"/>
      <c r="L112" s="46"/>
      <c r="M112" s="47"/>
      <c r="N112" s="46"/>
      <c r="O112" s="57"/>
      <c r="P112" s="46"/>
      <c r="Q112" s="46"/>
      <c r="R112" s="57"/>
      <c r="S112" s="7"/>
      <c r="T112" s="54"/>
      <c r="U112" s="58"/>
      <c r="V112" s="47"/>
      <c r="W112" s="18"/>
      <c r="X112" s="46"/>
      <c r="Y112" s="46"/>
      <c r="Z112" s="46"/>
      <c r="AA112" s="7"/>
      <c r="AB112" s="46"/>
      <c r="AC112" s="46"/>
      <c r="AD112" s="47"/>
      <c r="AE112" s="47"/>
      <c r="AF112" s="7"/>
      <c r="AG112" s="7"/>
      <c r="AH112" s="47"/>
      <c r="AI112" s="47"/>
      <c r="AJ112" s="18"/>
      <c r="AK112" s="26"/>
      <c r="AL112" s="34"/>
      <c r="AM112" s="34"/>
      <c r="AN112" s="18"/>
      <c r="AO112" s="18"/>
      <c r="AP112" s="18"/>
      <c r="AQ112" s="18"/>
      <c r="AR112" s="64" t="str">
        <f>IFERROR(__xludf.DUMMYFUNCTION("""COMPUTED_VALUE"""),"* TTM26 *")</f>
        <v>* TTM26 *</v>
      </c>
      <c r="AS112" s="64">
        <f>IFERROR(__xludf.DUMMYFUNCTION("""COMPUTED_VALUE"""),138.35)</f>
        <v>138.35</v>
      </c>
    </row>
    <row r="113">
      <c r="A113" s="51"/>
      <c r="B113" s="51"/>
      <c r="C113" s="52"/>
      <c r="D113" s="51"/>
      <c r="E113" s="53"/>
      <c r="F113" s="54"/>
      <c r="G113" s="54"/>
      <c r="H113" s="51"/>
      <c r="I113" s="55"/>
      <c r="J113" s="56"/>
      <c r="K113" s="46"/>
      <c r="L113" s="46"/>
      <c r="M113" s="47"/>
      <c r="N113" s="46"/>
      <c r="O113" s="57"/>
      <c r="P113" s="46"/>
      <c r="Q113" s="46"/>
      <c r="R113" s="57"/>
      <c r="S113" s="7"/>
      <c r="T113" s="54"/>
      <c r="U113" s="58"/>
      <c r="V113" s="47"/>
      <c r="W113" s="18"/>
      <c r="X113" s="46"/>
      <c r="Y113" s="46"/>
      <c r="Z113" s="46"/>
      <c r="AA113" s="7"/>
      <c r="AB113" s="46"/>
      <c r="AC113" s="46"/>
      <c r="AD113" s="47"/>
      <c r="AE113" s="47"/>
      <c r="AF113" s="7"/>
      <c r="AG113" s="7"/>
      <c r="AH113" s="47"/>
      <c r="AI113" s="47"/>
      <c r="AJ113" s="18"/>
      <c r="AK113" s="26"/>
      <c r="AL113" s="34"/>
      <c r="AM113" s="34"/>
      <c r="AN113" s="18"/>
      <c r="AO113" s="18"/>
      <c r="AP113" s="18"/>
      <c r="AQ113" s="18"/>
      <c r="AR113" s="64" t="str">
        <f>IFERROR(__xludf.DUMMYFUNCTION("""COMPUTED_VALUE"""),"* TTM6D *")</f>
        <v>* TTM6D *</v>
      </c>
      <c r="AS113" s="64">
        <f>IFERROR(__xludf.DUMMYFUNCTION("""COMPUTED_VALUE"""),0.09)</f>
        <v>0.09</v>
      </c>
    </row>
    <row r="114">
      <c r="A114" s="51"/>
      <c r="B114" s="51"/>
      <c r="C114" s="52"/>
      <c r="D114" s="51"/>
      <c r="E114" s="53"/>
      <c r="F114" s="54"/>
      <c r="G114" s="54"/>
      <c r="H114" s="51"/>
      <c r="I114" s="55"/>
      <c r="J114" s="56"/>
      <c r="K114" s="46"/>
      <c r="L114" s="46"/>
      <c r="M114" s="47"/>
      <c r="N114" s="46"/>
      <c r="O114" s="57"/>
      <c r="P114" s="46"/>
      <c r="Q114" s="46"/>
      <c r="R114" s="57"/>
      <c r="S114" s="7"/>
      <c r="T114" s="54"/>
      <c r="U114" s="58"/>
      <c r="V114" s="47"/>
      <c r="W114" s="18"/>
      <c r="X114" s="46"/>
      <c r="Y114" s="46"/>
      <c r="Z114" s="46"/>
      <c r="AA114" s="7"/>
      <c r="AB114" s="46"/>
      <c r="AC114" s="46"/>
      <c r="AD114" s="47"/>
      <c r="AE114" s="47"/>
      <c r="AF114" s="7"/>
      <c r="AG114" s="7"/>
      <c r="AH114" s="47"/>
      <c r="AI114" s="47"/>
      <c r="AJ114" s="18"/>
      <c r="AK114" s="26"/>
      <c r="AL114" s="34"/>
      <c r="AM114" s="34"/>
      <c r="AN114" s="18"/>
      <c r="AO114" s="18"/>
      <c r="AP114" s="18"/>
      <c r="AQ114" s="18"/>
      <c r="AR114" s="64" t="str">
        <f>IFERROR(__xludf.DUMMYFUNCTION("""COMPUTED_VALUE"""),"* TTS26 *")</f>
        <v>* TTS26 *</v>
      </c>
      <c r="AS114" s="64">
        <f>IFERROR(__xludf.DUMMYFUNCTION("""COMPUTED_VALUE"""),134.1)</f>
        <v>134.1</v>
      </c>
    </row>
    <row r="115">
      <c r="A115" s="51"/>
      <c r="B115" s="51"/>
      <c r="C115" s="52"/>
      <c r="D115" s="51"/>
      <c r="E115" s="53"/>
      <c r="F115" s="54"/>
      <c r="G115" s="54"/>
      <c r="H115" s="51"/>
      <c r="I115" s="55"/>
      <c r="J115" s="56"/>
      <c r="K115" s="46"/>
      <c r="L115" s="46"/>
      <c r="M115" s="47"/>
      <c r="N115" s="46"/>
      <c r="O115" s="57"/>
      <c r="P115" s="46"/>
      <c r="Q115" s="46"/>
      <c r="R115" s="57"/>
      <c r="S115" s="7"/>
      <c r="T115" s="54"/>
      <c r="U115" s="58"/>
      <c r="V115" s="47"/>
      <c r="W115" s="18"/>
      <c r="X115" s="46"/>
      <c r="Y115" s="46"/>
      <c r="Z115" s="46"/>
      <c r="AA115" s="7"/>
      <c r="AB115" s="46"/>
      <c r="AC115" s="46"/>
      <c r="AD115" s="47"/>
      <c r="AE115" s="47"/>
      <c r="AF115" s="7"/>
      <c r="AG115" s="7"/>
      <c r="AH115" s="47"/>
      <c r="AI115" s="47"/>
      <c r="AJ115" s="18"/>
      <c r="AK115" s="26"/>
      <c r="AL115" s="34"/>
      <c r="AM115" s="34"/>
      <c r="AN115" s="18"/>
      <c r="AO115" s="18"/>
      <c r="AP115" s="18"/>
      <c r="AQ115" s="18"/>
      <c r="AR115" s="64" t="str">
        <f>IFERROR(__xludf.DUMMYFUNCTION("""COMPUTED_VALUE"""),"* TVPA *")</f>
        <v>* TVPA *</v>
      </c>
      <c r="AS115" s="64">
        <f>IFERROR(__xludf.DUMMYFUNCTION("""COMPUTED_VALUE"""),2020.0)</f>
        <v>2020</v>
      </c>
    </row>
    <row r="116">
      <c r="A116" s="51"/>
      <c r="B116" s="51"/>
      <c r="C116" s="52"/>
      <c r="D116" s="51"/>
      <c r="E116" s="53"/>
      <c r="F116" s="54"/>
      <c r="G116" s="54"/>
      <c r="H116" s="51"/>
      <c r="I116" s="55"/>
      <c r="J116" s="56"/>
      <c r="K116" s="46"/>
      <c r="L116" s="46"/>
      <c r="M116" s="47"/>
      <c r="N116" s="46"/>
      <c r="O116" s="57"/>
      <c r="P116" s="46"/>
      <c r="Q116" s="46"/>
      <c r="R116" s="57"/>
      <c r="S116" s="7"/>
      <c r="T116" s="54"/>
      <c r="U116" s="58"/>
      <c r="V116" s="47"/>
      <c r="W116" s="18"/>
      <c r="X116" s="46"/>
      <c r="Y116" s="46"/>
      <c r="Z116" s="46"/>
      <c r="AA116" s="7"/>
      <c r="AB116" s="46"/>
      <c r="AC116" s="46"/>
      <c r="AD116" s="47"/>
      <c r="AE116" s="47"/>
      <c r="AF116" s="7"/>
      <c r="AG116" s="7"/>
      <c r="AH116" s="47"/>
      <c r="AI116" s="47"/>
      <c r="AJ116" s="18"/>
      <c r="AK116" s="26"/>
      <c r="AL116" s="34"/>
      <c r="AM116" s="34"/>
      <c r="AN116" s="18"/>
      <c r="AO116" s="18"/>
      <c r="AP116" s="18"/>
      <c r="AQ116" s="18"/>
      <c r="AR116" s="64" t="str">
        <f>IFERROR(__xludf.DUMMYFUNCTION("""COMPUTED_VALUE"""),"* TVPE *")</f>
        <v>* TVPE *</v>
      </c>
      <c r="AS116" s="64">
        <f>IFERROR(__xludf.DUMMYFUNCTION("""COMPUTED_VALUE"""),14000.0)</f>
        <v>14000</v>
      </c>
    </row>
    <row r="117">
      <c r="A117" s="51"/>
      <c r="B117" s="51"/>
      <c r="C117" s="52"/>
      <c r="D117" s="51"/>
      <c r="E117" s="53"/>
      <c r="F117" s="54"/>
      <c r="G117" s="54"/>
      <c r="H117" s="51"/>
      <c r="I117" s="55"/>
      <c r="J117" s="56"/>
      <c r="K117" s="46"/>
      <c r="L117" s="46"/>
      <c r="M117" s="47"/>
      <c r="N117" s="46"/>
      <c r="O117" s="57"/>
      <c r="P117" s="46"/>
      <c r="Q117" s="46"/>
      <c r="R117" s="57"/>
      <c r="S117" s="7"/>
      <c r="T117" s="54"/>
      <c r="U117" s="58"/>
      <c r="V117" s="47"/>
      <c r="W117" s="18"/>
      <c r="X117" s="46"/>
      <c r="Y117" s="46"/>
      <c r="Z117" s="46"/>
      <c r="AA117" s="7"/>
      <c r="AB117" s="46"/>
      <c r="AC117" s="46"/>
      <c r="AD117" s="47"/>
      <c r="AE117" s="47"/>
      <c r="AF117" s="7"/>
      <c r="AG117" s="7"/>
      <c r="AH117" s="47"/>
      <c r="AI117" s="47"/>
      <c r="AJ117" s="18"/>
      <c r="AK117" s="26"/>
      <c r="AL117" s="34"/>
      <c r="AM117" s="34"/>
      <c r="AN117" s="18"/>
      <c r="AO117" s="18"/>
      <c r="AP117" s="18"/>
      <c r="AQ117" s="18"/>
      <c r="AR117" s="64" t="str">
        <f>IFERROR(__xludf.DUMMYFUNCTION("""COMPUTED_VALUE"""),"* TVPP *")</f>
        <v>* TVPP *</v>
      </c>
      <c r="AS117" s="64">
        <f>IFERROR(__xludf.DUMMYFUNCTION("""COMPUTED_VALUE"""),15.59)</f>
        <v>15.59</v>
      </c>
    </row>
    <row r="118">
      <c r="A118" s="51"/>
      <c r="B118" s="51"/>
      <c r="C118" s="52"/>
      <c r="D118" s="51"/>
      <c r="E118" s="53"/>
      <c r="F118" s="54"/>
      <c r="G118" s="54"/>
      <c r="H118" s="51"/>
      <c r="I118" s="55"/>
      <c r="J118" s="56"/>
      <c r="K118" s="46"/>
      <c r="L118" s="46"/>
      <c r="M118" s="47"/>
      <c r="N118" s="46"/>
      <c r="O118" s="57"/>
      <c r="P118" s="46"/>
      <c r="Q118" s="46"/>
      <c r="R118" s="57"/>
      <c r="S118" s="7"/>
      <c r="T118" s="54"/>
      <c r="U118" s="58"/>
      <c r="V118" s="47"/>
      <c r="W118" s="18"/>
      <c r="X118" s="46"/>
      <c r="Y118" s="46"/>
      <c r="Z118" s="46"/>
      <c r="AA118" s="7"/>
      <c r="AB118" s="46"/>
      <c r="AC118" s="46"/>
      <c r="AD118" s="47"/>
      <c r="AE118" s="47"/>
      <c r="AF118" s="7"/>
      <c r="AG118" s="7"/>
      <c r="AH118" s="47"/>
      <c r="AI118" s="47"/>
      <c r="AJ118" s="18"/>
      <c r="AK118" s="26"/>
      <c r="AL118" s="34"/>
      <c r="AM118" s="34"/>
      <c r="AN118" s="18"/>
      <c r="AO118" s="18"/>
      <c r="AP118" s="18"/>
      <c r="AQ118" s="18"/>
      <c r="AR118" s="64" t="str">
        <f>IFERROR(__xludf.DUMMYFUNCTION("""COMPUTED_VALUE"""),"* TVPY *")</f>
        <v>* TVPY *</v>
      </c>
      <c r="AS118" s="64">
        <f>IFERROR(__xludf.DUMMYFUNCTION("""COMPUTED_VALUE"""),3900.0)</f>
        <v>3900</v>
      </c>
    </row>
    <row r="119">
      <c r="A119" s="51"/>
      <c r="B119" s="51"/>
      <c r="C119" s="52"/>
      <c r="D119" s="51"/>
      <c r="E119" s="53"/>
      <c r="F119" s="54"/>
      <c r="G119" s="54"/>
      <c r="H119" s="51"/>
      <c r="I119" s="55"/>
      <c r="J119" s="56"/>
      <c r="K119" s="46"/>
      <c r="L119" s="46"/>
      <c r="M119" s="47"/>
      <c r="N119" s="46"/>
      <c r="O119" s="57"/>
      <c r="P119" s="46"/>
      <c r="Q119" s="46"/>
      <c r="R119" s="57"/>
      <c r="S119" s="7"/>
      <c r="T119" s="54"/>
      <c r="U119" s="58"/>
      <c r="V119" s="47"/>
      <c r="W119" s="18"/>
      <c r="X119" s="46"/>
      <c r="Y119" s="46"/>
      <c r="Z119" s="46"/>
      <c r="AA119" s="7"/>
      <c r="AB119" s="46"/>
      <c r="AC119" s="46"/>
      <c r="AD119" s="47"/>
      <c r="AE119" s="47"/>
      <c r="AF119" s="7"/>
      <c r="AG119" s="7"/>
      <c r="AH119" s="47"/>
      <c r="AI119" s="47"/>
      <c r="AJ119" s="18"/>
      <c r="AK119" s="26"/>
      <c r="AL119" s="34"/>
      <c r="AM119" s="34"/>
      <c r="AN119" s="18"/>
      <c r="AO119" s="18"/>
      <c r="AP119" s="18"/>
      <c r="AQ119" s="18"/>
      <c r="AR119" s="64" t="str">
        <f>IFERROR(__xludf.DUMMYFUNCTION("""COMPUTED_VALUE"""),"* TVPYD *")</f>
        <v>* TVPYD *</v>
      </c>
      <c r="AS119" s="64">
        <f>IFERROR(__xludf.DUMMYFUNCTION("""COMPUTED_VALUE"""),2.58)</f>
        <v>2.58</v>
      </c>
    </row>
    <row r="120">
      <c r="A120" s="51"/>
      <c r="B120" s="51"/>
      <c r="C120" s="52"/>
      <c r="D120" s="51"/>
      <c r="E120" s="53"/>
      <c r="F120" s="54"/>
      <c r="G120" s="54"/>
      <c r="H120" s="51"/>
      <c r="I120" s="55"/>
      <c r="J120" s="56"/>
      <c r="K120" s="46"/>
      <c r="L120" s="46"/>
      <c r="M120" s="47"/>
      <c r="N120" s="46"/>
      <c r="O120" s="57"/>
      <c r="P120" s="46"/>
      <c r="Q120" s="46"/>
      <c r="R120" s="57"/>
      <c r="S120" s="7"/>
      <c r="T120" s="54"/>
      <c r="U120" s="58"/>
      <c r="V120" s="47"/>
      <c r="W120" s="18"/>
      <c r="X120" s="46"/>
      <c r="Y120" s="46"/>
      <c r="Z120" s="46"/>
      <c r="AA120" s="7"/>
      <c r="AB120" s="46"/>
      <c r="AC120" s="46"/>
      <c r="AD120" s="47"/>
      <c r="AE120" s="47"/>
      <c r="AF120" s="7"/>
      <c r="AG120" s="7"/>
      <c r="AH120" s="47"/>
      <c r="AI120" s="47"/>
      <c r="AJ120" s="18"/>
      <c r="AK120" s="26"/>
      <c r="AL120" s="34"/>
      <c r="AM120" s="34"/>
      <c r="AN120" s="18"/>
      <c r="AO120" s="18"/>
      <c r="AP120" s="18"/>
      <c r="AQ120" s="18"/>
      <c r="AR120" s="64" t="str">
        <f>IFERROR(__xludf.DUMMYFUNCTION("""COMPUTED_VALUE"""),"* TX25 *")</f>
        <v>* TX25 *</v>
      </c>
      <c r="AS120" s="64">
        <f>IFERROR(__xludf.DUMMYFUNCTION("""COMPUTED_VALUE"""),1406.0)</f>
        <v>1406</v>
      </c>
    </row>
    <row r="121">
      <c r="A121" s="51"/>
      <c r="B121" s="51"/>
      <c r="C121" s="52"/>
      <c r="D121" s="51"/>
      <c r="E121" s="53"/>
      <c r="F121" s="54"/>
      <c r="G121" s="54"/>
      <c r="H121" s="51"/>
      <c r="I121" s="55"/>
      <c r="J121" s="56"/>
      <c r="K121" s="46"/>
      <c r="L121" s="46"/>
      <c r="M121" s="47"/>
      <c r="N121" s="46"/>
      <c r="O121" s="57"/>
      <c r="P121" s="46"/>
      <c r="Q121" s="46"/>
      <c r="R121" s="57"/>
      <c r="S121" s="7"/>
      <c r="T121" s="54"/>
      <c r="U121" s="58"/>
      <c r="V121" s="47"/>
      <c r="W121" s="18"/>
      <c r="X121" s="46"/>
      <c r="Y121" s="46"/>
      <c r="Z121" s="46"/>
      <c r="AA121" s="7"/>
      <c r="AB121" s="46"/>
      <c r="AC121" s="46"/>
      <c r="AD121" s="47"/>
      <c r="AE121" s="47"/>
      <c r="AF121" s="7"/>
      <c r="AG121" s="7"/>
      <c r="AH121" s="47"/>
      <c r="AI121" s="47"/>
      <c r="AJ121" s="18"/>
      <c r="AK121" s="26"/>
      <c r="AL121" s="34"/>
      <c r="AM121" s="34"/>
      <c r="AN121" s="18"/>
      <c r="AO121" s="18"/>
      <c r="AP121" s="18"/>
      <c r="AQ121" s="18"/>
      <c r="AR121" s="64" t="str">
        <f>IFERROR(__xludf.DUMMYFUNCTION("""COMPUTED_VALUE"""),"* TX26 *")</f>
        <v>* TX26 *</v>
      </c>
      <c r="AS121" s="64">
        <f>IFERROR(__xludf.DUMMYFUNCTION("""COMPUTED_VALUE"""),1134.0)</f>
        <v>1134</v>
      </c>
    </row>
    <row r="122">
      <c r="A122" s="51"/>
      <c r="B122" s="51"/>
      <c r="C122" s="52"/>
      <c r="D122" s="51"/>
      <c r="E122" s="53"/>
      <c r="F122" s="54"/>
      <c r="G122" s="54"/>
      <c r="H122" s="51"/>
      <c r="I122" s="55"/>
      <c r="J122" s="56"/>
      <c r="K122" s="46"/>
      <c r="L122" s="46"/>
      <c r="M122" s="47"/>
      <c r="N122" s="46"/>
      <c r="O122" s="57"/>
      <c r="P122" s="46"/>
      <c r="Q122" s="46"/>
      <c r="R122" s="57"/>
      <c r="S122" s="7"/>
      <c r="T122" s="54"/>
      <c r="U122" s="58"/>
      <c r="V122" s="47"/>
      <c r="W122" s="18"/>
      <c r="X122" s="46"/>
      <c r="Y122" s="46"/>
      <c r="Z122" s="46"/>
      <c r="AA122" s="7"/>
      <c r="AB122" s="46"/>
      <c r="AC122" s="46"/>
      <c r="AD122" s="47"/>
      <c r="AE122" s="47"/>
      <c r="AF122" s="7"/>
      <c r="AG122" s="7"/>
      <c r="AH122" s="47"/>
      <c r="AI122" s="47"/>
      <c r="AJ122" s="18"/>
      <c r="AK122" s="26"/>
      <c r="AL122" s="34"/>
      <c r="AM122" s="34"/>
      <c r="AN122" s="18"/>
      <c r="AO122" s="18"/>
      <c r="AP122" s="18"/>
      <c r="AQ122" s="18"/>
      <c r="AR122" s="64" t="str">
        <f>IFERROR(__xludf.DUMMYFUNCTION("""COMPUTED_VALUE"""),"* TX26D *")</f>
        <v>* TX26D *</v>
      </c>
      <c r="AS122" s="64">
        <f>IFERROR(__xludf.DUMMYFUNCTION("""COMPUTED_VALUE"""),0.78)</f>
        <v>0.78</v>
      </c>
    </row>
    <row r="123">
      <c r="A123" s="51"/>
      <c r="B123" s="51"/>
      <c r="C123" s="52"/>
      <c r="D123" s="51"/>
      <c r="E123" s="53"/>
      <c r="F123" s="54"/>
      <c r="G123" s="54"/>
      <c r="H123" s="51"/>
      <c r="I123" s="55"/>
      <c r="J123" s="56"/>
      <c r="K123" s="46"/>
      <c r="L123" s="46"/>
      <c r="M123" s="47"/>
      <c r="N123" s="46"/>
      <c r="O123" s="57"/>
      <c r="P123" s="46"/>
      <c r="Q123" s="46"/>
      <c r="R123" s="57"/>
      <c r="S123" s="7"/>
      <c r="T123" s="54"/>
      <c r="U123" s="58"/>
      <c r="V123" s="47"/>
      <c r="W123" s="18"/>
      <c r="X123" s="46"/>
      <c r="Y123" s="46"/>
      <c r="Z123" s="46"/>
      <c r="AA123" s="7"/>
      <c r="AB123" s="46"/>
      <c r="AC123" s="46"/>
      <c r="AD123" s="47"/>
      <c r="AE123" s="47"/>
      <c r="AF123" s="7"/>
      <c r="AG123" s="7"/>
      <c r="AH123" s="47"/>
      <c r="AI123" s="47"/>
      <c r="AJ123" s="18"/>
      <c r="AK123" s="26"/>
      <c r="AL123" s="34"/>
      <c r="AM123" s="34"/>
      <c r="AN123" s="18"/>
      <c r="AO123" s="18"/>
      <c r="AP123" s="18"/>
      <c r="AQ123" s="18"/>
      <c r="AR123" s="64" t="str">
        <f>IFERROR(__xludf.DUMMYFUNCTION("""COMPUTED_VALUE"""),"* TX28 *")</f>
        <v>* TX28 *</v>
      </c>
      <c r="AS123" s="64">
        <f>IFERROR(__xludf.DUMMYFUNCTION("""COMPUTED_VALUE"""),1571.5)</f>
        <v>1571.5</v>
      </c>
    </row>
    <row r="124">
      <c r="A124" s="51"/>
      <c r="B124" s="51"/>
      <c r="C124" s="52"/>
      <c r="D124" s="51"/>
      <c r="E124" s="53"/>
      <c r="F124" s="54"/>
      <c r="G124" s="54"/>
      <c r="H124" s="51"/>
      <c r="I124" s="55"/>
      <c r="J124" s="56"/>
      <c r="K124" s="46"/>
      <c r="L124" s="46"/>
      <c r="M124" s="47"/>
      <c r="N124" s="46"/>
      <c r="O124" s="57"/>
      <c r="P124" s="46"/>
      <c r="Q124" s="46"/>
      <c r="R124" s="57"/>
      <c r="S124" s="7"/>
      <c r="T124" s="54"/>
      <c r="U124" s="58"/>
      <c r="V124" s="47"/>
      <c r="W124" s="18"/>
      <c r="X124" s="46"/>
      <c r="Y124" s="46"/>
      <c r="Z124" s="46"/>
      <c r="AA124" s="7"/>
      <c r="AB124" s="46"/>
      <c r="AC124" s="46"/>
      <c r="AD124" s="47"/>
      <c r="AE124" s="47"/>
      <c r="AF124" s="7"/>
      <c r="AG124" s="7"/>
      <c r="AH124" s="47"/>
      <c r="AI124" s="47"/>
      <c r="AJ124" s="18"/>
      <c r="AK124" s="26"/>
      <c r="AL124" s="34"/>
      <c r="AM124" s="34"/>
      <c r="AN124" s="18"/>
      <c r="AO124" s="18"/>
      <c r="AP124" s="18"/>
      <c r="AQ124" s="18"/>
      <c r="AR124" s="64" t="str">
        <f>IFERROR(__xludf.DUMMYFUNCTION("""COMPUTED_VALUE"""),"* TX28D *")</f>
        <v>* TX28D *</v>
      </c>
      <c r="AS124" s="64">
        <f>IFERROR(__xludf.DUMMYFUNCTION("""COMPUTED_VALUE"""),1.08)</f>
        <v>1.08</v>
      </c>
    </row>
    <row r="125">
      <c r="A125" s="51"/>
      <c r="B125" s="51"/>
      <c r="C125" s="52"/>
      <c r="D125" s="51"/>
      <c r="E125" s="53"/>
      <c r="F125" s="54"/>
      <c r="G125" s="54"/>
      <c r="H125" s="51"/>
      <c r="I125" s="55"/>
      <c r="J125" s="56"/>
      <c r="K125" s="46"/>
      <c r="L125" s="46"/>
      <c r="M125" s="47"/>
      <c r="N125" s="46"/>
      <c r="O125" s="57"/>
      <c r="P125" s="46"/>
      <c r="Q125" s="46"/>
      <c r="R125" s="57"/>
      <c r="S125" s="7"/>
      <c r="T125" s="54"/>
      <c r="U125" s="58"/>
      <c r="V125" s="47"/>
      <c r="W125" s="18"/>
      <c r="X125" s="46"/>
      <c r="Y125" s="46"/>
      <c r="Z125" s="46"/>
      <c r="AA125" s="7"/>
      <c r="AB125" s="46"/>
      <c r="AC125" s="46"/>
      <c r="AD125" s="47"/>
      <c r="AE125" s="47"/>
      <c r="AF125" s="7"/>
      <c r="AG125" s="7"/>
      <c r="AH125" s="47"/>
      <c r="AI125" s="47"/>
      <c r="AJ125" s="18"/>
      <c r="AK125" s="26"/>
      <c r="AL125" s="34"/>
      <c r="AM125" s="34"/>
      <c r="AN125" s="18"/>
      <c r="AO125" s="18"/>
      <c r="AP125" s="18"/>
      <c r="AQ125" s="18"/>
      <c r="AR125" s="64" t="str">
        <f>IFERROR(__xludf.DUMMYFUNCTION("""COMPUTED_VALUE"""),"* TX31 *")</f>
        <v>* TX31 *</v>
      </c>
      <c r="AS125" s="64">
        <f>IFERROR(__xludf.DUMMYFUNCTION("""COMPUTED_VALUE"""),1149.0)</f>
        <v>1149</v>
      </c>
    </row>
    <row r="126">
      <c r="A126" s="51"/>
      <c r="B126" s="51"/>
      <c r="C126" s="52"/>
      <c r="D126" s="51"/>
      <c r="E126" s="53"/>
      <c r="F126" s="54"/>
      <c r="G126" s="54"/>
      <c r="H126" s="51"/>
      <c r="I126" s="55"/>
      <c r="J126" s="56"/>
      <c r="K126" s="46"/>
      <c r="L126" s="46"/>
      <c r="M126" s="47"/>
      <c r="N126" s="46"/>
      <c r="O126" s="57"/>
      <c r="P126" s="46"/>
      <c r="Q126" s="46"/>
      <c r="R126" s="57"/>
      <c r="S126" s="7"/>
      <c r="T126" s="54"/>
      <c r="U126" s="58"/>
      <c r="V126" s="47"/>
      <c r="W126" s="18"/>
      <c r="X126" s="46"/>
      <c r="Y126" s="46"/>
      <c r="Z126" s="46"/>
      <c r="AA126" s="7"/>
      <c r="AB126" s="46"/>
      <c r="AC126" s="46"/>
      <c r="AD126" s="47"/>
      <c r="AE126" s="47"/>
      <c r="AF126" s="7"/>
      <c r="AG126" s="7"/>
      <c r="AH126" s="47"/>
      <c r="AI126" s="47"/>
      <c r="AJ126" s="18"/>
      <c r="AK126" s="26"/>
      <c r="AL126" s="34"/>
      <c r="AM126" s="34"/>
      <c r="AN126" s="18"/>
      <c r="AO126" s="18"/>
      <c r="AP126" s="18"/>
      <c r="AQ126" s="18"/>
      <c r="AR126" s="64" t="str">
        <f>IFERROR(__xludf.DUMMYFUNCTION("""COMPUTED_VALUE"""),"* TXD6D *")</f>
        <v>* TXD6D *</v>
      </c>
      <c r="AS126" s="64">
        <f>IFERROR(__xludf.DUMMYFUNCTION("""COMPUTED_VALUE"""),0.16)</f>
        <v>0.16</v>
      </c>
    </row>
    <row r="127">
      <c r="A127" s="51"/>
      <c r="B127" s="51"/>
      <c r="C127" s="52"/>
      <c r="D127" s="51"/>
      <c r="E127" s="53"/>
      <c r="F127" s="54"/>
      <c r="G127" s="54"/>
      <c r="H127" s="51"/>
      <c r="I127" s="55"/>
      <c r="J127" s="56"/>
      <c r="K127" s="46"/>
      <c r="L127" s="46"/>
      <c r="M127" s="47"/>
      <c r="N127" s="46"/>
      <c r="O127" s="57"/>
      <c r="P127" s="46"/>
      <c r="Q127" s="46"/>
      <c r="R127" s="57"/>
      <c r="S127" s="7"/>
      <c r="T127" s="54"/>
      <c r="U127" s="58"/>
      <c r="V127" s="47"/>
      <c r="W127" s="18"/>
      <c r="X127" s="46"/>
      <c r="Y127" s="46"/>
      <c r="Z127" s="46"/>
      <c r="AA127" s="7"/>
      <c r="AB127" s="46"/>
      <c r="AC127" s="46"/>
      <c r="AD127" s="47"/>
      <c r="AE127" s="47"/>
      <c r="AF127" s="7"/>
      <c r="AG127" s="7"/>
      <c r="AH127" s="47"/>
      <c r="AI127" s="47"/>
      <c r="AJ127" s="18"/>
      <c r="AK127" s="26"/>
      <c r="AL127" s="34"/>
      <c r="AM127" s="34"/>
      <c r="AN127" s="18"/>
      <c r="AO127" s="18"/>
      <c r="AP127" s="18"/>
      <c r="AQ127" s="18"/>
      <c r="AR127" s="64" t="str">
        <f>IFERROR(__xludf.DUMMYFUNCTION("""COMPUTED_VALUE"""),"* TXM6D *")</f>
        <v>* TXM6D *</v>
      </c>
      <c r="AS127" s="64">
        <f>IFERROR(__xludf.DUMMYFUNCTION("""COMPUTED_VALUE"""),0.12)</f>
        <v>0.12</v>
      </c>
    </row>
    <row r="128">
      <c r="A128" s="51"/>
      <c r="B128" s="51"/>
      <c r="C128" s="52"/>
      <c r="D128" s="51"/>
      <c r="E128" s="53"/>
      <c r="F128" s="54"/>
      <c r="G128" s="54"/>
      <c r="H128" s="51"/>
      <c r="I128" s="55"/>
      <c r="J128" s="56"/>
      <c r="K128" s="46"/>
      <c r="L128" s="46"/>
      <c r="M128" s="47"/>
      <c r="N128" s="46"/>
      <c r="O128" s="57"/>
      <c r="P128" s="46"/>
      <c r="Q128" s="46"/>
      <c r="R128" s="57"/>
      <c r="S128" s="7"/>
      <c r="T128" s="54"/>
      <c r="U128" s="58"/>
      <c r="V128" s="47"/>
      <c r="W128" s="18"/>
      <c r="X128" s="46"/>
      <c r="Y128" s="46"/>
      <c r="Z128" s="46"/>
      <c r="AA128" s="7"/>
      <c r="AB128" s="46"/>
      <c r="AC128" s="46"/>
      <c r="AD128" s="47"/>
      <c r="AE128" s="47"/>
      <c r="AF128" s="7"/>
      <c r="AG128" s="7"/>
      <c r="AH128" s="47"/>
      <c r="AI128" s="47"/>
      <c r="AJ128" s="18"/>
      <c r="AK128" s="26"/>
      <c r="AL128" s="34"/>
      <c r="AM128" s="34"/>
      <c r="AN128" s="18"/>
      <c r="AO128" s="18"/>
      <c r="AP128" s="18"/>
      <c r="AQ128" s="18"/>
      <c r="AR128" s="64" t="str">
        <f>IFERROR(__xludf.DUMMYFUNCTION("""COMPUTED_VALUE"""),"* TXO5D *")</f>
        <v>* TXO5D *</v>
      </c>
      <c r="AS128" s="64">
        <f>IFERROR(__xludf.DUMMYFUNCTION("""COMPUTED_VALUE"""),0.08)</f>
        <v>0.08</v>
      </c>
    </row>
    <row r="129">
      <c r="A129" s="51"/>
      <c r="B129" s="51"/>
      <c r="C129" s="52"/>
      <c r="D129" s="51"/>
      <c r="E129" s="53"/>
      <c r="F129" s="54"/>
      <c r="G129" s="54"/>
      <c r="H129" s="51"/>
      <c r="I129" s="55"/>
      <c r="J129" s="56"/>
      <c r="K129" s="46"/>
      <c r="L129" s="46"/>
      <c r="M129" s="47"/>
      <c r="N129" s="46"/>
      <c r="O129" s="57"/>
      <c r="P129" s="46"/>
      <c r="Q129" s="46"/>
      <c r="R129" s="57"/>
      <c r="S129" s="7"/>
      <c r="T129" s="54"/>
      <c r="U129" s="58"/>
      <c r="V129" s="47"/>
      <c r="W129" s="18"/>
      <c r="X129" s="46"/>
      <c r="Y129" s="46"/>
      <c r="Z129" s="46"/>
      <c r="AA129" s="7"/>
      <c r="AB129" s="46"/>
      <c r="AC129" s="46"/>
      <c r="AD129" s="47"/>
      <c r="AE129" s="47"/>
      <c r="AF129" s="7"/>
      <c r="AG129" s="7"/>
      <c r="AH129" s="47"/>
      <c r="AI129" s="47"/>
      <c r="AJ129" s="18"/>
      <c r="AK129" s="26"/>
      <c r="AL129" s="34"/>
      <c r="AM129" s="34"/>
      <c r="AN129" s="18"/>
      <c r="AO129" s="18"/>
      <c r="AP129" s="18"/>
      <c r="AQ129" s="18"/>
      <c r="AR129" s="64" t="str">
        <f>IFERROR(__xludf.DUMMYFUNCTION("""COMPUTED_VALUE"""),"* TY27P *")</f>
        <v>* TY27P *</v>
      </c>
      <c r="AS129" s="64">
        <f>IFERROR(__xludf.DUMMYFUNCTION("""COMPUTED_VALUE"""),119.45)</f>
        <v>119.45</v>
      </c>
    </row>
    <row r="130">
      <c r="A130" s="51"/>
      <c r="B130" s="51"/>
      <c r="C130" s="52"/>
      <c r="D130" s="51"/>
      <c r="E130" s="53"/>
      <c r="F130" s="54"/>
      <c r="G130" s="54"/>
      <c r="H130" s="51"/>
      <c r="I130" s="55"/>
      <c r="J130" s="56"/>
      <c r="K130" s="46"/>
      <c r="L130" s="46"/>
      <c r="M130" s="47"/>
      <c r="N130" s="46"/>
      <c r="O130" s="57"/>
      <c r="P130" s="46"/>
      <c r="Q130" s="46"/>
      <c r="R130" s="57"/>
      <c r="S130" s="7"/>
      <c r="T130" s="54"/>
      <c r="U130" s="58"/>
      <c r="V130" s="47"/>
      <c r="W130" s="18"/>
      <c r="X130" s="46"/>
      <c r="Y130" s="46"/>
      <c r="Z130" s="46"/>
      <c r="AA130" s="7"/>
      <c r="AB130" s="46"/>
      <c r="AC130" s="46"/>
      <c r="AD130" s="47"/>
      <c r="AE130" s="47"/>
      <c r="AF130" s="7"/>
      <c r="AG130" s="7"/>
      <c r="AH130" s="47"/>
      <c r="AI130" s="47"/>
      <c r="AJ130" s="18"/>
      <c r="AK130" s="26"/>
      <c r="AL130" s="34"/>
      <c r="AM130" s="34"/>
      <c r="AN130" s="18"/>
      <c r="AO130" s="18"/>
      <c r="AP130" s="18"/>
      <c r="AQ130" s="18"/>
      <c r="AR130" s="64" t="str">
        <f>IFERROR(__xludf.DUMMYFUNCTION("""COMPUTED_VALUE"""),"* TY30D *")</f>
        <v>* TY30D *</v>
      </c>
      <c r="AS130" s="64">
        <f>IFERROR(__xludf.DUMMYFUNCTION("""COMPUTED_VALUE"""),0.07)</f>
        <v>0.07</v>
      </c>
    </row>
    <row r="131">
      <c r="A131" s="51"/>
      <c r="B131" s="51"/>
      <c r="C131" s="52"/>
      <c r="D131" s="51"/>
      <c r="E131" s="53"/>
      <c r="F131" s="54"/>
      <c r="G131" s="54"/>
      <c r="H131" s="51"/>
      <c r="I131" s="55"/>
      <c r="J131" s="56"/>
      <c r="K131" s="46"/>
      <c r="L131" s="46"/>
      <c r="M131" s="47"/>
      <c r="N131" s="46"/>
      <c r="O131" s="57"/>
      <c r="P131" s="46"/>
      <c r="Q131" s="46"/>
      <c r="R131" s="57"/>
      <c r="S131" s="7"/>
      <c r="T131" s="54"/>
      <c r="U131" s="58"/>
      <c r="V131" s="47"/>
      <c r="W131" s="18"/>
      <c r="X131" s="46"/>
      <c r="Y131" s="46"/>
      <c r="Z131" s="46"/>
      <c r="AA131" s="7"/>
      <c r="AB131" s="46"/>
      <c r="AC131" s="46"/>
      <c r="AD131" s="47"/>
      <c r="AE131" s="47"/>
      <c r="AF131" s="7"/>
      <c r="AG131" s="7"/>
      <c r="AH131" s="47"/>
      <c r="AI131" s="47"/>
      <c r="AJ131" s="18"/>
      <c r="AK131" s="26"/>
      <c r="AL131" s="34"/>
      <c r="AM131" s="34"/>
      <c r="AN131" s="18"/>
      <c r="AO131" s="18"/>
      <c r="AP131" s="18"/>
      <c r="AQ131" s="18"/>
      <c r="AR131" s="64" t="str">
        <f>IFERROR(__xludf.DUMMYFUNCTION("""COMPUTED_VALUE"""),"* TY30P *")</f>
        <v>* TY30P *</v>
      </c>
      <c r="AS131" s="64">
        <f>IFERROR(__xludf.DUMMYFUNCTION("""COMPUTED_VALUE"""),108.65)</f>
        <v>108.65</v>
      </c>
    </row>
    <row r="132">
      <c r="A132" s="51"/>
      <c r="B132" s="51"/>
      <c r="C132" s="52"/>
      <c r="D132" s="51"/>
      <c r="E132" s="53"/>
      <c r="F132" s="54"/>
      <c r="G132" s="54"/>
      <c r="H132" s="51"/>
      <c r="I132" s="55"/>
      <c r="J132" s="56"/>
      <c r="K132" s="46"/>
      <c r="L132" s="46"/>
      <c r="M132" s="47"/>
      <c r="N132" s="46"/>
      <c r="O132" s="57"/>
      <c r="P132" s="46"/>
      <c r="Q132" s="46"/>
      <c r="R132" s="57"/>
      <c r="S132" s="7"/>
      <c r="T132" s="54"/>
      <c r="U132" s="58"/>
      <c r="V132" s="47"/>
      <c r="W132" s="18"/>
      <c r="X132" s="46"/>
      <c r="Y132" s="46"/>
      <c r="Z132" s="46"/>
      <c r="AA132" s="7"/>
      <c r="AB132" s="46"/>
      <c r="AC132" s="46"/>
      <c r="AD132" s="47"/>
      <c r="AE132" s="47"/>
      <c r="AF132" s="7"/>
      <c r="AG132" s="7"/>
      <c r="AH132" s="47"/>
      <c r="AI132" s="47"/>
      <c r="AJ132" s="18"/>
      <c r="AK132" s="26"/>
      <c r="AL132" s="34"/>
      <c r="AM132" s="34"/>
      <c r="AN132" s="18"/>
      <c r="AO132" s="18"/>
      <c r="AP132" s="18"/>
      <c r="AQ132" s="18"/>
      <c r="AR132" s="64" t="str">
        <f>IFERROR(__xludf.DUMMYFUNCTION("""COMPUTED_VALUE"""),"* TZV26 *")</f>
        <v>* TZV26 *</v>
      </c>
      <c r="AS132" s="64">
        <f>IFERROR(__xludf.DUMMYFUNCTION("""COMPUTED_VALUE"""),141270.0)</f>
        <v>141270</v>
      </c>
    </row>
    <row r="133">
      <c r="A133" s="51"/>
      <c r="B133" s="51"/>
      <c r="C133" s="52"/>
      <c r="D133" s="51"/>
      <c r="E133" s="53"/>
      <c r="F133" s="54"/>
      <c r="G133" s="54"/>
      <c r="H133" s="51"/>
      <c r="I133" s="55"/>
      <c r="J133" s="56"/>
      <c r="K133" s="46"/>
      <c r="L133" s="46"/>
      <c r="M133" s="47"/>
      <c r="N133" s="46"/>
      <c r="O133" s="57"/>
      <c r="P133" s="46"/>
      <c r="Q133" s="46"/>
      <c r="R133" s="57"/>
      <c r="S133" s="7"/>
      <c r="T133" s="54"/>
      <c r="U133" s="58"/>
      <c r="V133" s="47"/>
      <c r="W133" s="18"/>
      <c r="X133" s="46"/>
      <c r="Y133" s="46"/>
      <c r="Z133" s="46"/>
      <c r="AA133" s="7"/>
      <c r="AB133" s="46"/>
      <c r="AC133" s="46"/>
      <c r="AD133" s="47"/>
      <c r="AE133" s="47"/>
      <c r="AF133" s="7"/>
      <c r="AG133" s="7"/>
      <c r="AH133" s="47"/>
      <c r="AI133" s="47"/>
      <c r="AJ133" s="18"/>
      <c r="AK133" s="26"/>
      <c r="AL133" s="34"/>
      <c r="AM133" s="34"/>
      <c r="AN133" s="18"/>
      <c r="AO133" s="18"/>
      <c r="AP133" s="18"/>
      <c r="AQ133" s="18"/>
      <c r="AR133" s="64" t="str">
        <f>IFERROR(__xludf.DUMMYFUNCTION("""COMPUTED_VALUE"""),"* TZVD5 *")</f>
        <v>* TZVD5 *</v>
      </c>
      <c r="AS133" s="64">
        <f>IFERROR(__xludf.DUMMYFUNCTION("""COMPUTED_VALUE"""),143500.0)</f>
        <v>143500</v>
      </c>
    </row>
    <row r="134">
      <c r="A134" s="51"/>
      <c r="B134" s="51"/>
      <c r="C134" s="52"/>
      <c r="D134" s="51"/>
      <c r="E134" s="53"/>
      <c r="F134" s="54"/>
      <c r="G134" s="54"/>
      <c r="H134" s="51"/>
      <c r="I134" s="55"/>
      <c r="J134" s="56"/>
      <c r="K134" s="46"/>
      <c r="L134" s="46"/>
      <c r="M134" s="47"/>
      <c r="N134" s="46"/>
      <c r="O134" s="57"/>
      <c r="P134" s="46"/>
      <c r="Q134" s="46"/>
      <c r="R134" s="57"/>
      <c r="S134" s="7"/>
      <c r="T134" s="54"/>
      <c r="U134" s="58"/>
      <c r="V134" s="47"/>
      <c r="W134" s="18"/>
      <c r="X134" s="46"/>
      <c r="Y134" s="46"/>
      <c r="Z134" s="46"/>
      <c r="AA134" s="7"/>
      <c r="AB134" s="46"/>
      <c r="AC134" s="46"/>
      <c r="AD134" s="47"/>
      <c r="AE134" s="47"/>
      <c r="AF134" s="7"/>
      <c r="AG134" s="7"/>
      <c r="AH134" s="47"/>
      <c r="AI134" s="47"/>
      <c r="AJ134" s="18"/>
      <c r="AK134" s="26"/>
      <c r="AL134" s="34"/>
      <c r="AM134" s="34"/>
      <c r="AN134" s="18"/>
      <c r="AO134" s="18"/>
      <c r="AP134" s="18"/>
      <c r="AQ134" s="18"/>
      <c r="AR134" s="64" t="str">
        <f>IFERROR(__xludf.DUMMYFUNCTION("""COMPUTED_VALUE"""),"* TZX26 *")</f>
        <v>* TZX26 *</v>
      </c>
      <c r="AS134" s="64">
        <f>IFERROR(__xludf.DUMMYFUNCTION("""COMPUTED_VALUE"""),318.65)</f>
        <v>318.65</v>
      </c>
    </row>
    <row r="135">
      <c r="A135" s="51"/>
      <c r="B135" s="51"/>
      <c r="C135" s="52"/>
      <c r="D135" s="51"/>
      <c r="E135" s="53"/>
      <c r="F135" s="54"/>
      <c r="G135" s="54"/>
      <c r="H135" s="51"/>
      <c r="I135" s="55"/>
      <c r="J135" s="56"/>
      <c r="K135" s="46"/>
      <c r="L135" s="46"/>
      <c r="M135" s="47"/>
      <c r="N135" s="46"/>
      <c r="O135" s="57"/>
      <c r="P135" s="46"/>
      <c r="Q135" s="46"/>
      <c r="R135" s="57"/>
      <c r="S135" s="7"/>
      <c r="T135" s="54"/>
      <c r="U135" s="58"/>
      <c r="V135" s="47"/>
      <c r="W135" s="18"/>
      <c r="X135" s="46"/>
      <c r="Y135" s="46"/>
      <c r="Z135" s="46"/>
      <c r="AA135" s="7"/>
      <c r="AB135" s="46"/>
      <c r="AC135" s="46"/>
      <c r="AD135" s="47"/>
      <c r="AE135" s="47"/>
      <c r="AF135" s="7"/>
      <c r="AG135" s="7"/>
      <c r="AH135" s="47"/>
      <c r="AI135" s="47"/>
      <c r="AJ135" s="18"/>
      <c r="AK135" s="26"/>
      <c r="AL135" s="34"/>
      <c r="AM135" s="34"/>
      <c r="AN135" s="18"/>
      <c r="AO135" s="18"/>
      <c r="AP135" s="18"/>
      <c r="AQ135" s="18"/>
      <c r="AR135" s="64" t="str">
        <f>IFERROR(__xludf.DUMMYFUNCTION("""COMPUTED_VALUE"""),"* TZX27 *")</f>
        <v>* TZX27 *</v>
      </c>
      <c r="AS135" s="64">
        <f>IFERROR(__xludf.DUMMYFUNCTION("""COMPUTED_VALUE"""),288.85)</f>
        <v>288.85</v>
      </c>
    </row>
    <row r="136">
      <c r="A136" s="51"/>
      <c r="B136" s="51"/>
      <c r="C136" s="52"/>
      <c r="D136" s="51"/>
      <c r="E136" s="53"/>
      <c r="F136" s="54"/>
      <c r="G136" s="54"/>
      <c r="H136" s="51"/>
      <c r="I136" s="55"/>
      <c r="J136" s="56"/>
      <c r="K136" s="46"/>
      <c r="L136" s="46"/>
      <c r="M136" s="47"/>
      <c r="N136" s="46"/>
      <c r="O136" s="57"/>
      <c r="P136" s="46"/>
      <c r="Q136" s="46"/>
      <c r="R136" s="57"/>
      <c r="S136" s="7"/>
      <c r="T136" s="54"/>
      <c r="U136" s="58"/>
      <c r="V136" s="47"/>
      <c r="W136" s="18"/>
      <c r="X136" s="46"/>
      <c r="Y136" s="46"/>
      <c r="Z136" s="46"/>
      <c r="AA136" s="7"/>
      <c r="AB136" s="46"/>
      <c r="AC136" s="46"/>
      <c r="AD136" s="47"/>
      <c r="AE136" s="47"/>
      <c r="AF136" s="7"/>
      <c r="AG136" s="7"/>
      <c r="AH136" s="47"/>
      <c r="AI136" s="47"/>
      <c r="AJ136" s="18"/>
      <c r="AK136" s="26"/>
      <c r="AL136" s="34"/>
      <c r="AM136" s="34"/>
      <c r="AN136" s="18"/>
      <c r="AO136" s="18"/>
      <c r="AP136" s="18"/>
      <c r="AQ136" s="18"/>
      <c r="AR136" s="64" t="str">
        <f>IFERROR(__xludf.DUMMYFUNCTION("""COMPUTED_VALUE"""),"* TZX28 *")</f>
        <v>* TZX28 *</v>
      </c>
      <c r="AS136" s="64">
        <f>IFERROR(__xludf.DUMMYFUNCTION("""COMPUTED_VALUE"""),264.25)</f>
        <v>264.25</v>
      </c>
    </row>
    <row r="137">
      <c r="A137" s="51"/>
      <c r="B137" s="51"/>
      <c r="C137" s="52"/>
      <c r="D137" s="51"/>
      <c r="E137" s="53"/>
      <c r="F137" s="54"/>
      <c r="G137" s="54"/>
      <c r="H137" s="51"/>
      <c r="I137" s="55"/>
      <c r="J137" s="56"/>
      <c r="K137" s="46"/>
      <c r="L137" s="46"/>
      <c r="M137" s="47"/>
      <c r="N137" s="46"/>
      <c r="O137" s="57"/>
      <c r="P137" s="46"/>
      <c r="Q137" s="46"/>
      <c r="R137" s="57"/>
      <c r="S137" s="7"/>
      <c r="T137" s="54"/>
      <c r="U137" s="58"/>
      <c r="V137" s="47"/>
      <c r="W137" s="18"/>
      <c r="X137" s="46"/>
      <c r="Y137" s="46"/>
      <c r="Z137" s="46"/>
      <c r="AA137" s="7"/>
      <c r="AB137" s="46"/>
      <c r="AC137" s="46"/>
      <c r="AD137" s="47"/>
      <c r="AE137" s="47"/>
      <c r="AF137" s="7"/>
      <c r="AG137" s="7"/>
      <c r="AH137" s="47"/>
      <c r="AI137" s="47"/>
      <c r="AJ137" s="18"/>
      <c r="AK137" s="26"/>
      <c r="AL137" s="34"/>
      <c r="AM137" s="34"/>
      <c r="AN137" s="18"/>
      <c r="AO137" s="18"/>
      <c r="AP137" s="18"/>
      <c r="AQ137" s="18"/>
      <c r="AR137" s="64" t="str">
        <f>IFERROR(__xludf.DUMMYFUNCTION("""COMPUTED_VALUE"""),"* TZX6C *")</f>
        <v>* TZX6C *</v>
      </c>
      <c r="AS137" s="64">
        <f>IFERROR(__xludf.DUMMYFUNCTION("""COMPUTED_VALUE"""),0.21)</f>
        <v>0.21</v>
      </c>
    </row>
    <row r="138">
      <c r="A138" s="51"/>
      <c r="B138" s="51"/>
      <c r="C138" s="52"/>
      <c r="D138" s="51"/>
      <c r="E138" s="53"/>
      <c r="F138" s="54"/>
      <c r="G138" s="54"/>
      <c r="H138" s="51"/>
      <c r="I138" s="55"/>
      <c r="J138" s="56"/>
      <c r="K138" s="46"/>
      <c r="L138" s="46"/>
      <c r="M138" s="47"/>
      <c r="N138" s="46"/>
      <c r="O138" s="57"/>
      <c r="P138" s="46"/>
      <c r="Q138" s="46"/>
      <c r="R138" s="57"/>
      <c r="S138" s="7"/>
      <c r="T138" s="54"/>
      <c r="U138" s="58"/>
      <c r="V138" s="47"/>
      <c r="W138" s="18"/>
      <c r="X138" s="46"/>
      <c r="Y138" s="46"/>
      <c r="Z138" s="46"/>
      <c r="AA138" s="7"/>
      <c r="AB138" s="46"/>
      <c r="AC138" s="46"/>
      <c r="AD138" s="47"/>
      <c r="AE138" s="47"/>
      <c r="AF138" s="7"/>
      <c r="AG138" s="7"/>
      <c r="AH138" s="47"/>
      <c r="AI138" s="47"/>
      <c r="AJ138" s="18"/>
      <c r="AK138" s="26"/>
      <c r="AL138" s="34"/>
      <c r="AM138" s="34"/>
      <c r="AN138" s="18"/>
      <c r="AO138" s="18"/>
      <c r="AP138" s="18"/>
      <c r="AQ138" s="18"/>
      <c r="AR138" s="64" t="str">
        <f>IFERROR(__xludf.DUMMYFUNCTION("""COMPUTED_VALUE"""),"* TZX6D *")</f>
        <v>* TZX6D *</v>
      </c>
      <c r="AS138" s="64">
        <f>IFERROR(__xludf.DUMMYFUNCTION("""COMPUTED_VALUE"""),0.22)</f>
        <v>0.22</v>
      </c>
    </row>
    <row r="139">
      <c r="A139" s="51"/>
      <c r="B139" s="51"/>
      <c r="C139" s="52"/>
      <c r="D139" s="51"/>
      <c r="E139" s="53"/>
      <c r="F139" s="54"/>
      <c r="G139" s="54"/>
      <c r="H139" s="51"/>
      <c r="I139" s="55"/>
      <c r="J139" s="56"/>
      <c r="K139" s="46"/>
      <c r="L139" s="46"/>
      <c r="M139" s="47"/>
      <c r="N139" s="46"/>
      <c r="O139" s="57"/>
      <c r="P139" s="46"/>
      <c r="Q139" s="46"/>
      <c r="R139" s="57"/>
      <c r="S139" s="7"/>
      <c r="T139" s="54"/>
      <c r="U139" s="58"/>
      <c r="V139" s="47"/>
      <c r="W139" s="18"/>
      <c r="X139" s="46"/>
      <c r="Y139" s="46"/>
      <c r="Z139" s="46"/>
      <c r="AA139" s="7"/>
      <c r="AB139" s="46"/>
      <c r="AC139" s="46"/>
      <c r="AD139" s="47"/>
      <c r="AE139" s="47"/>
      <c r="AF139" s="7"/>
      <c r="AG139" s="7"/>
      <c r="AH139" s="47"/>
      <c r="AI139" s="47"/>
      <c r="AJ139" s="18"/>
      <c r="AK139" s="26"/>
      <c r="AL139" s="34"/>
      <c r="AM139" s="34"/>
      <c r="AN139" s="18"/>
      <c r="AO139" s="18"/>
      <c r="AP139" s="18"/>
      <c r="AQ139" s="18"/>
      <c r="AR139" s="64" t="str">
        <f>IFERROR(__xludf.DUMMYFUNCTION("""COMPUTED_VALUE"""),"* TZX7D *")</f>
        <v>* TZX7D *</v>
      </c>
      <c r="AS139" s="64">
        <f>IFERROR(__xludf.DUMMYFUNCTION("""COMPUTED_VALUE"""),0.18)</f>
        <v>0.18</v>
      </c>
    </row>
    <row r="140">
      <c r="A140" s="51"/>
      <c r="B140" s="51"/>
      <c r="C140" s="52"/>
      <c r="D140" s="51"/>
      <c r="E140" s="53"/>
      <c r="F140" s="54"/>
      <c r="G140" s="54"/>
      <c r="H140" s="51"/>
      <c r="I140" s="55"/>
      <c r="J140" s="56"/>
      <c r="K140" s="46"/>
      <c r="L140" s="46"/>
      <c r="M140" s="47"/>
      <c r="N140" s="46"/>
      <c r="O140" s="57"/>
      <c r="P140" s="46"/>
      <c r="Q140" s="46"/>
      <c r="R140" s="57"/>
      <c r="S140" s="7"/>
      <c r="T140" s="54"/>
      <c r="U140" s="58"/>
      <c r="V140" s="47"/>
      <c r="W140" s="18"/>
      <c r="X140" s="46"/>
      <c r="Y140" s="46"/>
      <c r="Z140" s="46"/>
      <c r="AA140" s="7"/>
      <c r="AB140" s="46"/>
      <c r="AC140" s="46"/>
      <c r="AD140" s="47"/>
      <c r="AE140" s="47"/>
      <c r="AF140" s="7"/>
      <c r="AG140" s="7"/>
      <c r="AH140" s="47"/>
      <c r="AI140" s="47"/>
      <c r="AJ140" s="18"/>
      <c r="AK140" s="26"/>
      <c r="AL140" s="34"/>
      <c r="AM140" s="34"/>
      <c r="AN140" s="18"/>
      <c r="AO140" s="18"/>
      <c r="AP140" s="18"/>
      <c r="AQ140" s="18"/>
      <c r="AR140" s="64" t="str">
        <f>IFERROR(__xludf.DUMMYFUNCTION("""COMPUTED_VALUE"""),"* TZXD5 *")</f>
        <v>* TZXD5 *</v>
      </c>
      <c r="AS140" s="64">
        <f>IFERROR(__xludf.DUMMYFUNCTION("""COMPUTED_VALUE"""),242.55)</f>
        <v>242.55</v>
      </c>
    </row>
    <row r="141">
      <c r="A141" s="51"/>
      <c r="B141" s="51"/>
      <c r="C141" s="52"/>
      <c r="D141" s="51"/>
      <c r="E141" s="53"/>
      <c r="F141" s="54"/>
      <c r="G141" s="54"/>
      <c r="H141" s="51"/>
      <c r="I141" s="55"/>
      <c r="J141" s="56"/>
      <c r="K141" s="46"/>
      <c r="L141" s="46"/>
      <c r="M141" s="47"/>
      <c r="N141" s="46"/>
      <c r="O141" s="57"/>
      <c r="P141" s="46"/>
      <c r="Q141" s="46"/>
      <c r="R141" s="57"/>
      <c r="S141" s="7"/>
      <c r="T141" s="54"/>
      <c r="U141" s="58"/>
      <c r="V141" s="47"/>
      <c r="W141" s="18"/>
      <c r="X141" s="46"/>
      <c r="Y141" s="46"/>
      <c r="Z141" s="46"/>
      <c r="AA141" s="7"/>
      <c r="AB141" s="46"/>
      <c r="AC141" s="46"/>
      <c r="AD141" s="47"/>
      <c r="AE141" s="47"/>
      <c r="AF141" s="7"/>
      <c r="AG141" s="7"/>
      <c r="AH141" s="47"/>
      <c r="AI141" s="47"/>
      <c r="AJ141" s="18"/>
      <c r="AK141" s="26"/>
      <c r="AL141" s="34"/>
      <c r="AM141" s="34"/>
      <c r="AN141" s="18"/>
      <c r="AO141" s="18"/>
      <c r="AP141" s="18"/>
      <c r="AQ141" s="18"/>
      <c r="AR141" s="64" t="str">
        <f>IFERROR(__xludf.DUMMYFUNCTION("""COMPUTED_VALUE"""),"* TZXD6 *")</f>
        <v>* TZXD6 *</v>
      </c>
      <c r="AS141" s="64">
        <f>IFERROR(__xludf.DUMMYFUNCTION("""COMPUTED_VALUE"""),224.65)</f>
        <v>224.65</v>
      </c>
    </row>
    <row r="142">
      <c r="A142" s="51"/>
      <c r="B142" s="51"/>
      <c r="C142" s="52"/>
      <c r="D142" s="51"/>
      <c r="E142" s="53"/>
      <c r="F142" s="54"/>
      <c r="G142" s="54"/>
      <c r="H142" s="51"/>
      <c r="I142" s="55"/>
      <c r="J142" s="56"/>
      <c r="K142" s="46"/>
      <c r="L142" s="46"/>
      <c r="M142" s="47"/>
      <c r="N142" s="46"/>
      <c r="O142" s="57"/>
      <c r="P142" s="46"/>
      <c r="Q142" s="46"/>
      <c r="R142" s="57"/>
      <c r="S142" s="7"/>
      <c r="T142" s="54"/>
      <c r="U142" s="58"/>
      <c r="V142" s="47"/>
      <c r="W142" s="18"/>
      <c r="X142" s="46"/>
      <c r="Y142" s="46"/>
      <c r="Z142" s="46"/>
      <c r="AA142" s="7"/>
      <c r="AB142" s="46"/>
      <c r="AC142" s="46"/>
      <c r="AD142" s="47"/>
      <c r="AE142" s="47"/>
      <c r="AF142" s="7"/>
      <c r="AG142" s="7"/>
      <c r="AH142" s="47"/>
      <c r="AI142" s="47"/>
      <c r="AJ142" s="18"/>
      <c r="AK142" s="26"/>
      <c r="AL142" s="34"/>
      <c r="AM142" s="34"/>
      <c r="AN142" s="18"/>
      <c r="AO142" s="18"/>
      <c r="AP142" s="18"/>
      <c r="AQ142" s="18"/>
      <c r="AR142" s="64" t="str">
        <f>IFERROR(__xludf.DUMMYFUNCTION("""COMPUTED_VALUE"""),"* TZXD7 *")</f>
        <v>* TZXD7 *</v>
      </c>
      <c r="AS142" s="64">
        <f>IFERROR(__xludf.DUMMYFUNCTION("""COMPUTED_VALUE"""),204.5)</f>
        <v>204.5</v>
      </c>
    </row>
    <row r="143">
      <c r="A143" s="51"/>
      <c r="B143" s="51"/>
      <c r="C143" s="52"/>
      <c r="D143" s="51"/>
      <c r="E143" s="53"/>
      <c r="F143" s="54"/>
      <c r="G143" s="54"/>
      <c r="H143" s="51"/>
      <c r="I143" s="55"/>
      <c r="J143" s="56"/>
      <c r="K143" s="46"/>
      <c r="L143" s="46"/>
      <c r="M143" s="47"/>
      <c r="N143" s="46"/>
      <c r="O143" s="57"/>
      <c r="P143" s="46"/>
      <c r="Q143" s="46"/>
      <c r="R143" s="57"/>
      <c r="S143" s="7"/>
      <c r="T143" s="54"/>
      <c r="U143" s="58"/>
      <c r="V143" s="47"/>
      <c r="W143" s="18"/>
      <c r="X143" s="46"/>
      <c r="Y143" s="46"/>
      <c r="Z143" s="46"/>
      <c r="AA143" s="7"/>
      <c r="AB143" s="46"/>
      <c r="AC143" s="46"/>
      <c r="AD143" s="47"/>
      <c r="AE143" s="47"/>
      <c r="AF143" s="7"/>
      <c r="AG143" s="7"/>
      <c r="AH143" s="47"/>
      <c r="AI143" s="47"/>
      <c r="AJ143" s="18"/>
      <c r="AK143" s="26"/>
      <c r="AL143" s="34"/>
      <c r="AM143" s="34"/>
      <c r="AN143" s="18"/>
      <c r="AO143" s="18"/>
      <c r="AP143" s="18"/>
      <c r="AQ143" s="18"/>
      <c r="AR143" s="64" t="str">
        <f>IFERROR(__xludf.DUMMYFUNCTION("""COMPUTED_VALUE"""),"* TZXM6 *")</f>
        <v>* TZXM6 *</v>
      </c>
      <c r="AS143" s="64">
        <f>IFERROR(__xludf.DUMMYFUNCTION("""COMPUTED_VALUE"""),193.6)</f>
        <v>193.6</v>
      </c>
    </row>
    <row r="144">
      <c r="A144" s="51"/>
      <c r="B144" s="51"/>
      <c r="C144" s="52"/>
      <c r="D144" s="51"/>
      <c r="E144" s="53"/>
      <c r="F144" s="54"/>
      <c r="G144" s="54"/>
      <c r="H144" s="51"/>
      <c r="I144" s="55"/>
      <c r="J144" s="56"/>
      <c r="K144" s="46"/>
      <c r="L144" s="46"/>
      <c r="M144" s="47"/>
      <c r="N144" s="46"/>
      <c r="O144" s="57"/>
      <c r="P144" s="46"/>
      <c r="Q144" s="46"/>
      <c r="R144" s="57"/>
      <c r="S144" s="7"/>
      <c r="T144" s="54"/>
      <c r="U144" s="58"/>
      <c r="V144" s="47"/>
      <c r="W144" s="18"/>
      <c r="X144" s="46"/>
      <c r="Y144" s="46"/>
      <c r="Z144" s="46"/>
      <c r="AA144" s="7"/>
      <c r="AB144" s="46"/>
      <c r="AC144" s="46"/>
      <c r="AD144" s="47"/>
      <c r="AE144" s="47"/>
      <c r="AF144" s="7"/>
      <c r="AG144" s="7"/>
      <c r="AH144" s="47"/>
      <c r="AI144" s="47"/>
      <c r="AJ144" s="18"/>
      <c r="AK144" s="26"/>
      <c r="AL144" s="34"/>
      <c r="AM144" s="34"/>
      <c r="AN144" s="18"/>
      <c r="AO144" s="18"/>
      <c r="AP144" s="18"/>
      <c r="AQ144" s="18"/>
      <c r="AR144" s="64" t="str">
        <f>IFERROR(__xludf.DUMMYFUNCTION("""COMPUTED_VALUE"""),"* TZXM7 *")</f>
        <v>* TZXM7 *</v>
      </c>
      <c r="AS144" s="64">
        <f>IFERROR(__xludf.DUMMYFUNCTION("""COMPUTED_VALUE"""),164.5)</f>
        <v>164.5</v>
      </c>
    </row>
    <row r="145">
      <c r="A145" s="51"/>
      <c r="B145" s="51"/>
      <c r="C145" s="52"/>
      <c r="D145" s="51"/>
      <c r="E145" s="53"/>
      <c r="F145" s="54"/>
      <c r="G145" s="54"/>
      <c r="H145" s="51"/>
      <c r="I145" s="55"/>
      <c r="J145" s="56"/>
      <c r="K145" s="46"/>
      <c r="L145" s="46"/>
      <c r="M145" s="47"/>
      <c r="N145" s="46"/>
      <c r="O145" s="57"/>
      <c r="P145" s="46"/>
      <c r="Q145" s="46"/>
      <c r="R145" s="57"/>
      <c r="S145" s="7"/>
      <c r="T145" s="54"/>
      <c r="U145" s="58"/>
      <c r="V145" s="47"/>
      <c r="W145" s="18"/>
      <c r="X145" s="46"/>
      <c r="Y145" s="46"/>
      <c r="Z145" s="46"/>
      <c r="AA145" s="7"/>
      <c r="AB145" s="46"/>
      <c r="AC145" s="46"/>
      <c r="AD145" s="47"/>
      <c r="AE145" s="47"/>
      <c r="AF145" s="7"/>
      <c r="AG145" s="7"/>
      <c r="AH145" s="47"/>
      <c r="AI145" s="47"/>
      <c r="AJ145" s="18"/>
      <c r="AK145" s="26"/>
      <c r="AL145" s="34"/>
      <c r="AM145" s="34"/>
      <c r="AN145" s="18"/>
      <c r="AO145" s="18"/>
      <c r="AP145" s="18"/>
      <c r="AQ145" s="18"/>
      <c r="AR145" s="64" t="str">
        <f>IFERROR(__xludf.DUMMYFUNCTION("""COMPUTED_VALUE"""),"* TZXO6 *")</f>
        <v>* TZXO6 *</v>
      </c>
      <c r="AS145" s="64">
        <f>IFERROR(__xludf.DUMMYFUNCTION("""COMPUTED_VALUE"""),128.5)</f>
        <v>128.5</v>
      </c>
    </row>
    <row r="146">
      <c r="A146" s="51"/>
      <c r="B146" s="51"/>
      <c r="C146" s="52"/>
      <c r="D146" s="51"/>
      <c r="E146" s="53"/>
      <c r="F146" s="54"/>
      <c r="G146" s="54"/>
      <c r="H146" s="51"/>
      <c r="I146" s="55"/>
      <c r="J146" s="56"/>
      <c r="K146" s="46"/>
      <c r="L146" s="46"/>
      <c r="M146" s="47"/>
      <c r="N146" s="46"/>
      <c r="O146" s="57"/>
      <c r="P146" s="46"/>
      <c r="Q146" s="46"/>
      <c r="R146" s="57"/>
      <c r="S146" s="7"/>
      <c r="T146" s="54"/>
      <c r="U146" s="58"/>
      <c r="V146" s="47"/>
      <c r="W146" s="18"/>
      <c r="X146" s="46"/>
      <c r="Y146" s="46"/>
      <c r="Z146" s="46"/>
      <c r="AA146" s="7"/>
      <c r="AB146" s="46"/>
      <c r="AC146" s="46"/>
      <c r="AD146" s="47"/>
      <c r="AE146" s="47"/>
      <c r="AF146" s="7"/>
      <c r="AG146" s="7"/>
      <c r="AH146" s="47"/>
      <c r="AI146" s="47"/>
      <c r="AJ146" s="18"/>
      <c r="AK146" s="26"/>
      <c r="AL146" s="34"/>
      <c r="AM146" s="34"/>
      <c r="AN146" s="18"/>
      <c r="AO146" s="18"/>
      <c r="AP146" s="18"/>
      <c r="AQ146" s="18"/>
      <c r="AR146" s="64" t="str">
        <f>IFERROR(__xludf.DUMMYFUNCTION("""COMPUTED_VALUE"""),"* X29Y6 *")</f>
        <v>* X29Y6 *</v>
      </c>
      <c r="AS146" s="64">
        <f>IFERROR(__xludf.DUMMYFUNCTION("""COMPUTED_VALUE"""),98.55)</f>
        <v>98.55</v>
      </c>
    </row>
    <row r="147">
      <c r="A147" s="51"/>
      <c r="B147" s="51"/>
      <c r="C147" s="52"/>
      <c r="D147" s="51"/>
      <c r="E147" s="53"/>
      <c r="F147" s="54"/>
      <c r="G147" s="54"/>
      <c r="H147" s="51"/>
      <c r="I147" s="55"/>
      <c r="J147" s="56"/>
      <c r="K147" s="46"/>
      <c r="L147" s="46"/>
      <c r="M147" s="47"/>
      <c r="N147" s="46"/>
      <c r="O147" s="57"/>
      <c r="P147" s="46"/>
      <c r="Q147" s="46"/>
      <c r="R147" s="57"/>
      <c r="S147" s="7"/>
      <c r="T147" s="54"/>
      <c r="U147" s="58"/>
      <c r="V147" s="47"/>
      <c r="W147" s="18"/>
      <c r="X147" s="46"/>
      <c r="Y147" s="46"/>
      <c r="Z147" s="46"/>
      <c r="AA147" s="7"/>
      <c r="AB147" s="46"/>
      <c r="AC147" s="46"/>
      <c r="AD147" s="47"/>
      <c r="AE147" s="47"/>
      <c r="AF147" s="7"/>
      <c r="AG147" s="7"/>
      <c r="AH147" s="47"/>
      <c r="AI147" s="47"/>
      <c r="AJ147" s="18"/>
      <c r="AK147" s="26"/>
      <c r="AL147" s="34"/>
      <c r="AM147" s="34"/>
      <c r="AN147" s="18"/>
      <c r="AO147" s="18"/>
      <c r="AP147" s="18"/>
      <c r="AQ147" s="18"/>
      <c r="AR147" s="64"/>
      <c r="AS147" s="64"/>
    </row>
    <row r="148">
      <c r="A148" s="51"/>
      <c r="B148" s="51"/>
      <c r="C148" s="52"/>
      <c r="D148" s="51"/>
      <c r="E148" s="53"/>
      <c r="F148" s="54"/>
      <c r="G148" s="54"/>
      <c r="H148" s="51"/>
      <c r="I148" s="55"/>
      <c r="J148" s="56"/>
      <c r="K148" s="46"/>
      <c r="L148" s="46"/>
      <c r="M148" s="47"/>
      <c r="N148" s="46"/>
      <c r="O148" s="57"/>
      <c r="P148" s="46"/>
      <c r="Q148" s="46"/>
      <c r="R148" s="57"/>
      <c r="S148" s="7"/>
      <c r="T148" s="54"/>
      <c r="U148" s="58"/>
      <c r="V148" s="47"/>
      <c r="W148" s="18"/>
      <c r="X148" s="46"/>
      <c r="Y148" s="46"/>
      <c r="Z148" s="46"/>
      <c r="AA148" s="7"/>
      <c r="AB148" s="46"/>
      <c r="AC148" s="46"/>
      <c r="AD148" s="47"/>
      <c r="AE148" s="47"/>
      <c r="AF148" s="7"/>
      <c r="AG148" s="7"/>
      <c r="AH148" s="47"/>
      <c r="AI148" s="47"/>
      <c r="AJ148" s="18"/>
      <c r="AK148" s="26"/>
      <c r="AL148" s="34"/>
      <c r="AM148" s="34"/>
      <c r="AN148" s="18"/>
      <c r="AO148" s="18"/>
      <c r="AP148" s="18"/>
      <c r="AQ148" s="18"/>
      <c r="AR148" s="64"/>
      <c r="AS148" s="64"/>
    </row>
    <row r="149">
      <c r="A149" s="51"/>
      <c r="B149" s="51"/>
      <c r="C149" s="52"/>
      <c r="D149" s="51"/>
      <c r="E149" s="53"/>
      <c r="F149" s="54"/>
      <c r="G149" s="54"/>
      <c r="H149" s="51"/>
      <c r="I149" s="55"/>
      <c r="J149" s="56"/>
      <c r="K149" s="46"/>
      <c r="L149" s="46"/>
      <c r="M149" s="47"/>
      <c r="N149" s="46"/>
      <c r="O149" s="57"/>
      <c r="P149" s="46"/>
      <c r="Q149" s="46"/>
      <c r="R149" s="57"/>
      <c r="S149" s="7"/>
      <c r="T149" s="54"/>
      <c r="U149" s="58"/>
      <c r="V149" s="47"/>
      <c r="W149" s="18"/>
      <c r="X149" s="46"/>
      <c r="Y149" s="46"/>
      <c r="Z149" s="46"/>
      <c r="AA149" s="7"/>
      <c r="AB149" s="46"/>
      <c r="AC149" s="46"/>
      <c r="AD149" s="47"/>
      <c r="AE149" s="47"/>
      <c r="AF149" s="7"/>
      <c r="AG149" s="7"/>
      <c r="AH149" s="47"/>
      <c r="AI149" s="47"/>
      <c r="AJ149" s="18"/>
      <c r="AK149" s="26"/>
      <c r="AL149" s="34"/>
      <c r="AM149" s="34"/>
      <c r="AN149" s="18"/>
      <c r="AO149" s="18"/>
      <c r="AP149" s="18"/>
      <c r="AQ149" s="18"/>
      <c r="AR149" s="64"/>
      <c r="AS149" s="64"/>
    </row>
    <row r="150">
      <c r="A150" s="51"/>
      <c r="B150" s="51"/>
      <c r="C150" s="52"/>
      <c r="D150" s="51"/>
      <c r="E150" s="53"/>
      <c r="F150" s="54"/>
      <c r="G150" s="54"/>
      <c r="H150" s="51"/>
      <c r="I150" s="55"/>
      <c r="J150" s="56"/>
      <c r="K150" s="46"/>
      <c r="L150" s="46"/>
      <c r="M150" s="47"/>
      <c r="N150" s="46"/>
      <c r="O150" s="57"/>
      <c r="P150" s="46"/>
      <c r="Q150" s="46"/>
      <c r="R150" s="57"/>
      <c r="S150" s="7"/>
      <c r="T150" s="54"/>
      <c r="U150" s="58"/>
      <c r="V150" s="47"/>
      <c r="W150" s="18"/>
      <c r="X150" s="46"/>
      <c r="Y150" s="46"/>
      <c r="Z150" s="46"/>
      <c r="AA150" s="7"/>
      <c r="AB150" s="46"/>
      <c r="AC150" s="46"/>
      <c r="AD150" s="47"/>
      <c r="AE150" s="47"/>
      <c r="AF150" s="7"/>
      <c r="AG150" s="7"/>
      <c r="AH150" s="47"/>
      <c r="AI150" s="47"/>
      <c r="AJ150" s="18"/>
      <c r="AK150" s="26"/>
      <c r="AL150" s="34"/>
      <c r="AM150" s="34"/>
      <c r="AN150" s="18"/>
      <c r="AO150" s="18"/>
      <c r="AP150" s="18"/>
      <c r="AQ150" s="18"/>
      <c r="AR150" s="64"/>
      <c r="AS150" s="64"/>
    </row>
    <row r="151">
      <c r="A151" s="51"/>
      <c r="B151" s="51"/>
      <c r="C151" s="52"/>
      <c r="D151" s="51"/>
      <c r="E151" s="53"/>
      <c r="F151" s="54"/>
      <c r="G151" s="54"/>
      <c r="H151" s="51"/>
      <c r="I151" s="55"/>
      <c r="J151" s="56"/>
      <c r="K151" s="46"/>
      <c r="L151" s="46"/>
      <c r="M151" s="47"/>
      <c r="N151" s="46"/>
      <c r="O151" s="57"/>
      <c r="P151" s="46"/>
      <c r="Q151" s="46"/>
      <c r="R151" s="57"/>
      <c r="S151" s="7"/>
      <c r="T151" s="54"/>
      <c r="U151" s="58"/>
      <c r="V151" s="47"/>
      <c r="W151" s="18"/>
      <c r="X151" s="46"/>
      <c r="Y151" s="46"/>
      <c r="Z151" s="46"/>
      <c r="AA151" s="7"/>
      <c r="AB151" s="46"/>
      <c r="AC151" s="46"/>
      <c r="AD151" s="47"/>
      <c r="AE151" s="47"/>
      <c r="AF151" s="7"/>
      <c r="AG151" s="7"/>
      <c r="AH151" s="47"/>
      <c r="AI151" s="47"/>
      <c r="AJ151" s="18"/>
      <c r="AK151" s="26"/>
      <c r="AL151" s="34"/>
      <c r="AM151" s="34"/>
      <c r="AN151" s="18"/>
      <c r="AO151" s="18"/>
      <c r="AP151" s="18"/>
      <c r="AQ151" s="18"/>
      <c r="AR151" s="64"/>
      <c r="AS151" s="64"/>
    </row>
    <row r="152">
      <c r="A152" s="51"/>
      <c r="B152" s="51"/>
      <c r="C152" s="52"/>
      <c r="D152" s="51"/>
      <c r="E152" s="53"/>
      <c r="F152" s="54"/>
      <c r="G152" s="54"/>
      <c r="H152" s="51"/>
      <c r="I152" s="55"/>
      <c r="J152" s="56"/>
      <c r="K152" s="46"/>
      <c r="L152" s="46"/>
      <c r="M152" s="47"/>
      <c r="N152" s="46"/>
      <c r="O152" s="57"/>
      <c r="P152" s="46"/>
      <c r="Q152" s="46"/>
      <c r="R152" s="57"/>
      <c r="S152" s="7"/>
      <c r="T152" s="54"/>
      <c r="U152" s="58"/>
      <c r="V152" s="47"/>
      <c r="W152" s="18"/>
      <c r="X152" s="46"/>
      <c r="Y152" s="46"/>
      <c r="Z152" s="46"/>
      <c r="AA152" s="7"/>
      <c r="AB152" s="46"/>
      <c r="AC152" s="46"/>
      <c r="AD152" s="47"/>
      <c r="AE152" s="47"/>
      <c r="AF152" s="7"/>
      <c r="AG152" s="7"/>
      <c r="AH152" s="47"/>
      <c r="AI152" s="47"/>
      <c r="AJ152" s="18"/>
      <c r="AK152" s="26"/>
      <c r="AL152" s="34"/>
      <c r="AM152" s="34"/>
      <c r="AN152" s="18"/>
      <c r="AO152" s="18"/>
      <c r="AP152" s="18"/>
      <c r="AQ152" s="18"/>
      <c r="AR152" s="64"/>
      <c r="AS152" s="64"/>
    </row>
    <row r="153">
      <c r="A153" s="51"/>
      <c r="B153" s="51"/>
      <c r="C153" s="52"/>
      <c r="D153" s="51"/>
      <c r="E153" s="53"/>
      <c r="F153" s="54"/>
      <c r="G153" s="54"/>
      <c r="H153" s="51"/>
      <c r="I153" s="55"/>
      <c r="J153" s="56"/>
      <c r="K153" s="46"/>
      <c r="L153" s="46"/>
      <c r="M153" s="47"/>
      <c r="N153" s="46"/>
      <c r="O153" s="57"/>
      <c r="P153" s="46"/>
      <c r="Q153" s="46"/>
      <c r="R153" s="57"/>
      <c r="S153" s="7"/>
      <c r="T153" s="54"/>
      <c r="U153" s="58"/>
      <c r="V153" s="47"/>
      <c r="W153" s="18"/>
      <c r="X153" s="46"/>
      <c r="Y153" s="46"/>
      <c r="Z153" s="46"/>
      <c r="AA153" s="7"/>
      <c r="AB153" s="46"/>
      <c r="AC153" s="46"/>
      <c r="AD153" s="47"/>
      <c r="AE153" s="47"/>
      <c r="AF153" s="7"/>
      <c r="AG153" s="7"/>
      <c r="AH153" s="47"/>
      <c r="AI153" s="47"/>
      <c r="AJ153" s="18"/>
      <c r="AK153" s="26"/>
      <c r="AL153" s="34"/>
      <c r="AM153" s="34"/>
      <c r="AN153" s="18"/>
      <c r="AO153" s="18"/>
      <c r="AP153" s="18"/>
      <c r="AQ153" s="18"/>
      <c r="AR153" s="64"/>
      <c r="AS153" s="64"/>
    </row>
    <row r="154">
      <c r="A154" s="51"/>
      <c r="B154" s="51"/>
      <c r="C154" s="52"/>
      <c r="D154" s="51"/>
      <c r="E154" s="53"/>
      <c r="F154" s="54"/>
      <c r="G154" s="54"/>
      <c r="H154" s="51"/>
      <c r="I154" s="55"/>
      <c r="J154" s="56"/>
      <c r="K154" s="46"/>
      <c r="L154" s="46"/>
      <c r="M154" s="47"/>
      <c r="N154" s="46"/>
      <c r="O154" s="57"/>
      <c r="P154" s="46"/>
      <c r="Q154" s="46"/>
      <c r="R154" s="57"/>
      <c r="S154" s="7"/>
      <c r="T154" s="54"/>
      <c r="U154" s="58"/>
      <c r="V154" s="47"/>
      <c r="W154" s="18"/>
      <c r="X154" s="46"/>
      <c r="Y154" s="46"/>
      <c r="Z154" s="46"/>
      <c r="AA154" s="7"/>
      <c r="AB154" s="46"/>
      <c r="AC154" s="46"/>
      <c r="AD154" s="47"/>
      <c r="AE154" s="47"/>
      <c r="AF154" s="7"/>
      <c r="AG154" s="7"/>
      <c r="AH154" s="47"/>
      <c r="AI154" s="47"/>
      <c r="AJ154" s="18"/>
      <c r="AK154" s="26"/>
      <c r="AL154" s="34"/>
      <c r="AM154" s="34"/>
      <c r="AN154" s="18"/>
      <c r="AO154" s="18"/>
      <c r="AP154" s="18"/>
      <c r="AQ154" s="18"/>
      <c r="AR154" s="64"/>
      <c r="AS154" s="64"/>
    </row>
    <row r="155">
      <c r="A155" s="51"/>
      <c r="B155" s="51"/>
      <c r="C155" s="52"/>
      <c r="D155" s="51"/>
      <c r="E155" s="53"/>
      <c r="F155" s="54"/>
      <c r="G155" s="54"/>
      <c r="H155" s="51"/>
      <c r="I155" s="55"/>
      <c r="J155" s="56"/>
      <c r="K155" s="46"/>
      <c r="L155" s="46"/>
      <c r="M155" s="47"/>
      <c r="N155" s="46"/>
      <c r="O155" s="57"/>
      <c r="P155" s="46"/>
      <c r="Q155" s="46"/>
      <c r="R155" s="57"/>
      <c r="S155" s="7"/>
      <c r="T155" s="54"/>
      <c r="U155" s="58"/>
      <c r="V155" s="47"/>
      <c r="W155" s="18"/>
      <c r="X155" s="46"/>
      <c r="Y155" s="46"/>
      <c r="Z155" s="46"/>
      <c r="AA155" s="7"/>
      <c r="AB155" s="46"/>
      <c r="AC155" s="46"/>
      <c r="AD155" s="47"/>
      <c r="AE155" s="47"/>
      <c r="AF155" s="7"/>
      <c r="AG155" s="7"/>
      <c r="AH155" s="47"/>
      <c r="AI155" s="47"/>
      <c r="AJ155" s="18"/>
      <c r="AK155" s="26"/>
      <c r="AL155" s="34"/>
      <c r="AM155" s="34"/>
      <c r="AN155" s="18"/>
      <c r="AO155" s="18"/>
      <c r="AP155" s="18"/>
      <c r="AQ155" s="18"/>
      <c r="AR155" s="64"/>
      <c r="AS155" s="64"/>
    </row>
    <row r="156">
      <c r="A156" s="51"/>
      <c r="B156" s="51"/>
      <c r="C156" s="52"/>
      <c r="D156" s="51"/>
      <c r="E156" s="53"/>
      <c r="F156" s="54"/>
      <c r="G156" s="54"/>
      <c r="H156" s="51"/>
      <c r="I156" s="55"/>
      <c r="J156" s="56"/>
      <c r="K156" s="46"/>
      <c r="L156" s="46"/>
      <c r="M156" s="47"/>
      <c r="N156" s="46"/>
      <c r="O156" s="57"/>
      <c r="P156" s="46"/>
      <c r="Q156" s="46"/>
      <c r="R156" s="57"/>
      <c r="S156" s="7"/>
      <c r="T156" s="54"/>
      <c r="U156" s="58"/>
      <c r="V156" s="47"/>
      <c r="W156" s="18"/>
      <c r="X156" s="46"/>
      <c r="Y156" s="46"/>
      <c r="Z156" s="46"/>
      <c r="AA156" s="7"/>
      <c r="AB156" s="46"/>
      <c r="AC156" s="46"/>
      <c r="AD156" s="47"/>
      <c r="AE156" s="47"/>
      <c r="AF156" s="7"/>
      <c r="AG156" s="7"/>
      <c r="AH156" s="47"/>
      <c r="AI156" s="47"/>
      <c r="AJ156" s="18"/>
      <c r="AK156" s="26"/>
      <c r="AL156" s="34"/>
      <c r="AM156" s="34"/>
      <c r="AN156" s="18"/>
      <c r="AO156" s="18"/>
      <c r="AP156" s="18"/>
      <c r="AQ156" s="18"/>
      <c r="AR156" s="64"/>
      <c r="AS156" s="64"/>
    </row>
    <row r="157">
      <c r="A157" s="51"/>
      <c r="B157" s="51"/>
      <c r="C157" s="52"/>
      <c r="D157" s="51"/>
      <c r="E157" s="53"/>
      <c r="F157" s="54"/>
      <c r="G157" s="54"/>
      <c r="H157" s="51"/>
      <c r="I157" s="55"/>
      <c r="J157" s="56"/>
      <c r="K157" s="46"/>
      <c r="L157" s="46"/>
      <c r="M157" s="47"/>
      <c r="N157" s="46"/>
      <c r="O157" s="57"/>
      <c r="P157" s="46"/>
      <c r="Q157" s="46"/>
      <c r="R157" s="57"/>
      <c r="S157" s="7"/>
      <c r="T157" s="54"/>
      <c r="U157" s="58"/>
      <c r="V157" s="47"/>
      <c r="W157" s="18"/>
      <c r="X157" s="46"/>
      <c r="Y157" s="46"/>
      <c r="Z157" s="46"/>
      <c r="AA157" s="7"/>
      <c r="AB157" s="46"/>
      <c r="AC157" s="46"/>
      <c r="AD157" s="47"/>
      <c r="AE157" s="47"/>
      <c r="AF157" s="7"/>
      <c r="AG157" s="7"/>
      <c r="AH157" s="47"/>
      <c r="AI157" s="47"/>
      <c r="AJ157" s="18"/>
      <c r="AK157" s="26"/>
      <c r="AL157" s="34"/>
      <c r="AM157" s="34"/>
      <c r="AN157" s="18"/>
      <c r="AO157" s="18"/>
      <c r="AP157" s="18"/>
      <c r="AQ157" s="18"/>
      <c r="AR157" s="64"/>
      <c r="AS157" s="64"/>
    </row>
    <row r="158">
      <c r="A158" s="51"/>
      <c r="B158" s="51"/>
      <c r="C158" s="52"/>
      <c r="D158" s="51"/>
      <c r="E158" s="53"/>
      <c r="F158" s="54"/>
      <c r="G158" s="54"/>
      <c r="H158" s="51"/>
      <c r="I158" s="55"/>
      <c r="J158" s="56"/>
      <c r="K158" s="46"/>
      <c r="L158" s="46"/>
      <c r="M158" s="47"/>
      <c r="N158" s="46"/>
      <c r="O158" s="57"/>
      <c r="P158" s="46"/>
      <c r="Q158" s="46"/>
      <c r="R158" s="57"/>
      <c r="S158" s="7"/>
      <c r="T158" s="54"/>
      <c r="U158" s="58"/>
      <c r="V158" s="47"/>
      <c r="W158" s="18"/>
      <c r="X158" s="46"/>
      <c r="Y158" s="46"/>
      <c r="Z158" s="46"/>
      <c r="AA158" s="7"/>
      <c r="AB158" s="46"/>
      <c r="AC158" s="46"/>
      <c r="AD158" s="47"/>
      <c r="AE158" s="47"/>
      <c r="AF158" s="7"/>
      <c r="AG158" s="7"/>
      <c r="AH158" s="47"/>
      <c r="AI158" s="47"/>
      <c r="AJ158" s="18"/>
      <c r="AK158" s="26"/>
      <c r="AL158" s="34"/>
      <c r="AM158" s="34"/>
      <c r="AN158" s="18"/>
      <c r="AO158" s="18"/>
      <c r="AP158" s="18"/>
      <c r="AQ158" s="18"/>
      <c r="AR158" s="64"/>
      <c r="AS158" s="64"/>
    </row>
    <row r="159">
      <c r="A159" s="51"/>
      <c r="B159" s="51"/>
      <c r="C159" s="52"/>
      <c r="D159" s="51"/>
      <c r="E159" s="53"/>
      <c r="F159" s="54"/>
      <c r="G159" s="54"/>
      <c r="H159" s="51"/>
      <c r="I159" s="55"/>
      <c r="J159" s="56"/>
      <c r="K159" s="46"/>
      <c r="L159" s="46"/>
      <c r="M159" s="47"/>
      <c r="N159" s="46"/>
      <c r="O159" s="57"/>
      <c r="P159" s="46"/>
      <c r="Q159" s="46"/>
      <c r="R159" s="57"/>
      <c r="S159" s="7"/>
      <c r="T159" s="54"/>
      <c r="U159" s="58"/>
      <c r="V159" s="47"/>
      <c r="W159" s="18"/>
      <c r="X159" s="46"/>
      <c r="Y159" s="46"/>
      <c r="Z159" s="46"/>
      <c r="AA159" s="7"/>
      <c r="AB159" s="46"/>
      <c r="AC159" s="46"/>
      <c r="AD159" s="47"/>
      <c r="AE159" s="47"/>
      <c r="AF159" s="7"/>
      <c r="AG159" s="7"/>
      <c r="AH159" s="47"/>
      <c r="AI159" s="47"/>
      <c r="AJ159" s="18"/>
      <c r="AK159" s="26"/>
      <c r="AL159" s="34"/>
      <c r="AM159" s="34"/>
      <c r="AN159" s="18"/>
      <c r="AO159" s="18"/>
      <c r="AP159" s="18"/>
      <c r="AQ159" s="18"/>
      <c r="AR159" s="64"/>
      <c r="AS159" s="64"/>
    </row>
    <row r="160">
      <c r="A160" s="51"/>
      <c r="B160" s="51"/>
      <c r="C160" s="52"/>
      <c r="D160" s="51"/>
      <c r="E160" s="53"/>
      <c r="F160" s="54"/>
      <c r="G160" s="54"/>
      <c r="H160" s="51"/>
      <c r="I160" s="55"/>
      <c r="J160" s="56"/>
      <c r="K160" s="46"/>
      <c r="L160" s="46"/>
      <c r="M160" s="47"/>
      <c r="N160" s="46"/>
      <c r="O160" s="57"/>
      <c r="P160" s="46"/>
      <c r="Q160" s="46"/>
      <c r="R160" s="57"/>
      <c r="S160" s="7"/>
      <c r="T160" s="54"/>
      <c r="U160" s="58"/>
      <c r="V160" s="47"/>
      <c r="W160" s="18"/>
      <c r="X160" s="46"/>
      <c r="Y160" s="46"/>
      <c r="Z160" s="46"/>
      <c r="AA160" s="7"/>
      <c r="AB160" s="46"/>
      <c r="AC160" s="46"/>
      <c r="AD160" s="47"/>
      <c r="AE160" s="47"/>
      <c r="AF160" s="7"/>
      <c r="AG160" s="7"/>
      <c r="AH160" s="47"/>
      <c r="AI160" s="47"/>
      <c r="AJ160" s="18"/>
      <c r="AK160" s="26"/>
      <c r="AL160" s="34"/>
      <c r="AM160" s="34"/>
      <c r="AN160" s="18"/>
      <c r="AO160" s="18"/>
      <c r="AP160" s="18"/>
      <c r="AQ160" s="18"/>
      <c r="AR160" s="64"/>
      <c r="AS160" s="64"/>
    </row>
    <row r="161">
      <c r="A161" s="51"/>
      <c r="B161" s="51"/>
      <c r="C161" s="52"/>
      <c r="D161" s="51"/>
      <c r="E161" s="53"/>
      <c r="F161" s="54"/>
      <c r="G161" s="54"/>
      <c r="H161" s="51"/>
      <c r="I161" s="55"/>
      <c r="J161" s="56"/>
      <c r="K161" s="46"/>
      <c r="L161" s="46"/>
      <c r="M161" s="47"/>
      <c r="N161" s="46"/>
      <c r="O161" s="57"/>
      <c r="P161" s="46"/>
      <c r="Q161" s="46"/>
      <c r="R161" s="57"/>
      <c r="S161" s="7"/>
      <c r="T161" s="54"/>
      <c r="U161" s="58"/>
      <c r="V161" s="47"/>
      <c r="W161" s="18"/>
      <c r="X161" s="46"/>
      <c r="Y161" s="46"/>
      <c r="Z161" s="46"/>
      <c r="AA161" s="7"/>
      <c r="AB161" s="46"/>
      <c r="AC161" s="46"/>
      <c r="AD161" s="47"/>
      <c r="AE161" s="47"/>
      <c r="AF161" s="7"/>
      <c r="AG161" s="7"/>
      <c r="AH161" s="47"/>
      <c r="AI161" s="47"/>
      <c r="AJ161" s="18"/>
      <c r="AK161" s="26"/>
      <c r="AL161" s="34"/>
      <c r="AM161" s="34"/>
      <c r="AN161" s="18"/>
      <c r="AO161" s="18"/>
      <c r="AP161" s="18"/>
      <c r="AQ161" s="18"/>
      <c r="AR161" s="64"/>
      <c r="AS161" s="64"/>
    </row>
    <row r="162">
      <c r="A162" s="51"/>
      <c r="B162" s="51"/>
      <c r="C162" s="52"/>
      <c r="D162" s="51"/>
      <c r="E162" s="53"/>
      <c r="F162" s="54"/>
      <c r="G162" s="54"/>
      <c r="H162" s="51"/>
      <c r="I162" s="55"/>
      <c r="J162" s="56"/>
      <c r="K162" s="46"/>
      <c r="L162" s="46"/>
      <c r="M162" s="47"/>
      <c r="N162" s="46"/>
      <c r="O162" s="57"/>
      <c r="P162" s="46"/>
      <c r="Q162" s="46"/>
      <c r="R162" s="57"/>
      <c r="S162" s="7"/>
      <c r="T162" s="54"/>
      <c r="U162" s="58"/>
      <c r="V162" s="47"/>
      <c r="W162" s="18"/>
      <c r="X162" s="46"/>
      <c r="Y162" s="46"/>
      <c r="Z162" s="46"/>
      <c r="AA162" s="7"/>
      <c r="AB162" s="46"/>
      <c r="AC162" s="46"/>
      <c r="AD162" s="47"/>
      <c r="AE162" s="47"/>
      <c r="AF162" s="7"/>
      <c r="AG162" s="7"/>
      <c r="AH162" s="47"/>
      <c r="AI162" s="47"/>
      <c r="AJ162" s="18"/>
      <c r="AK162" s="26"/>
      <c r="AL162" s="34"/>
      <c r="AM162" s="34"/>
      <c r="AN162" s="18"/>
      <c r="AO162" s="18"/>
      <c r="AP162" s="18"/>
      <c r="AQ162" s="18"/>
      <c r="AR162" s="64"/>
      <c r="AS162" s="64"/>
    </row>
    <row r="163">
      <c r="A163" s="51"/>
      <c r="B163" s="51"/>
      <c r="C163" s="52"/>
      <c r="D163" s="51"/>
      <c r="E163" s="53"/>
      <c r="F163" s="54"/>
      <c r="G163" s="54"/>
      <c r="H163" s="51"/>
      <c r="I163" s="55"/>
      <c r="J163" s="56"/>
      <c r="K163" s="46"/>
      <c r="L163" s="46"/>
      <c r="M163" s="47"/>
      <c r="N163" s="46"/>
      <c r="O163" s="57"/>
      <c r="P163" s="46"/>
      <c r="Q163" s="46"/>
      <c r="R163" s="57"/>
      <c r="S163" s="7"/>
      <c r="T163" s="54"/>
      <c r="U163" s="58"/>
      <c r="V163" s="47"/>
      <c r="W163" s="18"/>
      <c r="X163" s="46"/>
      <c r="Y163" s="46"/>
      <c r="Z163" s="46"/>
      <c r="AA163" s="7"/>
      <c r="AB163" s="46"/>
      <c r="AC163" s="46"/>
      <c r="AD163" s="47"/>
      <c r="AE163" s="47"/>
      <c r="AF163" s="7"/>
      <c r="AG163" s="7"/>
      <c r="AH163" s="47"/>
      <c r="AI163" s="47"/>
      <c r="AJ163" s="18"/>
      <c r="AK163" s="26"/>
      <c r="AL163" s="34"/>
      <c r="AM163" s="34"/>
      <c r="AN163" s="18"/>
      <c r="AO163" s="18"/>
      <c r="AP163" s="18"/>
      <c r="AQ163" s="18"/>
      <c r="AR163" s="64"/>
      <c r="AS163" s="64"/>
    </row>
    <row r="164">
      <c r="A164" s="51"/>
      <c r="B164" s="51"/>
      <c r="C164" s="52"/>
      <c r="D164" s="51"/>
      <c r="E164" s="53"/>
      <c r="F164" s="54"/>
      <c r="G164" s="54"/>
      <c r="H164" s="51"/>
      <c r="I164" s="55"/>
      <c r="J164" s="56"/>
      <c r="K164" s="46"/>
      <c r="L164" s="46"/>
      <c r="M164" s="47"/>
      <c r="N164" s="46"/>
      <c r="O164" s="57"/>
      <c r="P164" s="46"/>
      <c r="Q164" s="46"/>
      <c r="R164" s="57"/>
      <c r="S164" s="7"/>
      <c r="T164" s="54"/>
      <c r="U164" s="58"/>
      <c r="V164" s="47"/>
      <c r="W164" s="18"/>
      <c r="X164" s="46"/>
      <c r="Y164" s="46"/>
      <c r="Z164" s="46"/>
      <c r="AA164" s="7"/>
      <c r="AB164" s="46"/>
      <c r="AC164" s="46"/>
      <c r="AD164" s="47"/>
      <c r="AE164" s="47"/>
      <c r="AF164" s="7"/>
      <c r="AG164" s="7"/>
      <c r="AH164" s="47"/>
      <c r="AI164" s="47"/>
      <c r="AJ164" s="18"/>
      <c r="AK164" s="26"/>
      <c r="AL164" s="34"/>
      <c r="AM164" s="34"/>
      <c r="AN164" s="18"/>
      <c r="AO164" s="18"/>
      <c r="AP164" s="18"/>
      <c r="AQ164" s="18"/>
      <c r="AR164" s="64"/>
      <c r="AS164" s="64"/>
    </row>
    <row r="165">
      <c r="A165" s="51"/>
      <c r="B165" s="51"/>
      <c r="C165" s="52"/>
      <c r="D165" s="51"/>
      <c r="E165" s="53"/>
      <c r="F165" s="54"/>
      <c r="G165" s="54"/>
      <c r="H165" s="51"/>
      <c r="I165" s="55"/>
      <c r="J165" s="56"/>
      <c r="K165" s="46"/>
      <c r="L165" s="46"/>
      <c r="M165" s="47"/>
      <c r="N165" s="46"/>
      <c r="O165" s="57"/>
      <c r="P165" s="46"/>
      <c r="Q165" s="46"/>
      <c r="R165" s="57"/>
      <c r="S165" s="7"/>
      <c r="T165" s="54"/>
      <c r="U165" s="58"/>
      <c r="V165" s="47"/>
      <c r="W165" s="18"/>
      <c r="X165" s="46"/>
      <c r="Y165" s="46"/>
      <c r="Z165" s="46"/>
      <c r="AA165" s="7"/>
      <c r="AB165" s="46"/>
      <c r="AC165" s="46"/>
      <c r="AD165" s="47"/>
      <c r="AE165" s="47"/>
      <c r="AF165" s="7"/>
      <c r="AG165" s="7"/>
      <c r="AH165" s="47"/>
      <c r="AI165" s="47"/>
      <c r="AJ165" s="18"/>
      <c r="AK165" s="26"/>
      <c r="AL165" s="34"/>
      <c r="AM165" s="34"/>
      <c r="AN165" s="18"/>
      <c r="AO165" s="18"/>
      <c r="AP165" s="18"/>
      <c r="AQ165" s="18"/>
      <c r="AR165" s="64"/>
      <c r="AS165" s="64"/>
    </row>
    <row r="166">
      <c r="A166" s="51"/>
      <c r="B166" s="51"/>
      <c r="C166" s="52"/>
      <c r="D166" s="51"/>
      <c r="E166" s="53"/>
      <c r="F166" s="54"/>
      <c r="G166" s="54"/>
      <c r="H166" s="51"/>
      <c r="I166" s="55"/>
      <c r="J166" s="56"/>
      <c r="K166" s="46"/>
      <c r="L166" s="46"/>
      <c r="M166" s="47"/>
      <c r="N166" s="46"/>
      <c r="O166" s="57"/>
      <c r="P166" s="46"/>
      <c r="Q166" s="46"/>
      <c r="R166" s="57"/>
      <c r="S166" s="7"/>
      <c r="T166" s="54"/>
      <c r="U166" s="58"/>
      <c r="V166" s="47"/>
      <c r="W166" s="18"/>
      <c r="X166" s="46"/>
      <c r="Y166" s="46"/>
      <c r="Z166" s="46"/>
      <c r="AA166" s="7"/>
      <c r="AB166" s="46"/>
      <c r="AC166" s="46"/>
      <c r="AD166" s="47"/>
      <c r="AE166" s="47"/>
      <c r="AF166" s="7"/>
      <c r="AG166" s="7"/>
      <c r="AH166" s="47"/>
      <c r="AI166" s="47"/>
      <c r="AJ166" s="18"/>
      <c r="AK166" s="26"/>
      <c r="AL166" s="34"/>
      <c r="AM166" s="34"/>
      <c r="AN166" s="18"/>
      <c r="AO166" s="18"/>
      <c r="AP166" s="18"/>
      <c r="AQ166" s="18"/>
      <c r="AR166" s="64"/>
      <c r="AS166" s="64"/>
    </row>
    <row r="167">
      <c r="A167" s="51"/>
      <c r="B167" s="51"/>
      <c r="C167" s="52"/>
      <c r="D167" s="51"/>
      <c r="E167" s="53"/>
      <c r="F167" s="54"/>
      <c r="G167" s="54"/>
      <c r="H167" s="51"/>
      <c r="I167" s="55"/>
      <c r="J167" s="56"/>
      <c r="K167" s="46"/>
      <c r="L167" s="46"/>
      <c r="M167" s="47"/>
      <c r="N167" s="46"/>
      <c r="O167" s="57"/>
      <c r="P167" s="46"/>
      <c r="Q167" s="46"/>
      <c r="R167" s="57"/>
      <c r="S167" s="7"/>
      <c r="T167" s="54"/>
      <c r="U167" s="58"/>
      <c r="V167" s="47"/>
      <c r="W167" s="18"/>
      <c r="X167" s="46"/>
      <c r="Y167" s="46"/>
      <c r="Z167" s="46"/>
      <c r="AA167" s="7"/>
      <c r="AB167" s="46"/>
      <c r="AC167" s="46"/>
      <c r="AD167" s="47"/>
      <c r="AE167" s="47"/>
      <c r="AF167" s="7"/>
      <c r="AG167" s="7"/>
      <c r="AH167" s="47"/>
      <c r="AI167" s="47"/>
      <c r="AJ167" s="18"/>
      <c r="AK167" s="26"/>
      <c r="AL167" s="34"/>
      <c r="AM167" s="34"/>
      <c r="AN167" s="18"/>
      <c r="AO167" s="18"/>
      <c r="AP167" s="18"/>
      <c r="AQ167" s="18"/>
      <c r="AR167" s="64"/>
      <c r="AS167" s="64"/>
    </row>
    <row r="168">
      <c r="A168" s="51"/>
      <c r="B168" s="51"/>
      <c r="C168" s="52"/>
      <c r="D168" s="51"/>
      <c r="E168" s="53"/>
      <c r="F168" s="54"/>
      <c r="G168" s="54"/>
      <c r="H168" s="51"/>
      <c r="I168" s="55"/>
      <c r="J168" s="56"/>
      <c r="K168" s="46"/>
      <c r="L168" s="46"/>
      <c r="M168" s="47"/>
      <c r="N168" s="46"/>
      <c r="O168" s="57"/>
      <c r="P168" s="46"/>
      <c r="Q168" s="46"/>
      <c r="R168" s="57"/>
      <c r="S168" s="7"/>
      <c r="T168" s="54"/>
      <c r="U168" s="58"/>
      <c r="V168" s="47"/>
      <c r="W168" s="18"/>
      <c r="X168" s="46"/>
      <c r="Y168" s="46"/>
      <c r="Z168" s="46"/>
      <c r="AA168" s="7"/>
      <c r="AB168" s="46"/>
      <c r="AC168" s="46"/>
      <c r="AD168" s="47"/>
      <c r="AE168" s="47"/>
      <c r="AF168" s="7"/>
      <c r="AG168" s="7"/>
      <c r="AH168" s="47"/>
      <c r="AI168" s="47"/>
      <c r="AJ168" s="18"/>
      <c r="AK168" s="26"/>
      <c r="AL168" s="34"/>
      <c r="AM168" s="34"/>
      <c r="AN168" s="18"/>
      <c r="AO168" s="18"/>
      <c r="AP168" s="18"/>
      <c r="AQ168" s="18"/>
      <c r="AR168" s="64"/>
      <c r="AS168" s="64"/>
    </row>
    <row r="169">
      <c r="A169" s="51"/>
      <c r="B169" s="51"/>
      <c r="C169" s="52"/>
      <c r="D169" s="51"/>
      <c r="E169" s="53"/>
      <c r="F169" s="54"/>
      <c r="G169" s="54"/>
      <c r="H169" s="51"/>
      <c r="I169" s="55"/>
      <c r="J169" s="56"/>
      <c r="K169" s="46"/>
      <c r="L169" s="46"/>
      <c r="M169" s="47"/>
      <c r="N169" s="46"/>
      <c r="O169" s="57"/>
      <c r="P169" s="46"/>
      <c r="Q169" s="46"/>
      <c r="R169" s="57"/>
      <c r="S169" s="7"/>
      <c r="T169" s="54"/>
      <c r="U169" s="58"/>
      <c r="V169" s="47"/>
      <c r="W169" s="18"/>
      <c r="X169" s="46"/>
      <c r="Y169" s="46"/>
      <c r="Z169" s="46"/>
      <c r="AA169" s="7"/>
      <c r="AB169" s="46"/>
      <c r="AC169" s="46"/>
      <c r="AD169" s="47"/>
      <c r="AE169" s="47"/>
      <c r="AF169" s="7"/>
      <c r="AG169" s="7"/>
      <c r="AH169" s="47"/>
      <c r="AI169" s="47"/>
      <c r="AJ169" s="18"/>
      <c r="AK169" s="26"/>
      <c r="AL169" s="34"/>
      <c r="AM169" s="34"/>
      <c r="AN169" s="18"/>
      <c r="AO169" s="18"/>
      <c r="AP169" s="18"/>
      <c r="AQ169" s="18"/>
      <c r="AR169" s="64"/>
      <c r="AS169" s="64"/>
    </row>
    <row r="170">
      <c r="A170" s="51"/>
      <c r="B170" s="51"/>
      <c r="C170" s="52"/>
      <c r="D170" s="51"/>
      <c r="E170" s="53"/>
      <c r="F170" s="54"/>
      <c r="G170" s="54"/>
      <c r="H170" s="51"/>
      <c r="I170" s="55"/>
      <c r="J170" s="56"/>
      <c r="K170" s="46"/>
      <c r="L170" s="46"/>
      <c r="M170" s="47"/>
      <c r="N170" s="46"/>
      <c r="O170" s="57"/>
      <c r="P170" s="46"/>
      <c r="Q170" s="46"/>
      <c r="R170" s="57"/>
      <c r="S170" s="7"/>
      <c r="T170" s="54"/>
      <c r="U170" s="58"/>
      <c r="V170" s="47"/>
      <c r="W170" s="18"/>
      <c r="X170" s="46"/>
      <c r="Y170" s="46"/>
      <c r="Z170" s="46"/>
      <c r="AA170" s="7"/>
      <c r="AB170" s="46"/>
      <c r="AC170" s="46"/>
      <c r="AD170" s="47"/>
      <c r="AE170" s="47"/>
      <c r="AF170" s="7"/>
      <c r="AG170" s="7"/>
      <c r="AH170" s="47"/>
      <c r="AI170" s="47"/>
      <c r="AJ170" s="18"/>
      <c r="AK170" s="26"/>
      <c r="AL170" s="34"/>
      <c r="AM170" s="34"/>
      <c r="AN170" s="18"/>
      <c r="AO170" s="18"/>
      <c r="AP170" s="18"/>
      <c r="AQ170" s="18"/>
      <c r="AR170" s="64"/>
      <c r="AS170" s="64"/>
    </row>
    <row r="171">
      <c r="A171" s="51"/>
      <c r="B171" s="51"/>
      <c r="C171" s="52"/>
      <c r="D171" s="51"/>
      <c r="E171" s="53"/>
      <c r="F171" s="54"/>
      <c r="G171" s="54"/>
      <c r="H171" s="51"/>
      <c r="I171" s="55"/>
      <c r="J171" s="56"/>
      <c r="K171" s="46"/>
      <c r="L171" s="46"/>
      <c r="M171" s="47"/>
      <c r="N171" s="46"/>
      <c r="O171" s="57"/>
      <c r="P171" s="46"/>
      <c r="Q171" s="46"/>
      <c r="R171" s="57"/>
      <c r="S171" s="7"/>
      <c r="T171" s="54"/>
      <c r="U171" s="58"/>
      <c r="V171" s="47"/>
      <c r="W171" s="18"/>
      <c r="X171" s="46"/>
      <c r="Y171" s="46"/>
      <c r="Z171" s="46"/>
      <c r="AA171" s="7"/>
      <c r="AB171" s="46"/>
      <c r="AC171" s="46"/>
      <c r="AD171" s="47"/>
      <c r="AE171" s="47"/>
      <c r="AF171" s="7"/>
      <c r="AG171" s="7"/>
      <c r="AH171" s="47"/>
      <c r="AI171" s="47"/>
      <c r="AJ171" s="18"/>
      <c r="AK171" s="26"/>
      <c r="AL171" s="34"/>
      <c r="AM171" s="34"/>
      <c r="AN171" s="18"/>
      <c r="AO171" s="18"/>
      <c r="AP171" s="18"/>
      <c r="AQ171" s="18"/>
      <c r="AR171" s="64"/>
      <c r="AS171" s="64"/>
    </row>
    <row r="172">
      <c r="A172" s="51"/>
      <c r="B172" s="51"/>
      <c r="C172" s="52"/>
      <c r="D172" s="51"/>
      <c r="E172" s="53"/>
      <c r="F172" s="54"/>
      <c r="G172" s="54"/>
      <c r="H172" s="51"/>
      <c r="I172" s="55"/>
      <c r="J172" s="56"/>
      <c r="K172" s="46"/>
      <c r="L172" s="46"/>
      <c r="M172" s="47"/>
      <c r="N172" s="46"/>
      <c r="O172" s="57"/>
      <c r="P172" s="46"/>
      <c r="Q172" s="46"/>
      <c r="R172" s="57"/>
      <c r="S172" s="7"/>
      <c r="T172" s="54"/>
      <c r="U172" s="58"/>
      <c r="V172" s="47"/>
      <c r="W172" s="18"/>
      <c r="X172" s="46"/>
      <c r="Y172" s="46"/>
      <c r="Z172" s="46"/>
      <c r="AA172" s="7"/>
      <c r="AB172" s="46"/>
      <c r="AC172" s="46"/>
      <c r="AD172" s="47"/>
      <c r="AE172" s="47"/>
      <c r="AF172" s="7"/>
      <c r="AG172" s="7"/>
      <c r="AH172" s="47"/>
      <c r="AI172" s="47"/>
      <c r="AJ172" s="18"/>
      <c r="AK172" s="26"/>
      <c r="AL172" s="34"/>
      <c r="AM172" s="34"/>
      <c r="AN172" s="18"/>
      <c r="AO172" s="18"/>
      <c r="AP172" s="18"/>
      <c r="AQ172" s="18"/>
      <c r="AR172" s="64"/>
      <c r="AS172" s="64"/>
    </row>
    <row r="173">
      <c r="A173" s="51"/>
      <c r="B173" s="51"/>
      <c r="C173" s="52"/>
      <c r="D173" s="51"/>
      <c r="E173" s="53"/>
      <c r="F173" s="54"/>
      <c r="G173" s="54"/>
      <c r="H173" s="51"/>
      <c r="I173" s="55"/>
      <c r="J173" s="56"/>
      <c r="K173" s="46"/>
      <c r="L173" s="46"/>
      <c r="M173" s="47"/>
      <c r="N173" s="46"/>
      <c r="O173" s="57"/>
      <c r="P173" s="46"/>
      <c r="Q173" s="46"/>
      <c r="R173" s="57"/>
      <c r="S173" s="7"/>
      <c r="T173" s="54"/>
      <c r="U173" s="58"/>
      <c r="V173" s="47"/>
      <c r="W173" s="18"/>
      <c r="X173" s="46"/>
      <c r="Y173" s="46"/>
      <c r="Z173" s="46"/>
      <c r="AA173" s="7"/>
      <c r="AB173" s="46"/>
      <c r="AC173" s="46"/>
      <c r="AD173" s="47"/>
      <c r="AE173" s="47"/>
      <c r="AF173" s="7"/>
      <c r="AG173" s="7"/>
      <c r="AH173" s="47"/>
      <c r="AI173" s="47"/>
      <c r="AJ173" s="18"/>
      <c r="AK173" s="26"/>
      <c r="AL173" s="34"/>
      <c r="AM173" s="34"/>
      <c r="AN173" s="18"/>
      <c r="AO173" s="18"/>
      <c r="AP173" s="18"/>
      <c r="AQ173" s="18"/>
      <c r="AR173" s="64"/>
      <c r="AS173" s="64"/>
    </row>
    <row r="174">
      <c r="A174" s="51"/>
      <c r="B174" s="51"/>
      <c r="C174" s="52"/>
      <c r="D174" s="51"/>
      <c r="E174" s="53"/>
      <c r="F174" s="54"/>
      <c r="G174" s="54"/>
      <c r="H174" s="51"/>
      <c r="I174" s="55"/>
      <c r="J174" s="56"/>
      <c r="K174" s="46"/>
      <c r="L174" s="46"/>
      <c r="M174" s="47"/>
      <c r="N174" s="46"/>
      <c r="O174" s="57"/>
      <c r="P174" s="46"/>
      <c r="Q174" s="46"/>
      <c r="R174" s="57"/>
      <c r="S174" s="7"/>
      <c r="T174" s="54"/>
      <c r="U174" s="58"/>
      <c r="V174" s="47"/>
      <c r="W174" s="18"/>
      <c r="X174" s="46"/>
      <c r="Y174" s="46"/>
      <c r="Z174" s="46"/>
      <c r="AA174" s="7"/>
      <c r="AB174" s="46"/>
      <c r="AC174" s="46"/>
      <c r="AD174" s="47"/>
      <c r="AE174" s="47"/>
      <c r="AF174" s="7"/>
      <c r="AG174" s="7"/>
      <c r="AH174" s="47"/>
      <c r="AI174" s="47"/>
      <c r="AJ174" s="18"/>
      <c r="AK174" s="26"/>
      <c r="AL174" s="34"/>
      <c r="AM174" s="34"/>
      <c r="AN174" s="18"/>
      <c r="AO174" s="18"/>
      <c r="AP174" s="18"/>
      <c r="AQ174" s="18"/>
      <c r="AR174" s="64"/>
      <c r="AS174" s="64"/>
    </row>
    <row r="175">
      <c r="A175" s="51"/>
      <c r="B175" s="51"/>
      <c r="C175" s="52"/>
      <c r="D175" s="51"/>
      <c r="E175" s="53"/>
      <c r="F175" s="54"/>
      <c r="G175" s="54"/>
      <c r="H175" s="51"/>
      <c r="I175" s="55"/>
      <c r="J175" s="56"/>
      <c r="K175" s="46"/>
      <c r="L175" s="46"/>
      <c r="M175" s="47"/>
      <c r="N175" s="46"/>
      <c r="O175" s="57"/>
      <c r="P175" s="46"/>
      <c r="Q175" s="46"/>
      <c r="R175" s="57"/>
      <c r="S175" s="7"/>
      <c r="T175" s="54"/>
      <c r="U175" s="58"/>
      <c r="V175" s="47"/>
      <c r="W175" s="18"/>
      <c r="X175" s="46"/>
      <c r="Y175" s="46"/>
      <c r="Z175" s="46"/>
      <c r="AA175" s="7"/>
      <c r="AB175" s="46"/>
      <c r="AC175" s="46"/>
      <c r="AD175" s="47"/>
      <c r="AE175" s="47"/>
      <c r="AF175" s="7"/>
      <c r="AG175" s="7"/>
      <c r="AH175" s="47"/>
      <c r="AI175" s="47"/>
      <c r="AJ175" s="18"/>
      <c r="AK175" s="26"/>
      <c r="AL175" s="34"/>
      <c r="AM175" s="34"/>
      <c r="AN175" s="18"/>
      <c r="AO175" s="18"/>
      <c r="AP175" s="18"/>
      <c r="AQ175" s="18"/>
      <c r="AR175" s="64"/>
      <c r="AS175" s="64"/>
    </row>
    <row r="176">
      <c r="A176" s="51"/>
      <c r="B176" s="51"/>
      <c r="C176" s="52"/>
      <c r="D176" s="51"/>
      <c r="E176" s="53"/>
      <c r="F176" s="54"/>
      <c r="G176" s="54"/>
      <c r="H176" s="51"/>
      <c r="I176" s="55"/>
      <c r="J176" s="56"/>
      <c r="K176" s="46"/>
      <c r="L176" s="46"/>
      <c r="M176" s="47"/>
      <c r="N176" s="46"/>
      <c r="O176" s="57"/>
      <c r="P176" s="46"/>
      <c r="Q176" s="46"/>
      <c r="R176" s="57"/>
      <c r="S176" s="7"/>
      <c r="T176" s="54"/>
      <c r="U176" s="58"/>
      <c r="V176" s="47"/>
      <c r="W176" s="18"/>
      <c r="X176" s="46"/>
      <c r="Y176" s="46"/>
      <c r="Z176" s="46"/>
      <c r="AA176" s="7"/>
      <c r="AB176" s="46"/>
      <c r="AC176" s="46"/>
      <c r="AD176" s="47"/>
      <c r="AE176" s="47"/>
      <c r="AF176" s="7"/>
      <c r="AG176" s="7"/>
      <c r="AH176" s="47"/>
      <c r="AI176" s="47"/>
      <c r="AJ176" s="18"/>
      <c r="AK176" s="26"/>
      <c r="AL176" s="34"/>
      <c r="AM176" s="34"/>
      <c r="AN176" s="18"/>
      <c r="AO176" s="18"/>
      <c r="AP176" s="18"/>
      <c r="AQ176" s="18"/>
      <c r="AR176" s="64"/>
      <c r="AS176" s="64"/>
    </row>
    <row r="177">
      <c r="A177" s="51"/>
      <c r="B177" s="51"/>
      <c r="C177" s="52"/>
      <c r="D177" s="51"/>
      <c r="E177" s="53"/>
      <c r="F177" s="54"/>
      <c r="G177" s="54"/>
      <c r="H177" s="51"/>
      <c r="I177" s="55"/>
      <c r="J177" s="56"/>
      <c r="K177" s="46"/>
      <c r="L177" s="46"/>
      <c r="M177" s="47"/>
      <c r="N177" s="46"/>
      <c r="O177" s="57"/>
      <c r="P177" s="46"/>
      <c r="Q177" s="46"/>
      <c r="R177" s="57"/>
      <c r="S177" s="7"/>
      <c r="T177" s="54"/>
      <c r="U177" s="58"/>
      <c r="V177" s="47"/>
      <c r="W177" s="18"/>
      <c r="X177" s="46"/>
      <c r="Y177" s="46"/>
      <c r="Z177" s="46"/>
      <c r="AA177" s="7"/>
      <c r="AB177" s="46"/>
      <c r="AC177" s="46"/>
      <c r="AD177" s="47"/>
      <c r="AE177" s="47"/>
      <c r="AF177" s="7"/>
      <c r="AG177" s="7"/>
      <c r="AH177" s="47"/>
      <c r="AI177" s="47"/>
      <c r="AJ177" s="18"/>
      <c r="AK177" s="26"/>
      <c r="AL177" s="34"/>
      <c r="AM177" s="34"/>
      <c r="AN177" s="18"/>
      <c r="AO177" s="18"/>
      <c r="AP177" s="18"/>
      <c r="AQ177" s="18"/>
      <c r="AR177" s="64"/>
      <c r="AS177" s="64"/>
    </row>
    <row r="178">
      <c r="A178" s="51"/>
      <c r="B178" s="51"/>
      <c r="C178" s="52"/>
      <c r="D178" s="51"/>
      <c r="E178" s="53"/>
      <c r="F178" s="54"/>
      <c r="G178" s="54"/>
      <c r="H178" s="51"/>
      <c r="I178" s="55"/>
      <c r="J178" s="56"/>
      <c r="K178" s="46"/>
      <c r="L178" s="46"/>
      <c r="M178" s="47"/>
      <c r="N178" s="46"/>
      <c r="O178" s="57"/>
      <c r="P178" s="46"/>
      <c r="Q178" s="46"/>
      <c r="R178" s="57"/>
      <c r="S178" s="7"/>
      <c r="T178" s="54"/>
      <c r="U178" s="58"/>
      <c r="V178" s="47"/>
      <c r="W178" s="18"/>
      <c r="X178" s="46"/>
      <c r="Y178" s="46"/>
      <c r="Z178" s="46"/>
      <c r="AA178" s="7"/>
      <c r="AB178" s="46"/>
      <c r="AC178" s="46"/>
      <c r="AD178" s="47"/>
      <c r="AE178" s="47"/>
      <c r="AF178" s="7"/>
      <c r="AG178" s="7"/>
      <c r="AH178" s="47"/>
      <c r="AI178" s="47"/>
      <c r="AJ178" s="18"/>
      <c r="AK178" s="26"/>
      <c r="AL178" s="34"/>
      <c r="AM178" s="34"/>
      <c r="AN178" s="18"/>
      <c r="AO178" s="18"/>
      <c r="AP178" s="18"/>
      <c r="AQ178" s="18"/>
      <c r="AR178" s="64"/>
      <c r="AS178" s="64"/>
    </row>
    <row r="179">
      <c r="A179" s="51"/>
      <c r="B179" s="51"/>
      <c r="C179" s="52"/>
      <c r="D179" s="51"/>
      <c r="E179" s="53"/>
      <c r="F179" s="54"/>
      <c r="G179" s="54"/>
      <c r="H179" s="51"/>
      <c r="I179" s="55"/>
      <c r="J179" s="56"/>
      <c r="K179" s="46"/>
      <c r="L179" s="46"/>
      <c r="M179" s="47"/>
      <c r="N179" s="46"/>
      <c r="O179" s="57"/>
      <c r="P179" s="46"/>
      <c r="Q179" s="46"/>
      <c r="R179" s="57"/>
      <c r="S179" s="7"/>
      <c r="T179" s="54"/>
      <c r="U179" s="58"/>
      <c r="V179" s="47"/>
      <c r="W179" s="18"/>
      <c r="X179" s="46"/>
      <c r="Y179" s="46"/>
      <c r="Z179" s="46"/>
      <c r="AA179" s="7"/>
      <c r="AB179" s="46"/>
      <c r="AC179" s="46"/>
      <c r="AD179" s="47"/>
      <c r="AE179" s="47"/>
      <c r="AF179" s="7"/>
      <c r="AG179" s="7"/>
      <c r="AH179" s="47"/>
      <c r="AI179" s="47"/>
      <c r="AJ179" s="18"/>
      <c r="AK179" s="26"/>
      <c r="AL179" s="34"/>
      <c r="AM179" s="34"/>
      <c r="AN179" s="18"/>
      <c r="AO179" s="18"/>
      <c r="AP179" s="18"/>
      <c r="AQ179" s="18"/>
      <c r="AR179" s="64"/>
      <c r="AS179" s="64"/>
    </row>
    <row r="180">
      <c r="A180" s="51"/>
      <c r="B180" s="51"/>
      <c r="C180" s="52"/>
      <c r="D180" s="51"/>
      <c r="E180" s="53"/>
      <c r="F180" s="54"/>
      <c r="G180" s="54"/>
      <c r="H180" s="51"/>
      <c r="I180" s="55"/>
      <c r="J180" s="56"/>
      <c r="K180" s="46"/>
      <c r="L180" s="46"/>
      <c r="M180" s="47"/>
      <c r="N180" s="46"/>
      <c r="O180" s="57"/>
      <c r="P180" s="46"/>
      <c r="Q180" s="46"/>
      <c r="R180" s="57"/>
      <c r="S180" s="7"/>
      <c r="T180" s="54"/>
      <c r="U180" s="58"/>
      <c r="V180" s="47"/>
      <c r="W180" s="18"/>
      <c r="X180" s="46"/>
      <c r="Y180" s="46"/>
      <c r="Z180" s="46"/>
      <c r="AA180" s="7"/>
      <c r="AB180" s="46"/>
      <c r="AC180" s="46"/>
      <c r="AD180" s="47"/>
      <c r="AE180" s="47"/>
      <c r="AF180" s="7"/>
      <c r="AG180" s="7"/>
      <c r="AH180" s="47"/>
      <c r="AI180" s="47"/>
      <c r="AJ180" s="18"/>
      <c r="AK180" s="26"/>
      <c r="AL180" s="34"/>
      <c r="AM180" s="34"/>
      <c r="AN180" s="18"/>
      <c r="AO180" s="18"/>
      <c r="AP180" s="18"/>
      <c r="AQ180" s="18"/>
      <c r="AR180" s="64"/>
      <c r="AS180" s="64"/>
    </row>
    <row r="181">
      <c r="A181" s="51"/>
      <c r="B181" s="51"/>
      <c r="C181" s="52"/>
      <c r="D181" s="51"/>
      <c r="E181" s="53"/>
      <c r="F181" s="54"/>
      <c r="G181" s="54"/>
      <c r="H181" s="51"/>
      <c r="I181" s="55"/>
      <c r="J181" s="56"/>
      <c r="K181" s="46"/>
      <c r="L181" s="46"/>
      <c r="M181" s="47"/>
      <c r="N181" s="46"/>
      <c r="O181" s="57"/>
      <c r="P181" s="46"/>
      <c r="Q181" s="46"/>
      <c r="R181" s="57"/>
      <c r="S181" s="7"/>
      <c r="T181" s="54"/>
      <c r="U181" s="58"/>
      <c r="V181" s="47"/>
      <c r="W181" s="18"/>
      <c r="X181" s="46"/>
      <c r="Y181" s="46"/>
      <c r="Z181" s="46"/>
      <c r="AA181" s="7"/>
      <c r="AB181" s="46"/>
      <c r="AC181" s="46"/>
      <c r="AD181" s="47"/>
      <c r="AE181" s="47"/>
      <c r="AF181" s="7"/>
      <c r="AG181" s="7"/>
      <c r="AH181" s="47"/>
      <c r="AI181" s="47"/>
      <c r="AJ181" s="18"/>
      <c r="AK181" s="26"/>
      <c r="AL181" s="34"/>
      <c r="AM181" s="34"/>
      <c r="AN181" s="18"/>
      <c r="AO181" s="18"/>
      <c r="AP181" s="18"/>
      <c r="AQ181" s="18"/>
      <c r="AR181" s="64"/>
      <c r="AS181" s="64"/>
    </row>
    <row r="182">
      <c r="A182" s="51"/>
      <c r="B182" s="51"/>
      <c r="C182" s="52"/>
      <c r="D182" s="51"/>
      <c r="E182" s="53"/>
      <c r="F182" s="54"/>
      <c r="G182" s="54"/>
      <c r="H182" s="51"/>
      <c r="I182" s="55"/>
      <c r="J182" s="56"/>
      <c r="K182" s="46"/>
      <c r="L182" s="46"/>
      <c r="M182" s="47"/>
      <c r="N182" s="46"/>
      <c r="O182" s="57"/>
      <c r="P182" s="46"/>
      <c r="Q182" s="46"/>
      <c r="R182" s="57"/>
      <c r="S182" s="7"/>
      <c r="T182" s="54"/>
      <c r="U182" s="58"/>
      <c r="V182" s="47"/>
      <c r="W182" s="18"/>
      <c r="X182" s="46"/>
      <c r="Y182" s="46"/>
      <c r="Z182" s="46"/>
      <c r="AA182" s="7"/>
      <c r="AB182" s="46"/>
      <c r="AC182" s="46"/>
      <c r="AD182" s="47"/>
      <c r="AE182" s="47"/>
      <c r="AF182" s="7"/>
      <c r="AG182" s="7"/>
      <c r="AH182" s="47"/>
      <c r="AI182" s="47"/>
      <c r="AJ182" s="18"/>
      <c r="AK182" s="26"/>
      <c r="AL182" s="34"/>
      <c r="AM182" s="34"/>
      <c r="AN182" s="18"/>
      <c r="AO182" s="18"/>
      <c r="AP182" s="18"/>
      <c r="AQ182" s="18"/>
      <c r="AR182" s="64"/>
      <c r="AS182" s="64"/>
    </row>
    <row r="183">
      <c r="A183" s="51"/>
      <c r="B183" s="51"/>
      <c r="C183" s="52"/>
      <c r="D183" s="51"/>
      <c r="E183" s="53"/>
      <c r="F183" s="54"/>
      <c r="G183" s="54"/>
      <c r="H183" s="51"/>
      <c r="I183" s="55"/>
      <c r="J183" s="56"/>
      <c r="K183" s="46"/>
      <c r="L183" s="46"/>
      <c r="M183" s="47"/>
      <c r="N183" s="46"/>
      <c r="O183" s="57"/>
      <c r="P183" s="46"/>
      <c r="Q183" s="46"/>
      <c r="R183" s="57"/>
      <c r="S183" s="7"/>
      <c r="T183" s="54"/>
      <c r="U183" s="58"/>
      <c r="V183" s="47"/>
      <c r="W183" s="18"/>
      <c r="X183" s="46"/>
      <c r="Y183" s="46"/>
      <c r="Z183" s="46"/>
      <c r="AA183" s="7"/>
      <c r="AB183" s="46"/>
      <c r="AC183" s="46"/>
      <c r="AD183" s="47"/>
      <c r="AE183" s="47"/>
      <c r="AF183" s="7"/>
      <c r="AG183" s="7"/>
      <c r="AH183" s="47"/>
      <c r="AI183" s="47"/>
      <c r="AJ183" s="18"/>
      <c r="AK183" s="26"/>
      <c r="AL183" s="34"/>
      <c r="AM183" s="34"/>
      <c r="AN183" s="18"/>
      <c r="AO183" s="18"/>
      <c r="AP183" s="18"/>
      <c r="AQ183" s="18"/>
      <c r="AR183" s="64"/>
      <c r="AS183" s="64"/>
    </row>
    <row r="184">
      <c r="A184" s="51"/>
      <c r="B184" s="51"/>
      <c r="C184" s="52"/>
      <c r="D184" s="51"/>
      <c r="E184" s="53"/>
      <c r="F184" s="54"/>
      <c r="G184" s="54"/>
      <c r="H184" s="51"/>
      <c r="I184" s="55"/>
      <c r="J184" s="56"/>
      <c r="K184" s="46"/>
      <c r="L184" s="46"/>
      <c r="M184" s="47"/>
      <c r="N184" s="46"/>
      <c r="O184" s="57"/>
      <c r="P184" s="46"/>
      <c r="Q184" s="46"/>
      <c r="R184" s="57"/>
      <c r="S184" s="7"/>
      <c r="T184" s="54"/>
      <c r="U184" s="58"/>
      <c r="V184" s="47"/>
      <c r="W184" s="18"/>
      <c r="X184" s="46"/>
      <c r="Y184" s="46"/>
      <c r="Z184" s="46"/>
      <c r="AA184" s="7"/>
      <c r="AB184" s="46"/>
      <c r="AC184" s="46"/>
      <c r="AD184" s="47"/>
      <c r="AE184" s="47"/>
      <c r="AF184" s="7"/>
      <c r="AG184" s="7"/>
      <c r="AH184" s="47"/>
      <c r="AI184" s="47"/>
      <c r="AJ184" s="18"/>
      <c r="AK184" s="26"/>
      <c r="AL184" s="34"/>
      <c r="AM184" s="34"/>
      <c r="AN184" s="18"/>
      <c r="AO184" s="18"/>
      <c r="AP184" s="18"/>
      <c r="AQ184" s="18"/>
      <c r="AR184" s="64"/>
      <c r="AS184" s="64"/>
    </row>
    <row r="185">
      <c r="A185" s="51"/>
      <c r="B185" s="51"/>
      <c r="C185" s="52"/>
      <c r="D185" s="51"/>
      <c r="E185" s="53"/>
      <c r="F185" s="54"/>
      <c r="G185" s="54"/>
      <c r="H185" s="51"/>
      <c r="I185" s="55"/>
      <c r="J185" s="56"/>
      <c r="K185" s="46"/>
      <c r="L185" s="46"/>
      <c r="M185" s="47"/>
      <c r="N185" s="46"/>
      <c r="O185" s="57"/>
      <c r="P185" s="46"/>
      <c r="Q185" s="46"/>
      <c r="R185" s="57"/>
      <c r="S185" s="7"/>
      <c r="T185" s="54"/>
      <c r="U185" s="58"/>
      <c r="V185" s="47"/>
      <c r="W185" s="18"/>
      <c r="X185" s="46"/>
      <c r="Y185" s="46"/>
      <c r="Z185" s="46"/>
      <c r="AA185" s="7"/>
      <c r="AB185" s="46"/>
      <c r="AC185" s="46"/>
      <c r="AD185" s="47"/>
      <c r="AE185" s="47"/>
      <c r="AF185" s="7"/>
      <c r="AG185" s="7"/>
      <c r="AH185" s="47"/>
      <c r="AI185" s="47"/>
      <c r="AJ185" s="18"/>
      <c r="AK185" s="26"/>
      <c r="AL185" s="34"/>
      <c r="AM185" s="34"/>
      <c r="AN185" s="18"/>
      <c r="AO185" s="18"/>
      <c r="AP185" s="18"/>
      <c r="AQ185" s="18"/>
      <c r="AR185" s="64"/>
      <c r="AS185" s="64"/>
    </row>
    <row r="186">
      <c r="A186" s="51"/>
      <c r="B186" s="51"/>
      <c r="C186" s="52"/>
      <c r="D186" s="51"/>
      <c r="E186" s="53"/>
      <c r="F186" s="54"/>
      <c r="G186" s="54"/>
      <c r="H186" s="51"/>
      <c r="I186" s="55"/>
      <c r="J186" s="56"/>
      <c r="K186" s="46"/>
      <c r="L186" s="46"/>
      <c r="M186" s="47"/>
      <c r="N186" s="46"/>
      <c r="O186" s="57"/>
      <c r="P186" s="46"/>
      <c r="Q186" s="46"/>
      <c r="R186" s="57"/>
      <c r="S186" s="7"/>
      <c r="T186" s="54"/>
      <c r="U186" s="58"/>
      <c r="V186" s="47"/>
      <c r="W186" s="18"/>
      <c r="X186" s="46"/>
      <c r="Y186" s="46"/>
      <c r="Z186" s="46"/>
      <c r="AA186" s="7"/>
      <c r="AB186" s="46"/>
      <c r="AC186" s="46"/>
      <c r="AD186" s="47"/>
      <c r="AE186" s="47"/>
      <c r="AF186" s="7"/>
      <c r="AG186" s="7"/>
      <c r="AH186" s="47"/>
      <c r="AI186" s="47"/>
      <c r="AJ186" s="18"/>
      <c r="AK186" s="26"/>
      <c r="AL186" s="34"/>
      <c r="AM186" s="34"/>
      <c r="AN186" s="18"/>
      <c r="AO186" s="18"/>
      <c r="AP186" s="18"/>
      <c r="AQ186" s="18"/>
      <c r="AR186" s="64"/>
      <c r="AS186" s="64"/>
    </row>
    <row r="187">
      <c r="A187" s="51"/>
      <c r="B187" s="51"/>
      <c r="C187" s="52"/>
      <c r="D187" s="51"/>
      <c r="E187" s="53"/>
      <c r="F187" s="54"/>
      <c r="G187" s="54"/>
      <c r="H187" s="51"/>
      <c r="I187" s="55"/>
      <c r="J187" s="56"/>
      <c r="K187" s="46"/>
      <c r="L187" s="46"/>
      <c r="M187" s="47"/>
      <c r="N187" s="46"/>
      <c r="O187" s="57"/>
      <c r="P187" s="46"/>
      <c r="Q187" s="46"/>
      <c r="R187" s="57"/>
      <c r="S187" s="7"/>
      <c r="T187" s="54"/>
      <c r="U187" s="58"/>
      <c r="V187" s="47"/>
      <c r="W187" s="18"/>
      <c r="X187" s="46"/>
      <c r="Y187" s="46"/>
      <c r="Z187" s="46"/>
      <c r="AA187" s="7"/>
      <c r="AB187" s="46"/>
      <c r="AC187" s="46"/>
      <c r="AD187" s="47"/>
      <c r="AE187" s="47"/>
      <c r="AF187" s="7"/>
      <c r="AG187" s="7"/>
      <c r="AH187" s="47"/>
      <c r="AI187" s="47"/>
      <c r="AJ187" s="18"/>
      <c r="AK187" s="26"/>
      <c r="AL187" s="34"/>
      <c r="AM187" s="34"/>
      <c r="AN187" s="18"/>
      <c r="AO187" s="18"/>
      <c r="AP187" s="18"/>
      <c r="AQ187" s="18"/>
      <c r="AR187" s="64"/>
      <c r="AS187" s="64"/>
    </row>
    <row r="188">
      <c r="A188" s="51"/>
      <c r="B188" s="51"/>
      <c r="C188" s="52"/>
      <c r="D188" s="51"/>
      <c r="E188" s="53"/>
      <c r="F188" s="54"/>
      <c r="G188" s="54"/>
      <c r="H188" s="51"/>
      <c r="I188" s="55"/>
      <c r="J188" s="56"/>
      <c r="K188" s="46"/>
      <c r="L188" s="46"/>
      <c r="M188" s="47"/>
      <c r="N188" s="46"/>
      <c r="O188" s="57"/>
      <c r="P188" s="46"/>
      <c r="Q188" s="46"/>
      <c r="R188" s="57"/>
      <c r="S188" s="7"/>
      <c r="T188" s="54"/>
      <c r="U188" s="58"/>
      <c r="V188" s="47"/>
      <c r="W188" s="18"/>
      <c r="X188" s="46"/>
      <c r="Y188" s="46"/>
      <c r="Z188" s="46"/>
      <c r="AA188" s="7"/>
      <c r="AB188" s="46"/>
      <c r="AC188" s="46"/>
      <c r="AD188" s="47"/>
      <c r="AE188" s="47"/>
      <c r="AF188" s="7"/>
      <c r="AG188" s="7"/>
      <c r="AH188" s="47"/>
      <c r="AI188" s="47"/>
      <c r="AJ188" s="18"/>
      <c r="AK188" s="26"/>
      <c r="AL188" s="34"/>
      <c r="AM188" s="34"/>
      <c r="AN188" s="18"/>
      <c r="AO188" s="18"/>
      <c r="AP188" s="18"/>
      <c r="AQ188" s="18"/>
      <c r="AR188" s="64"/>
      <c r="AS188" s="64"/>
    </row>
    <row r="189">
      <c r="A189" s="51"/>
      <c r="B189" s="51"/>
      <c r="C189" s="52"/>
      <c r="D189" s="51"/>
      <c r="E189" s="53"/>
      <c r="F189" s="54"/>
      <c r="G189" s="54"/>
      <c r="H189" s="51"/>
      <c r="I189" s="55"/>
      <c r="J189" s="56"/>
      <c r="K189" s="46"/>
      <c r="L189" s="46"/>
      <c r="M189" s="47"/>
      <c r="N189" s="46"/>
      <c r="O189" s="57"/>
      <c r="P189" s="46"/>
      <c r="Q189" s="46"/>
      <c r="R189" s="57"/>
      <c r="S189" s="7"/>
      <c r="T189" s="54"/>
      <c r="U189" s="58"/>
      <c r="V189" s="47"/>
      <c r="W189" s="18"/>
      <c r="X189" s="46"/>
      <c r="Y189" s="46"/>
      <c r="Z189" s="46"/>
      <c r="AA189" s="7"/>
      <c r="AB189" s="46"/>
      <c r="AC189" s="46"/>
      <c r="AD189" s="47"/>
      <c r="AE189" s="47"/>
      <c r="AF189" s="7"/>
      <c r="AG189" s="7"/>
      <c r="AH189" s="47"/>
      <c r="AI189" s="47"/>
      <c r="AJ189" s="18"/>
      <c r="AK189" s="26"/>
      <c r="AL189" s="34"/>
      <c r="AM189" s="34"/>
      <c r="AN189" s="18"/>
      <c r="AO189" s="18"/>
      <c r="AP189" s="18"/>
      <c r="AQ189" s="18"/>
      <c r="AR189" s="64"/>
      <c r="AS189" s="64"/>
    </row>
    <row r="190">
      <c r="A190" s="51"/>
      <c r="B190" s="51"/>
      <c r="C190" s="52"/>
      <c r="D190" s="51"/>
      <c r="E190" s="53"/>
      <c r="F190" s="54"/>
      <c r="G190" s="54"/>
      <c r="H190" s="51"/>
      <c r="I190" s="55"/>
      <c r="J190" s="56"/>
      <c r="K190" s="46"/>
      <c r="L190" s="46"/>
      <c r="M190" s="47"/>
      <c r="N190" s="46"/>
      <c r="O190" s="57"/>
      <c r="P190" s="46"/>
      <c r="Q190" s="46"/>
      <c r="R190" s="57"/>
      <c r="S190" s="7"/>
      <c r="T190" s="54"/>
      <c r="U190" s="58"/>
      <c r="V190" s="47"/>
      <c r="W190" s="18"/>
      <c r="X190" s="46"/>
      <c r="Y190" s="46"/>
      <c r="Z190" s="46"/>
      <c r="AA190" s="7"/>
      <c r="AB190" s="46"/>
      <c r="AC190" s="46"/>
      <c r="AD190" s="47"/>
      <c r="AE190" s="47"/>
      <c r="AF190" s="7"/>
      <c r="AG190" s="7"/>
      <c r="AH190" s="47"/>
      <c r="AI190" s="47"/>
      <c r="AJ190" s="18"/>
      <c r="AK190" s="26"/>
      <c r="AL190" s="34"/>
      <c r="AM190" s="34"/>
      <c r="AN190" s="18"/>
      <c r="AO190" s="18"/>
      <c r="AP190" s="18"/>
      <c r="AQ190" s="18"/>
      <c r="AR190" s="64"/>
      <c r="AS190" s="64"/>
    </row>
    <row r="191">
      <c r="A191" s="51"/>
      <c r="B191" s="51"/>
      <c r="C191" s="52"/>
      <c r="D191" s="51"/>
      <c r="E191" s="53"/>
      <c r="F191" s="54"/>
      <c r="G191" s="54"/>
      <c r="H191" s="51"/>
      <c r="I191" s="55"/>
      <c r="J191" s="56"/>
      <c r="K191" s="46"/>
      <c r="L191" s="46"/>
      <c r="M191" s="47"/>
      <c r="N191" s="46"/>
      <c r="O191" s="57"/>
      <c r="P191" s="46"/>
      <c r="Q191" s="46"/>
      <c r="R191" s="57"/>
      <c r="S191" s="7"/>
      <c r="T191" s="54"/>
      <c r="U191" s="58"/>
      <c r="V191" s="47"/>
      <c r="W191" s="18"/>
      <c r="X191" s="46"/>
      <c r="Y191" s="46"/>
      <c r="Z191" s="46"/>
      <c r="AA191" s="7"/>
      <c r="AB191" s="46"/>
      <c r="AC191" s="46"/>
      <c r="AD191" s="47"/>
      <c r="AE191" s="47"/>
      <c r="AF191" s="7"/>
      <c r="AG191" s="7"/>
      <c r="AH191" s="47"/>
      <c r="AI191" s="47"/>
      <c r="AJ191" s="18"/>
      <c r="AK191" s="26"/>
      <c r="AL191" s="34"/>
      <c r="AM191" s="34"/>
      <c r="AN191" s="18"/>
      <c r="AO191" s="18"/>
      <c r="AP191" s="18"/>
      <c r="AQ191" s="18"/>
      <c r="AR191" s="64"/>
      <c r="AS191" s="64"/>
    </row>
    <row r="192">
      <c r="A192" s="51"/>
      <c r="B192" s="51"/>
      <c r="C192" s="52"/>
      <c r="D192" s="51"/>
      <c r="E192" s="53"/>
      <c r="F192" s="54"/>
      <c r="G192" s="54"/>
      <c r="H192" s="51"/>
      <c r="I192" s="55"/>
      <c r="J192" s="56"/>
      <c r="K192" s="46"/>
      <c r="L192" s="46"/>
      <c r="M192" s="47"/>
      <c r="N192" s="46"/>
      <c r="O192" s="57"/>
      <c r="P192" s="46"/>
      <c r="Q192" s="46"/>
      <c r="R192" s="57"/>
      <c r="S192" s="7"/>
      <c r="T192" s="54"/>
      <c r="U192" s="58"/>
      <c r="V192" s="47"/>
      <c r="W192" s="18"/>
      <c r="X192" s="46"/>
      <c r="Y192" s="46"/>
      <c r="Z192" s="46"/>
      <c r="AA192" s="7"/>
      <c r="AB192" s="46"/>
      <c r="AC192" s="46"/>
      <c r="AD192" s="47"/>
      <c r="AE192" s="47"/>
      <c r="AF192" s="7"/>
      <c r="AG192" s="7"/>
      <c r="AH192" s="47"/>
      <c r="AI192" s="47"/>
      <c r="AJ192" s="18"/>
      <c r="AK192" s="26"/>
      <c r="AL192" s="34"/>
      <c r="AM192" s="34"/>
      <c r="AN192" s="18"/>
      <c r="AO192" s="18"/>
      <c r="AP192" s="18"/>
      <c r="AQ192" s="18"/>
      <c r="AR192" s="64"/>
      <c r="AS192" s="64"/>
    </row>
    <row r="193">
      <c r="A193" s="51"/>
      <c r="B193" s="51"/>
      <c r="C193" s="52"/>
      <c r="D193" s="51"/>
      <c r="E193" s="53"/>
      <c r="F193" s="54"/>
      <c r="G193" s="54"/>
      <c r="H193" s="51"/>
      <c r="I193" s="55"/>
      <c r="J193" s="56"/>
      <c r="K193" s="46"/>
      <c r="L193" s="46"/>
      <c r="M193" s="47"/>
      <c r="N193" s="46"/>
      <c r="O193" s="57"/>
      <c r="P193" s="46"/>
      <c r="Q193" s="46"/>
      <c r="R193" s="57"/>
      <c r="S193" s="7"/>
      <c r="T193" s="54"/>
      <c r="U193" s="58"/>
      <c r="V193" s="47"/>
      <c r="W193" s="18"/>
      <c r="X193" s="46"/>
      <c r="Y193" s="46"/>
      <c r="Z193" s="46"/>
      <c r="AA193" s="7"/>
      <c r="AB193" s="46"/>
      <c r="AC193" s="46"/>
      <c r="AD193" s="47"/>
      <c r="AE193" s="47"/>
      <c r="AF193" s="7"/>
      <c r="AG193" s="7"/>
      <c r="AH193" s="47"/>
      <c r="AI193" s="47"/>
      <c r="AJ193" s="18"/>
      <c r="AK193" s="26"/>
      <c r="AL193" s="34"/>
      <c r="AM193" s="34"/>
      <c r="AN193" s="18"/>
      <c r="AO193" s="18"/>
      <c r="AP193" s="18"/>
      <c r="AQ193" s="18"/>
      <c r="AR193" s="64"/>
      <c r="AS193" s="64"/>
    </row>
    <row r="194">
      <c r="A194" s="51"/>
      <c r="B194" s="51"/>
      <c r="C194" s="52"/>
      <c r="D194" s="51"/>
      <c r="E194" s="53"/>
      <c r="F194" s="54"/>
      <c r="G194" s="54"/>
      <c r="H194" s="51"/>
      <c r="I194" s="55"/>
      <c r="J194" s="56"/>
      <c r="K194" s="46"/>
      <c r="L194" s="46"/>
      <c r="M194" s="47"/>
      <c r="N194" s="46"/>
      <c r="O194" s="57"/>
      <c r="P194" s="46"/>
      <c r="Q194" s="46"/>
      <c r="R194" s="57"/>
      <c r="S194" s="7"/>
      <c r="T194" s="54"/>
      <c r="U194" s="58"/>
      <c r="V194" s="47"/>
      <c r="W194" s="18"/>
      <c r="X194" s="46"/>
      <c r="Y194" s="46"/>
      <c r="Z194" s="46"/>
      <c r="AA194" s="7"/>
      <c r="AB194" s="46"/>
      <c r="AC194" s="46"/>
      <c r="AD194" s="47"/>
      <c r="AE194" s="47"/>
      <c r="AF194" s="7"/>
      <c r="AG194" s="7"/>
      <c r="AH194" s="47"/>
      <c r="AI194" s="47"/>
      <c r="AJ194" s="18"/>
      <c r="AK194" s="26"/>
      <c r="AL194" s="34"/>
      <c r="AM194" s="34"/>
      <c r="AN194" s="18"/>
      <c r="AO194" s="18"/>
      <c r="AP194" s="18"/>
      <c r="AQ194" s="18"/>
      <c r="AR194" s="64"/>
      <c r="AS194" s="64"/>
    </row>
    <row r="195">
      <c r="A195" s="51"/>
      <c r="B195" s="51"/>
      <c r="C195" s="52"/>
      <c r="D195" s="51"/>
      <c r="E195" s="53"/>
      <c r="F195" s="54"/>
      <c r="G195" s="54"/>
      <c r="H195" s="51"/>
      <c r="I195" s="55"/>
      <c r="J195" s="56"/>
      <c r="K195" s="46"/>
      <c r="L195" s="46"/>
      <c r="M195" s="47"/>
      <c r="N195" s="46"/>
      <c r="O195" s="57"/>
      <c r="P195" s="46"/>
      <c r="Q195" s="46"/>
      <c r="R195" s="57"/>
      <c r="S195" s="7"/>
      <c r="T195" s="54"/>
      <c r="U195" s="58"/>
      <c r="V195" s="47"/>
      <c r="W195" s="18"/>
      <c r="X195" s="46"/>
      <c r="Y195" s="46"/>
      <c r="Z195" s="46"/>
      <c r="AA195" s="7"/>
      <c r="AB195" s="46"/>
      <c r="AC195" s="46"/>
      <c r="AD195" s="47"/>
      <c r="AE195" s="47"/>
      <c r="AF195" s="7"/>
      <c r="AG195" s="7"/>
      <c r="AH195" s="47"/>
      <c r="AI195" s="47"/>
      <c r="AJ195" s="18"/>
      <c r="AK195" s="26"/>
      <c r="AL195" s="34"/>
      <c r="AM195" s="34"/>
      <c r="AN195" s="18"/>
      <c r="AO195" s="18"/>
      <c r="AP195" s="18"/>
      <c r="AQ195" s="18"/>
      <c r="AR195" s="64"/>
      <c r="AS195" s="64"/>
    </row>
    <row r="196">
      <c r="A196" s="51"/>
      <c r="B196" s="51"/>
      <c r="C196" s="52"/>
      <c r="D196" s="51"/>
      <c r="E196" s="53"/>
      <c r="F196" s="54"/>
      <c r="G196" s="54"/>
      <c r="H196" s="51"/>
      <c r="I196" s="55"/>
      <c r="J196" s="56"/>
      <c r="K196" s="46"/>
      <c r="L196" s="46"/>
      <c r="M196" s="47"/>
      <c r="N196" s="46"/>
      <c r="O196" s="57"/>
      <c r="P196" s="46"/>
      <c r="Q196" s="46"/>
      <c r="R196" s="57"/>
      <c r="S196" s="7"/>
      <c r="T196" s="54"/>
      <c r="U196" s="58"/>
      <c r="V196" s="47"/>
      <c r="W196" s="18"/>
      <c r="X196" s="46"/>
      <c r="Y196" s="46"/>
      <c r="Z196" s="46"/>
      <c r="AA196" s="7"/>
      <c r="AB196" s="46"/>
      <c r="AC196" s="46"/>
      <c r="AD196" s="47"/>
      <c r="AE196" s="47"/>
      <c r="AF196" s="7"/>
      <c r="AG196" s="7"/>
      <c r="AH196" s="47"/>
      <c r="AI196" s="47"/>
      <c r="AJ196" s="18"/>
      <c r="AK196" s="26"/>
      <c r="AL196" s="34"/>
      <c r="AM196" s="34"/>
      <c r="AN196" s="18"/>
      <c r="AO196" s="18"/>
      <c r="AP196" s="18"/>
      <c r="AQ196" s="18"/>
      <c r="AR196" s="64"/>
      <c r="AS196" s="64"/>
    </row>
    <row r="197">
      <c r="A197" s="51"/>
      <c r="B197" s="51"/>
      <c r="C197" s="52"/>
      <c r="D197" s="51"/>
      <c r="E197" s="53"/>
      <c r="F197" s="54"/>
      <c r="G197" s="54"/>
      <c r="H197" s="51"/>
      <c r="I197" s="55"/>
      <c r="J197" s="56"/>
      <c r="K197" s="46"/>
      <c r="L197" s="46"/>
      <c r="M197" s="47"/>
      <c r="N197" s="46"/>
      <c r="O197" s="57"/>
      <c r="P197" s="46"/>
      <c r="Q197" s="46"/>
      <c r="R197" s="57"/>
      <c r="S197" s="7"/>
      <c r="T197" s="54"/>
      <c r="U197" s="58"/>
      <c r="V197" s="47"/>
      <c r="W197" s="18"/>
      <c r="X197" s="46"/>
      <c r="Y197" s="46"/>
      <c r="Z197" s="46"/>
      <c r="AA197" s="7"/>
      <c r="AB197" s="46"/>
      <c r="AC197" s="46"/>
      <c r="AD197" s="47"/>
      <c r="AE197" s="47"/>
      <c r="AF197" s="7"/>
      <c r="AG197" s="7"/>
      <c r="AH197" s="47"/>
      <c r="AI197" s="47"/>
      <c r="AJ197" s="18"/>
      <c r="AK197" s="26"/>
      <c r="AL197" s="34"/>
      <c r="AM197" s="34"/>
      <c r="AN197" s="18"/>
      <c r="AO197" s="18"/>
      <c r="AP197" s="18"/>
      <c r="AQ197" s="18"/>
      <c r="AR197" s="64"/>
      <c r="AS197" s="64"/>
    </row>
    <row r="198">
      <c r="A198" s="51"/>
      <c r="B198" s="51"/>
      <c r="C198" s="52"/>
      <c r="D198" s="51"/>
      <c r="E198" s="53"/>
      <c r="F198" s="54"/>
      <c r="G198" s="54"/>
      <c r="H198" s="51"/>
      <c r="I198" s="55"/>
      <c r="J198" s="56"/>
      <c r="K198" s="46"/>
      <c r="L198" s="46"/>
      <c r="M198" s="47"/>
      <c r="N198" s="46"/>
      <c r="O198" s="57"/>
      <c r="P198" s="46"/>
      <c r="Q198" s="46"/>
      <c r="R198" s="57"/>
      <c r="S198" s="7"/>
      <c r="T198" s="54"/>
      <c r="U198" s="58"/>
      <c r="V198" s="47"/>
      <c r="W198" s="18"/>
      <c r="X198" s="46"/>
      <c r="Y198" s="46"/>
      <c r="Z198" s="46"/>
      <c r="AA198" s="7"/>
      <c r="AB198" s="46"/>
      <c r="AC198" s="46"/>
      <c r="AD198" s="47"/>
      <c r="AE198" s="47"/>
      <c r="AF198" s="7"/>
      <c r="AG198" s="7"/>
      <c r="AH198" s="47"/>
      <c r="AI198" s="47"/>
      <c r="AJ198" s="18"/>
      <c r="AK198" s="26"/>
      <c r="AL198" s="34"/>
      <c r="AM198" s="34"/>
      <c r="AN198" s="18"/>
      <c r="AO198" s="18"/>
      <c r="AP198" s="18"/>
      <c r="AQ198" s="18"/>
      <c r="AR198" s="64"/>
      <c r="AS198" s="64"/>
    </row>
    <row r="199">
      <c r="A199" s="51"/>
      <c r="B199" s="51"/>
      <c r="C199" s="52"/>
      <c r="D199" s="51"/>
      <c r="E199" s="53"/>
      <c r="F199" s="54"/>
      <c r="G199" s="54"/>
      <c r="H199" s="51"/>
      <c r="I199" s="55"/>
      <c r="J199" s="56"/>
      <c r="K199" s="46"/>
      <c r="L199" s="46"/>
      <c r="M199" s="47"/>
      <c r="N199" s="46"/>
      <c r="O199" s="57"/>
      <c r="P199" s="46"/>
      <c r="Q199" s="46"/>
      <c r="R199" s="57"/>
      <c r="S199" s="7"/>
      <c r="T199" s="54"/>
      <c r="U199" s="58"/>
      <c r="V199" s="47"/>
      <c r="W199" s="18"/>
      <c r="X199" s="46"/>
      <c r="Y199" s="46"/>
      <c r="Z199" s="46"/>
      <c r="AA199" s="7"/>
      <c r="AB199" s="46"/>
      <c r="AC199" s="46"/>
      <c r="AD199" s="47"/>
      <c r="AE199" s="47"/>
      <c r="AF199" s="7"/>
      <c r="AG199" s="7"/>
      <c r="AH199" s="47"/>
      <c r="AI199" s="47"/>
      <c r="AJ199" s="18"/>
      <c r="AK199" s="26"/>
      <c r="AL199" s="34"/>
      <c r="AM199" s="34"/>
      <c r="AN199" s="18"/>
      <c r="AO199" s="18"/>
      <c r="AP199" s="18"/>
      <c r="AQ199" s="18"/>
      <c r="AR199" s="64"/>
      <c r="AS199" s="64"/>
    </row>
    <row r="200">
      <c r="A200" s="51"/>
      <c r="B200" s="51"/>
      <c r="C200" s="52"/>
      <c r="D200" s="51"/>
      <c r="E200" s="53"/>
      <c r="F200" s="54"/>
      <c r="G200" s="54"/>
      <c r="H200" s="51"/>
      <c r="I200" s="55"/>
      <c r="J200" s="56"/>
      <c r="K200" s="46"/>
      <c r="L200" s="46"/>
      <c r="M200" s="47"/>
      <c r="N200" s="46"/>
      <c r="O200" s="57"/>
      <c r="P200" s="46"/>
      <c r="Q200" s="46"/>
      <c r="R200" s="57"/>
      <c r="S200" s="7"/>
      <c r="T200" s="54"/>
      <c r="U200" s="58"/>
      <c r="V200" s="47"/>
      <c r="W200" s="18"/>
      <c r="X200" s="46"/>
      <c r="Y200" s="46"/>
      <c r="Z200" s="46"/>
      <c r="AA200" s="7"/>
      <c r="AB200" s="46"/>
      <c r="AC200" s="46"/>
      <c r="AD200" s="47"/>
      <c r="AE200" s="47"/>
      <c r="AF200" s="7"/>
      <c r="AG200" s="7"/>
      <c r="AH200" s="47"/>
      <c r="AI200" s="47"/>
      <c r="AJ200" s="18"/>
      <c r="AK200" s="26"/>
      <c r="AL200" s="34"/>
      <c r="AM200" s="34"/>
      <c r="AN200" s="18"/>
      <c r="AO200" s="18"/>
      <c r="AP200" s="18"/>
      <c r="AQ200" s="18"/>
      <c r="AR200" s="64"/>
      <c r="AS200" s="64"/>
    </row>
    <row r="201">
      <c r="A201" s="51"/>
      <c r="B201" s="51"/>
      <c r="C201" s="52"/>
      <c r="D201" s="51"/>
      <c r="E201" s="53"/>
      <c r="F201" s="54"/>
      <c r="G201" s="54"/>
      <c r="H201" s="51"/>
      <c r="I201" s="55"/>
      <c r="J201" s="56"/>
      <c r="K201" s="46"/>
      <c r="L201" s="46"/>
      <c r="M201" s="47"/>
      <c r="N201" s="46"/>
      <c r="O201" s="57"/>
      <c r="P201" s="46"/>
      <c r="Q201" s="46"/>
      <c r="R201" s="57"/>
      <c r="S201" s="7"/>
      <c r="T201" s="54"/>
      <c r="U201" s="58"/>
      <c r="V201" s="47"/>
      <c r="W201" s="18"/>
      <c r="X201" s="46"/>
      <c r="Y201" s="46"/>
      <c r="Z201" s="46"/>
      <c r="AA201" s="7"/>
      <c r="AB201" s="46"/>
      <c r="AC201" s="46"/>
      <c r="AD201" s="47"/>
      <c r="AE201" s="47"/>
      <c r="AF201" s="7"/>
      <c r="AG201" s="7"/>
      <c r="AH201" s="47"/>
      <c r="AI201" s="47"/>
      <c r="AJ201" s="18"/>
      <c r="AK201" s="26"/>
      <c r="AL201" s="34"/>
      <c r="AM201" s="34"/>
      <c r="AN201" s="18"/>
      <c r="AO201" s="18"/>
      <c r="AP201" s="18"/>
      <c r="AQ201" s="18"/>
      <c r="AR201" s="64"/>
      <c r="AS201" s="64"/>
    </row>
    <row r="202">
      <c r="A202" s="51"/>
      <c r="B202" s="51"/>
      <c r="C202" s="52"/>
      <c r="D202" s="51"/>
      <c r="E202" s="53"/>
      <c r="F202" s="54"/>
      <c r="G202" s="54"/>
      <c r="H202" s="51"/>
      <c r="I202" s="55"/>
      <c r="J202" s="56"/>
      <c r="K202" s="46"/>
      <c r="L202" s="46"/>
      <c r="M202" s="47"/>
      <c r="N202" s="46"/>
      <c r="O202" s="57"/>
      <c r="P202" s="46"/>
      <c r="Q202" s="46"/>
      <c r="R202" s="57"/>
      <c r="S202" s="7"/>
      <c r="T202" s="54"/>
      <c r="U202" s="58"/>
      <c r="V202" s="47"/>
      <c r="W202" s="18"/>
      <c r="X202" s="46"/>
      <c r="Y202" s="46"/>
      <c r="Z202" s="46"/>
      <c r="AA202" s="7"/>
      <c r="AB202" s="46"/>
      <c r="AC202" s="46"/>
      <c r="AD202" s="47"/>
      <c r="AE202" s="47"/>
      <c r="AF202" s="7"/>
      <c r="AG202" s="7"/>
      <c r="AH202" s="47"/>
      <c r="AI202" s="47"/>
      <c r="AJ202" s="18"/>
      <c r="AK202" s="26"/>
      <c r="AL202" s="34"/>
      <c r="AM202" s="34"/>
      <c r="AN202" s="18"/>
      <c r="AO202" s="18"/>
      <c r="AP202" s="18"/>
      <c r="AQ202" s="18"/>
      <c r="AR202" s="64"/>
      <c r="AS202" s="64"/>
    </row>
    <row r="203">
      <c r="A203" s="51"/>
      <c r="B203" s="51"/>
      <c r="C203" s="52"/>
      <c r="D203" s="51"/>
      <c r="E203" s="53"/>
      <c r="F203" s="54"/>
      <c r="G203" s="54"/>
      <c r="H203" s="51"/>
      <c r="I203" s="55"/>
      <c r="J203" s="56"/>
      <c r="K203" s="46"/>
      <c r="L203" s="46"/>
      <c r="M203" s="47"/>
      <c r="N203" s="46"/>
      <c r="O203" s="57"/>
      <c r="P203" s="46"/>
      <c r="Q203" s="46"/>
      <c r="R203" s="57"/>
      <c r="S203" s="7"/>
      <c r="T203" s="54"/>
      <c r="U203" s="58"/>
      <c r="V203" s="47"/>
      <c r="W203" s="18"/>
      <c r="X203" s="46"/>
      <c r="Y203" s="46"/>
      <c r="Z203" s="46"/>
      <c r="AA203" s="7"/>
      <c r="AB203" s="46"/>
      <c r="AC203" s="46"/>
      <c r="AD203" s="47"/>
      <c r="AE203" s="47"/>
      <c r="AF203" s="7"/>
      <c r="AG203" s="7"/>
      <c r="AH203" s="47"/>
      <c r="AI203" s="47"/>
      <c r="AJ203" s="18"/>
      <c r="AK203" s="26"/>
      <c r="AL203" s="34"/>
      <c r="AM203" s="34"/>
      <c r="AN203" s="18"/>
      <c r="AO203" s="18"/>
      <c r="AP203" s="18"/>
      <c r="AQ203" s="18"/>
      <c r="AR203" s="64"/>
      <c r="AS203" s="64"/>
    </row>
    <row r="204">
      <c r="A204" s="51"/>
      <c r="B204" s="51"/>
      <c r="C204" s="52"/>
      <c r="D204" s="51"/>
      <c r="E204" s="53"/>
      <c r="F204" s="54"/>
      <c r="G204" s="54"/>
      <c r="H204" s="51"/>
      <c r="I204" s="55"/>
      <c r="J204" s="56"/>
      <c r="K204" s="46"/>
      <c r="L204" s="46"/>
      <c r="M204" s="47"/>
      <c r="N204" s="46"/>
      <c r="O204" s="57"/>
      <c r="P204" s="46"/>
      <c r="Q204" s="46"/>
      <c r="R204" s="57"/>
      <c r="S204" s="7"/>
      <c r="T204" s="54"/>
      <c r="U204" s="58"/>
      <c r="V204" s="47"/>
      <c r="W204" s="18"/>
      <c r="X204" s="46"/>
      <c r="Y204" s="46"/>
      <c r="Z204" s="46"/>
      <c r="AA204" s="7"/>
      <c r="AB204" s="46"/>
      <c r="AC204" s="46"/>
      <c r="AD204" s="47"/>
      <c r="AE204" s="47"/>
      <c r="AF204" s="7"/>
      <c r="AG204" s="7"/>
      <c r="AH204" s="47"/>
      <c r="AI204" s="47"/>
      <c r="AJ204" s="18"/>
      <c r="AK204" s="26"/>
      <c r="AL204" s="34"/>
      <c r="AM204" s="34"/>
      <c r="AN204" s="18"/>
      <c r="AO204" s="18"/>
      <c r="AP204" s="18"/>
      <c r="AQ204" s="18"/>
      <c r="AR204" s="64"/>
      <c r="AS204" s="64"/>
    </row>
    <row r="205">
      <c r="A205" s="51"/>
      <c r="B205" s="51"/>
      <c r="C205" s="52"/>
      <c r="D205" s="51"/>
      <c r="E205" s="53"/>
      <c r="F205" s="54"/>
      <c r="G205" s="54"/>
      <c r="H205" s="51"/>
      <c r="I205" s="55"/>
      <c r="J205" s="56"/>
      <c r="K205" s="46"/>
      <c r="L205" s="46"/>
      <c r="M205" s="47"/>
      <c r="N205" s="46"/>
      <c r="O205" s="57"/>
      <c r="P205" s="46"/>
      <c r="Q205" s="46"/>
      <c r="R205" s="57"/>
      <c r="S205" s="7"/>
      <c r="T205" s="54"/>
      <c r="U205" s="58"/>
      <c r="V205" s="47"/>
      <c r="W205" s="18"/>
      <c r="X205" s="46"/>
      <c r="Y205" s="46"/>
      <c r="Z205" s="46"/>
      <c r="AA205" s="7"/>
      <c r="AB205" s="46"/>
      <c r="AC205" s="46"/>
      <c r="AD205" s="47"/>
      <c r="AE205" s="47"/>
      <c r="AF205" s="7"/>
      <c r="AG205" s="7"/>
      <c r="AH205" s="47"/>
      <c r="AI205" s="47"/>
      <c r="AJ205" s="18"/>
      <c r="AK205" s="26"/>
      <c r="AL205" s="34"/>
      <c r="AM205" s="34"/>
      <c r="AN205" s="18"/>
      <c r="AO205" s="18"/>
      <c r="AP205" s="18"/>
      <c r="AQ205" s="18"/>
      <c r="AR205" s="64"/>
      <c r="AS205" s="64"/>
    </row>
    <row r="206">
      <c r="A206" s="51"/>
      <c r="B206" s="51"/>
      <c r="C206" s="52"/>
      <c r="D206" s="51"/>
      <c r="E206" s="53"/>
      <c r="F206" s="54"/>
      <c r="G206" s="54"/>
      <c r="H206" s="51"/>
      <c r="I206" s="55"/>
      <c r="J206" s="56"/>
      <c r="K206" s="46"/>
      <c r="L206" s="46"/>
      <c r="M206" s="47"/>
      <c r="N206" s="46"/>
      <c r="O206" s="57"/>
      <c r="P206" s="46"/>
      <c r="Q206" s="46"/>
      <c r="R206" s="57"/>
      <c r="S206" s="7"/>
      <c r="T206" s="54"/>
      <c r="U206" s="58"/>
      <c r="V206" s="47"/>
      <c r="W206" s="18"/>
      <c r="X206" s="46"/>
      <c r="Y206" s="46"/>
      <c r="Z206" s="46"/>
      <c r="AA206" s="7"/>
      <c r="AB206" s="46"/>
      <c r="AC206" s="46"/>
      <c r="AD206" s="47"/>
      <c r="AE206" s="47"/>
      <c r="AF206" s="7"/>
      <c r="AG206" s="7"/>
      <c r="AH206" s="47"/>
      <c r="AI206" s="47"/>
      <c r="AJ206" s="18"/>
      <c r="AK206" s="26"/>
      <c r="AL206" s="34"/>
      <c r="AM206" s="34"/>
      <c r="AN206" s="18"/>
      <c r="AO206" s="18"/>
      <c r="AP206" s="18"/>
      <c r="AQ206" s="18"/>
      <c r="AR206" s="64"/>
      <c r="AS206" s="64"/>
    </row>
    <row r="207">
      <c r="A207" s="51"/>
      <c r="B207" s="51"/>
      <c r="C207" s="52"/>
      <c r="D207" s="51"/>
      <c r="E207" s="53"/>
      <c r="F207" s="54"/>
      <c r="G207" s="54"/>
      <c r="H207" s="51"/>
      <c r="I207" s="55"/>
      <c r="J207" s="56"/>
      <c r="K207" s="46"/>
      <c r="L207" s="46"/>
      <c r="M207" s="47"/>
      <c r="N207" s="46"/>
      <c r="O207" s="57"/>
      <c r="P207" s="46"/>
      <c r="Q207" s="46"/>
      <c r="R207" s="57"/>
      <c r="S207" s="7"/>
      <c r="T207" s="54"/>
      <c r="U207" s="58"/>
      <c r="V207" s="47"/>
      <c r="W207" s="18"/>
      <c r="X207" s="46"/>
      <c r="Y207" s="46"/>
      <c r="Z207" s="46"/>
      <c r="AA207" s="7"/>
      <c r="AB207" s="46"/>
      <c r="AC207" s="46"/>
      <c r="AD207" s="47"/>
      <c r="AE207" s="47"/>
      <c r="AF207" s="7"/>
      <c r="AG207" s="7"/>
      <c r="AH207" s="47"/>
      <c r="AI207" s="47"/>
      <c r="AJ207" s="18"/>
      <c r="AK207" s="26"/>
      <c r="AL207" s="34"/>
      <c r="AM207" s="34"/>
      <c r="AN207" s="18"/>
      <c r="AO207" s="18"/>
      <c r="AP207" s="18"/>
      <c r="AQ207" s="18"/>
      <c r="AR207" s="64"/>
      <c r="AS207" s="64"/>
    </row>
    <row r="208">
      <c r="A208" s="51"/>
      <c r="B208" s="51"/>
      <c r="C208" s="52"/>
      <c r="D208" s="51"/>
      <c r="E208" s="53"/>
      <c r="F208" s="54"/>
      <c r="G208" s="54"/>
      <c r="H208" s="51"/>
      <c r="I208" s="55"/>
      <c r="J208" s="56"/>
      <c r="K208" s="46"/>
      <c r="L208" s="46"/>
      <c r="M208" s="47"/>
      <c r="N208" s="46"/>
      <c r="O208" s="57"/>
      <c r="P208" s="46"/>
      <c r="Q208" s="46"/>
      <c r="R208" s="57"/>
      <c r="S208" s="7"/>
      <c r="T208" s="54"/>
      <c r="U208" s="58"/>
      <c r="V208" s="47"/>
      <c r="W208" s="18"/>
      <c r="X208" s="46"/>
      <c r="Y208" s="46"/>
      <c r="Z208" s="46"/>
      <c r="AA208" s="7"/>
      <c r="AB208" s="46"/>
      <c r="AC208" s="46"/>
      <c r="AD208" s="47"/>
      <c r="AE208" s="47"/>
      <c r="AF208" s="7"/>
      <c r="AG208" s="7"/>
      <c r="AH208" s="47"/>
      <c r="AI208" s="47"/>
      <c r="AJ208" s="18"/>
      <c r="AK208" s="26"/>
      <c r="AL208" s="34"/>
      <c r="AM208" s="34"/>
      <c r="AN208" s="18"/>
      <c r="AO208" s="18"/>
      <c r="AP208" s="18"/>
      <c r="AQ208" s="18"/>
      <c r="AR208" s="64"/>
      <c r="AS208" s="64"/>
    </row>
    <row r="209">
      <c r="A209" s="51"/>
      <c r="B209" s="51"/>
      <c r="C209" s="52"/>
      <c r="D209" s="51"/>
      <c r="E209" s="53"/>
      <c r="F209" s="54"/>
      <c r="G209" s="54"/>
      <c r="H209" s="51"/>
      <c r="I209" s="55"/>
      <c r="J209" s="56"/>
      <c r="K209" s="46"/>
      <c r="L209" s="46"/>
      <c r="M209" s="47"/>
      <c r="N209" s="46"/>
      <c r="O209" s="57"/>
      <c r="P209" s="46"/>
      <c r="Q209" s="46"/>
      <c r="R209" s="57"/>
      <c r="S209" s="7"/>
      <c r="T209" s="54"/>
      <c r="U209" s="58"/>
      <c r="V209" s="47"/>
      <c r="W209" s="18"/>
      <c r="X209" s="46"/>
      <c r="Y209" s="46"/>
      <c r="Z209" s="46"/>
      <c r="AA209" s="7"/>
      <c r="AB209" s="46"/>
      <c r="AC209" s="46"/>
      <c r="AD209" s="47"/>
      <c r="AE209" s="47"/>
      <c r="AF209" s="7"/>
      <c r="AG209" s="7"/>
      <c r="AH209" s="47"/>
      <c r="AI209" s="47"/>
      <c r="AJ209" s="18"/>
      <c r="AK209" s="26"/>
      <c r="AL209" s="34"/>
      <c r="AM209" s="34"/>
      <c r="AN209" s="18"/>
      <c r="AO209" s="18"/>
      <c r="AP209" s="18"/>
      <c r="AQ209" s="18"/>
      <c r="AR209" s="64"/>
      <c r="AS209" s="64"/>
    </row>
    <row r="210">
      <c r="A210" s="51"/>
      <c r="B210" s="51"/>
      <c r="C210" s="52"/>
      <c r="D210" s="51"/>
      <c r="E210" s="53"/>
      <c r="F210" s="54"/>
      <c r="G210" s="54"/>
      <c r="H210" s="51"/>
      <c r="I210" s="55"/>
      <c r="J210" s="56"/>
      <c r="K210" s="46"/>
      <c r="L210" s="46"/>
      <c r="M210" s="47"/>
      <c r="N210" s="46"/>
      <c r="O210" s="57"/>
      <c r="P210" s="46"/>
      <c r="Q210" s="46"/>
      <c r="R210" s="57"/>
      <c r="S210" s="7"/>
      <c r="T210" s="54"/>
      <c r="U210" s="58"/>
      <c r="V210" s="47"/>
      <c r="W210" s="18"/>
      <c r="X210" s="46"/>
      <c r="Y210" s="46"/>
      <c r="Z210" s="46"/>
      <c r="AA210" s="7"/>
      <c r="AB210" s="46"/>
      <c r="AC210" s="46"/>
      <c r="AD210" s="47"/>
      <c r="AE210" s="47"/>
      <c r="AF210" s="7"/>
      <c r="AG210" s="7"/>
      <c r="AH210" s="47"/>
      <c r="AI210" s="47"/>
      <c r="AJ210" s="18"/>
      <c r="AK210" s="26"/>
      <c r="AL210" s="34"/>
      <c r="AM210" s="34"/>
      <c r="AN210" s="18"/>
      <c r="AO210" s="18"/>
      <c r="AP210" s="18"/>
      <c r="AQ210" s="18"/>
      <c r="AR210" s="64"/>
      <c r="AS210" s="64"/>
    </row>
    <row r="211">
      <c r="A211" s="51"/>
      <c r="B211" s="51"/>
      <c r="C211" s="52"/>
      <c r="D211" s="51"/>
      <c r="E211" s="53"/>
      <c r="F211" s="54"/>
      <c r="G211" s="54"/>
      <c r="H211" s="51"/>
      <c r="I211" s="55"/>
      <c r="J211" s="56"/>
      <c r="K211" s="46"/>
      <c r="L211" s="46"/>
      <c r="M211" s="47"/>
      <c r="N211" s="46"/>
      <c r="O211" s="57"/>
      <c r="P211" s="46"/>
      <c r="Q211" s="46"/>
      <c r="R211" s="57"/>
      <c r="S211" s="7"/>
      <c r="T211" s="54"/>
      <c r="U211" s="58"/>
      <c r="V211" s="47"/>
      <c r="W211" s="18"/>
      <c r="X211" s="46"/>
      <c r="Y211" s="46"/>
      <c r="Z211" s="46"/>
      <c r="AA211" s="7"/>
      <c r="AB211" s="46"/>
      <c r="AC211" s="46"/>
      <c r="AD211" s="47"/>
      <c r="AE211" s="47"/>
      <c r="AF211" s="7"/>
      <c r="AG211" s="7"/>
      <c r="AH211" s="47"/>
      <c r="AI211" s="47"/>
      <c r="AJ211" s="18"/>
      <c r="AK211" s="26"/>
      <c r="AL211" s="34"/>
      <c r="AM211" s="34"/>
      <c r="AN211" s="18"/>
      <c r="AO211" s="18"/>
      <c r="AP211" s="18"/>
      <c r="AQ211" s="18"/>
      <c r="AR211" s="64"/>
      <c r="AS211" s="64"/>
    </row>
    <row r="212">
      <c r="A212" s="51"/>
      <c r="B212" s="51"/>
      <c r="C212" s="52"/>
      <c r="D212" s="51"/>
      <c r="E212" s="53"/>
      <c r="F212" s="54"/>
      <c r="G212" s="54"/>
      <c r="H212" s="51"/>
      <c r="I212" s="55"/>
      <c r="J212" s="56"/>
      <c r="K212" s="46"/>
      <c r="L212" s="46"/>
      <c r="M212" s="47"/>
      <c r="N212" s="46"/>
      <c r="O212" s="57"/>
      <c r="P212" s="46"/>
      <c r="Q212" s="46"/>
      <c r="R212" s="57"/>
      <c r="S212" s="7"/>
      <c r="T212" s="54"/>
      <c r="U212" s="58"/>
      <c r="V212" s="47"/>
      <c r="W212" s="18"/>
      <c r="X212" s="46"/>
      <c r="Y212" s="46"/>
      <c r="Z212" s="46"/>
      <c r="AA212" s="7"/>
      <c r="AB212" s="46"/>
      <c r="AC212" s="46"/>
      <c r="AD212" s="47"/>
      <c r="AE212" s="47"/>
      <c r="AF212" s="7"/>
      <c r="AG212" s="7"/>
      <c r="AH212" s="47"/>
      <c r="AI212" s="47"/>
      <c r="AJ212" s="18"/>
      <c r="AK212" s="26"/>
      <c r="AL212" s="34"/>
      <c r="AM212" s="34"/>
      <c r="AN212" s="18"/>
      <c r="AO212" s="18"/>
      <c r="AP212" s="18"/>
      <c r="AQ212" s="18"/>
      <c r="AR212" s="64"/>
      <c r="AS212" s="64"/>
    </row>
    <row r="213">
      <c r="A213" s="51"/>
      <c r="B213" s="51"/>
      <c r="C213" s="52"/>
      <c r="D213" s="51"/>
      <c r="E213" s="53"/>
      <c r="F213" s="54"/>
      <c r="G213" s="54"/>
      <c r="H213" s="51"/>
      <c r="I213" s="55"/>
      <c r="J213" s="56"/>
      <c r="K213" s="46"/>
      <c r="L213" s="46"/>
      <c r="M213" s="47"/>
      <c r="N213" s="46"/>
      <c r="O213" s="57"/>
      <c r="P213" s="46"/>
      <c r="Q213" s="46"/>
      <c r="R213" s="57"/>
      <c r="S213" s="7"/>
      <c r="T213" s="54"/>
      <c r="U213" s="58"/>
      <c r="V213" s="47"/>
      <c r="W213" s="18"/>
      <c r="X213" s="46"/>
      <c r="Y213" s="46"/>
      <c r="Z213" s="46"/>
      <c r="AA213" s="7"/>
      <c r="AB213" s="46"/>
      <c r="AC213" s="46"/>
      <c r="AD213" s="47"/>
      <c r="AE213" s="47"/>
      <c r="AF213" s="7"/>
      <c r="AG213" s="7"/>
      <c r="AH213" s="47"/>
      <c r="AI213" s="47"/>
      <c r="AJ213" s="18"/>
      <c r="AK213" s="26"/>
      <c r="AL213" s="34"/>
      <c r="AM213" s="34"/>
      <c r="AN213" s="18"/>
      <c r="AO213" s="18"/>
      <c r="AP213" s="18"/>
      <c r="AQ213" s="18"/>
      <c r="AR213" s="64"/>
      <c r="AS213" s="64"/>
    </row>
    <row r="214">
      <c r="A214" s="51"/>
      <c r="B214" s="51"/>
      <c r="C214" s="52"/>
      <c r="D214" s="51"/>
      <c r="E214" s="53"/>
      <c r="F214" s="54"/>
      <c r="G214" s="54"/>
      <c r="H214" s="51"/>
      <c r="I214" s="55"/>
      <c r="J214" s="56"/>
      <c r="K214" s="46"/>
      <c r="L214" s="46"/>
      <c r="M214" s="47"/>
      <c r="N214" s="46"/>
      <c r="O214" s="57"/>
      <c r="P214" s="46"/>
      <c r="Q214" s="46"/>
      <c r="R214" s="57"/>
      <c r="S214" s="7"/>
      <c r="T214" s="54"/>
      <c r="U214" s="58"/>
      <c r="V214" s="47"/>
      <c r="W214" s="18"/>
      <c r="X214" s="46"/>
      <c r="Y214" s="46"/>
      <c r="Z214" s="46"/>
      <c r="AA214" s="7"/>
      <c r="AB214" s="46"/>
      <c r="AC214" s="46"/>
      <c r="AD214" s="47"/>
      <c r="AE214" s="47"/>
      <c r="AF214" s="7"/>
      <c r="AG214" s="7"/>
      <c r="AH214" s="47"/>
      <c r="AI214" s="47"/>
      <c r="AJ214" s="18"/>
      <c r="AK214" s="26"/>
      <c r="AL214" s="34"/>
      <c r="AM214" s="34"/>
      <c r="AN214" s="18"/>
      <c r="AO214" s="18"/>
      <c r="AP214" s="18"/>
      <c r="AQ214" s="18"/>
      <c r="AR214" s="64"/>
      <c r="AS214" s="64"/>
    </row>
    <row r="215">
      <c r="A215" s="51"/>
      <c r="B215" s="51"/>
      <c r="C215" s="52"/>
      <c r="D215" s="51"/>
      <c r="E215" s="53"/>
      <c r="F215" s="54"/>
      <c r="G215" s="54"/>
      <c r="H215" s="51"/>
      <c r="I215" s="55"/>
      <c r="J215" s="56"/>
      <c r="K215" s="46"/>
      <c r="L215" s="46"/>
      <c r="M215" s="47"/>
      <c r="N215" s="46"/>
      <c r="O215" s="57"/>
      <c r="P215" s="46"/>
      <c r="Q215" s="46"/>
      <c r="R215" s="57"/>
      <c r="S215" s="7"/>
      <c r="T215" s="54"/>
      <c r="U215" s="58"/>
      <c r="V215" s="47"/>
      <c r="W215" s="18"/>
      <c r="X215" s="46"/>
      <c r="Y215" s="46"/>
      <c r="Z215" s="46"/>
      <c r="AA215" s="7"/>
      <c r="AB215" s="46"/>
      <c r="AC215" s="46"/>
      <c r="AD215" s="47"/>
      <c r="AE215" s="47"/>
      <c r="AF215" s="7"/>
      <c r="AG215" s="7"/>
      <c r="AH215" s="47"/>
      <c r="AI215" s="47"/>
      <c r="AJ215" s="18"/>
      <c r="AK215" s="26"/>
      <c r="AL215" s="34"/>
      <c r="AM215" s="34"/>
      <c r="AN215" s="18"/>
      <c r="AO215" s="18"/>
      <c r="AP215" s="18"/>
      <c r="AQ215" s="18"/>
      <c r="AR215" s="64"/>
      <c r="AS215" s="64"/>
    </row>
    <row r="216">
      <c r="A216" s="51"/>
      <c r="B216" s="51"/>
      <c r="C216" s="52"/>
      <c r="D216" s="51"/>
      <c r="E216" s="53"/>
      <c r="F216" s="54"/>
      <c r="G216" s="54"/>
      <c r="H216" s="51"/>
      <c r="I216" s="55"/>
      <c r="J216" s="56"/>
      <c r="K216" s="46"/>
      <c r="L216" s="46"/>
      <c r="M216" s="47"/>
      <c r="N216" s="46"/>
      <c r="O216" s="57"/>
      <c r="P216" s="46"/>
      <c r="Q216" s="46"/>
      <c r="R216" s="57"/>
      <c r="S216" s="7"/>
      <c r="T216" s="54"/>
      <c r="U216" s="58"/>
      <c r="V216" s="47"/>
      <c r="W216" s="18"/>
      <c r="X216" s="46"/>
      <c r="Y216" s="46"/>
      <c r="Z216" s="46"/>
      <c r="AA216" s="7"/>
      <c r="AB216" s="46"/>
      <c r="AC216" s="46"/>
      <c r="AD216" s="47"/>
      <c r="AE216" s="47"/>
      <c r="AF216" s="7"/>
      <c r="AG216" s="7"/>
      <c r="AH216" s="47"/>
      <c r="AI216" s="47"/>
      <c r="AJ216" s="18"/>
      <c r="AK216" s="26"/>
      <c r="AL216" s="34"/>
      <c r="AM216" s="34"/>
      <c r="AN216" s="18"/>
      <c r="AO216" s="18"/>
      <c r="AP216" s="18"/>
      <c r="AQ216" s="18"/>
      <c r="AR216" s="64"/>
      <c r="AS216" s="64"/>
    </row>
    <row r="217">
      <c r="A217" s="51"/>
      <c r="B217" s="51"/>
      <c r="C217" s="52"/>
      <c r="D217" s="51"/>
      <c r="E217" s="53"/>
      <c r="F217" s="54"/>
      <c r="G217" s="54"/>
      <c r="H217" s="51"/>
      <c r="I217" s="55"/>
      <c r="J217" s="56"/>
      <c r="K217" s="46"/>
      <c r="L217" s="46"/>
      <c r="M217" s="47"/>
      <c r="N217" s="46"/>
      <c r="O217" s="57"/>
      <c r="P217" s="46"/>
      <c r="Q217" s="46"/>
      <c r="R217" s="57"/>
      <c r="S217" s="7"/>
      <c r="T217" s="54"/>
      <c r="U217" s="58"/>
      <c r="V217" s="47"/>
      <c r="W217" s="18"/>
      <c r="X217" s="46"/>
      <c r="Y217" s="46"/>
      <c r="Z217" s="46"/>
      <c r="AA217" s="7"/>
      <c r="AB217" s="46"/>
      <c r="AC217" s="46"/>
      <c r="AD217" s="47"/>
      <c r="AE217" s="47"/>
      <c r="AF217" s="7"/>
      <c r="AG217" s="7"/>
      <c r="AH217" s="47"/>
      <c r="AI217" s="47"/>
      <c r="AJ217" s="18"/>
      <c r="AK217" s="26"/>
      <c r="AL217" s="34"/>
      <c r="AM217" s="34"/>
      <c r="AN217" s="18"/>
      <c r="AO217" s="18"/>
      <c r="AP217" s="18"/>
      <c r="AQ217" s="18"/>
      <c r="AR217" s="64"/>
      <c r="AS217" s="64"/>
    </row>
    <row r="218">
      <c r="A218" s="51"/>
      <c r="B218" s="51"/>
      <c r="C218" s="52"/>
      <c r="D218" s="51"/>
      <c r="E218" s="53"/>
      <c r="F218" s="54"/>
      <c r="G218" s="54"/>
      <c r="H218" s="51"/>
      <c r="I218" s="55"/>
      <c r="J218" s="56"/>
      <c r="K218" s="46"/>
      <c r="L218" s="46"/>
      <c r="M218" s="47"/>
      <c r="N218" s="46"/>
      <c r="O218" s="57"/>
      <c r="P218" s="46"/>
      <c r="Q218" s="46"/>
      <c r="R218" s="57"/>
      <c r="S218" s="7"/>
      <c r="T218" s="54"/>
      <c r="U218" s="58"/>
      <c r="V218" s="47"/>
      <c r="W218" s="18"/>
      <c r="X218" s="46"/>
      <c r="Y218" s="46"/>
      <c r="Z218" s="46"/>
      <c r="AA218" s="7"/>
      <c r="AB218" s="46"/>
      <c r="AC218" s="46"/>
      <c r="AD218" s="47"/>
      <c r="AE218" s="47"/>
      <c r="AF218" s="7"/>
      <c r="AG218" s="7"/>
      <c r="AH218" s="47"/>
      <c r="AI218" s="47"/>
      <c r="AJ218" s="18"/>
      <c r="AK218" s="26"/>
      <c r="AL218" s="34"/>
      <c r="AM218" s="34"/>
      <c r="AN218" s="18"/>
      <c r="AO218" s="18"/>
      <c r="AP218" s="18"/>
      <c r="AQ218" s="18"/>
      <c r="AR218" s="64"/>
      <c r="AS218" s="64"/>
    </row>
    <row r="219">
      <c r="A219" s="51"/>
      <c r="B219" s="51"/>
      <c r="C219" s="52"/>
      <c r="D219" s="51"/>
      <c r="E219" s="53"/>
      <c r="F219" s="54"/>
      <c r="G219" s="54"/>
      <c r="H219" s="51"/>
      <c r="I219" s="55"/>
      <c r="J219" s="56"/>
      <c r="K219" s="46"/>
      <c r="L219" s="46"/>
      <c r="M219" s="47"/>
      <c r="N219" s="46"/>
      <c r="O219" s="57"/>
      <c r="P219" s="46"/>
      <c r="Q219" s="46"/>
      <c r="R219" s="57"/>
      <c r="S219" s="7"/>
      <c r="T219" s="54"/>
      <c r="U219" s="58"/>
      <c r="V219" s="47"/>
      <c r="W219" s="18"/>
      <c r="X219" s="46"/>
      <c r="Y219" s="46"/>
      <c r="Z219" s="46"/>
      <c r="AA219" s="7"/>
      <c r="AB219" s="46"/>
      <c r="AC219" s="46"/>
      <c r="AD219" s="47"/>
      <c r="AE219" s="47"/>
      <c r="AF219" s="7"/>
      <c r="AG219" s="7"/>
      <c r="AH219" s="47"/>
      <c r="AI219" s="47"/>
      <c r="AJ219" s="18"/>
      <c r="AK219" s="26"/>
      <c r="AL219" s="34"/>
      <c r="AM219" s="34"/>
      <c r="AN219" s="18"/>
      <c r="AO219" s="18"/>
      <c r="AP219" s="18"/>
      <c r="AQ219" s="18"/>
      <c r="AR219" s="64"/>
      <c r="AS219" s="64"/>
    </row>
    <row r="220">
      <c r="A220" s="51"/>
      <c r="B220" s="51"/>
      <c r="C220" s="52"/>
      <c r="D220" s="51"/>
      <c r="E220" s="53"/>
      <c r="F220" s="54"/>
      <c r="G220" s="54"/>
      <c r="H220" s="51"/>
      <c r="I220" s="55"/>
      <c r="J220" s="56"/>
      <c r="K220" s="46"/>
      <c r="L220" s="46"/>
      <c r="M220" s="47"/>
      <c r="N220" s="46"/>
      <c r="O220" s="57"/>
      <c r="P220" s="46"/>
      <c r="Q220" s="46"/>
      <c r="R220" s="57"/>
      <c r="S220" s="7"/>
      <c r="T220" s="54"/>
      <c r="U220" s="58"/>
      <c r="V220" s="47"/>
      <c r="W220" s="18"/>
      <c r="X220" s="46"/>
      <c r="Y220" s="46"/>
      <c r="Z220" s="46"/>
      <c r="AA220" s="7"/>
      <c r="AB220" s="46"/>
      <c r="AC220" s="46"/>
      <c r="AD220" s="47"/>
      <c r="AE220" s="47"/>
      <c r="AF220" s="7"/>
      <c r="AG220" s="7"/>
      <c r="AH220" s="47"/>
      <c r="AI220" s="47"/>
      <c r="AJ220" s="18"/>
      <c r="AK220" s="26"/>
      <c r="AL220" s="34"/>
      <c r="AM220" s="34"/>
      <c r="AN220" s="18"/>
      <c r="AO220" s="18"/>
      <c r="AP220" s="18"/>
      <c r="AQ220" s="18"/>
      <c r="AR220" s="64"/>
      <c r="AS220" s="64"/>
    </row>
    <row r="221">
      <c r="A221" s="51"/>
      <c r="B221" s="51"/>
      <c r="C221" s="52"/>
      <c r="D221" s="51"/>
      <c r="E221" s="53"/>
      <c r="F221" s="54"/>
      <c r="G221" s="54"/>
      <c r="H221" s="51"/>
      <c r="I221" s="55"/>
      <c r="J221" s="56"/>
      <c r="K221" s="46"/>
      <c r="L221" s="46"/>
      <c r="M221" s="47"/>
      <c r="N221" s="46"/>
      <c r="O221" s="57"/>
      <c r="P221" s="46"/>
      <c r="Q221" s="46"/>
      <c r="R221" s="57"/>
      <c r="S221" s="7"/>
      <c r="T221" s="54"/>
      <c r="U221" s="58"/>
      <c r="V221" s="47"/>
      <c r="W221" s="18"/>
      <c r="X221" s="46"/>
      <c r="Y221" s="46"/>
      <c r="Z221" s="46"/>
      <c r="AA221" s="7"/>
      <c r="AB221" s="46"/>
      <c r="AC221" s="46"/>
      <c r="AD221" s="47"/>
      <c r="AE221" s="47"/>
      <c r="AF221" s="7"/>
      <c r="AG221" s="7"/>
      <c r="AH221" s="47"/>
      <c r="AI221" s="47"/>
      <c r="AJ221" s="18"/>
      <c r="AK221" s="26"/>
      <c r="AL221" s="34"/>
      <c r="AM221" s="34"/>
      <c r="AN221" s="18"/>
      <c r="AO221" s="18"/>
      <c r="AP221" s="18"/>
      <c r="AQ221" s="18"/>
      <c r="AR221" s="64"/>
      <c r="AS221" s="64"/>
    </row>
    <row r="222">
      <c r="A222" s="51"/>
      <c r="B222" s="51"/>
      <c r="C222" s="52"/>
      <c r="D222" s="51"/>
      <c r="E222" s="53"/>
      <c r="F222" s="54"/>
      <c r="G222" s="54"/>
      <c r="H222" s="51"/>
      <c r="I222" s="55"/>
      <c r="J222" s="56"/>
      <c r="K222" s="46"/>
      <c r="L222" s="46"/>
      <c r="M222" s="47"/>
      <c r="N222" s="46"/>
      <c r="O222" s="57"/>
      <c r="P222" s="46"/>
      <c r="Q222" s="46"/>
      <c r="R222" s="57"/>
      <c r="S222" s="7"/>
      <c r="T222" s="54"/>
      <c r="U222" s="58"/>
      <c r="V222" s="47"/>
      <c r="W222" s="18"/>
      <c r="X222" s="46"/>
      <c r="Y222" s="46"/>
      <c r="Z222" s="46"/>
      <c r="AA222" s="7"/>
      <c r="AB222" s="46"/>
      <c r="AC222" s="46"/>
      <c r="AD222" s="47"/>
      <c r="AE222" s="47"/>
      <c r="AF222" s="7"/>
      <c r="AG222" s="7"/>
      <c r="AH222" s="47"/>
      <c r="AI222" s="47"/>
      <c r="AJ222" s="18"/>
      <c r="AK222" s="26"/>
      <c r="AL222" s="34"/>
      <c r="AM222" s="34"/>
      <c r="AN222" s="18"/>
      <c r="AO222" s="18"/>
      <c r="AP222" s="18"/>
      <c r="AQ222" s="18"/>
      <c r="AR222" s="64"/>
      <c r="AS222" s="64"/>
    </row>
    <row r="223">
      <c r="A223" s="51"/>
      <c r="B223" s="51"/>
      <c r="C223" s="52"/>
      <c r="D223" s="51"/>
      <c r="E223" s="53"/>
      <c r="F223" s="54"/>
      <c r="G223" s="54"/>
      <c r="H223" s="51"/>
      <c r="I223" s="55"/>
      <c r="J223" s="56"/>
      <c r="K223" s="46"/>
      <c r="L223" s="46"/>
      <c r="M223" s="47"/>
      <c r="N223" s="46"/>
      <c r="O223" s="57"/>
      <c r="P223" s="46"/>
      <c r="Q223" s="46"/>
      <c r="R223" s="57"/>
      <c r="S223" s="7"/>
      <c r="T223" s="54"/>
      <c r="U223" s="58"/>
      <c r="V223" s="47"/>
      <c r="W223" s="18"/>
      <c r="X223" s="46"/>
      <c r="Y223" s="46"/>
      <c r="Z223" s="46"/>
      <c r="AA223" s="7"/>
      <c r="AB223" s="46"/>
      <c r="AC223" s="46"/>
      <c r="AD223" s="47"/>
      <c r="AE223" s="47"/>
      <c r="AF223" s="7"/>
      <c r="AG223" s="7"/>
      <c r="AH223" s="47"/>
      <c r="AI223" s="47"/>
      <c r="AJ223" s="18"/>
      <c r="AK223" s="26"/>
      <c r="AL223" s="34"/>
      <c r="AM223" s="34"/>
      <c r="AN223" s="18"/>
      <c r="AO223" s="18"/>
      <c r="AP223" s="18"/>
      <c r="AQ223" s="18"/>
      <c r="AR223" s="64"/>
      <c r="AS223" s="64"/>
    </row>
    <row r="224">
      <c r="A224" s="51"/>
      <c r="B224" s="51"/>
      <c r="C224" s="52"/>
      <c r="D224" s="51"/>
      <c r="E224" s="53"/>
      <c r="F224" s="54"/>
      <c r="G224" s="54"/>
      <c r="H224" s="51"/>
      <c r="I224" s="55"/>
      <c r="J224" s="56"/>
      <c r="K224" s="46"/>
      <c r="L224" s="46"/>
      <c r="M224" s="47"/>
      <c r="N224" s="46"/>
      <c r="O224" s="57"/>
      <c r="P224" s="46"/>
      <c r="Q224" s="46"/>
      <c r="R224" s="57"/>
      <c r="S224" s="7"/>
      <c r="T224" s="54"/>
      <c r="U224" s="58"/>
      <c r="V224" s="47"/>
      <c r="W224" s="18"/>
      <c r="X224" s="46"/>
      <c r="Y224" s="46"/>
      <c r="Z224" s="46"/>
      <c r="AA224" s="7"/>
      <c r="AB224" s="46"/>
      <c r="AC224" s="46"/>
      <c r="AD224" s="47"/>
      <c r="AE224" s="47"/>
      <c r="AF224" s="7"/>
      <c r="AG224" s="7"/>
      <c r="AH224" s="47"/>
      <c r="AI224" s="47"/>
      <c r="AJ224" s="18"/>
      <c r="AK224" s="26"/>
      <c r="AL224" s="34"/>
      <c r="AM224" s="34"/>
      <c r="AN224" s="18"/>
      <c r="AO224" s="18"/>
      <c r="AP224" s="18"/>
      <c r="AQ224" s="18"/>
      <c r="AR224" s="64"/>
      <c r="AS224" s="64"/>
    </row>
    <row r="225">
      <c r="A225" s="51"/>
      <c r="B225" s="51"/>
      <c r="C225" s="52"/>
      <c r="D225" s="51"/>
      <c r="E225" s="53"/>
      <c r="F225" s="54"/>
      <c r="G225" s="54"/>
      <c r="H225" s="51"/>
      <c r="I225" s="55"/>
      <c r="J225" s="56"/>
      <c r="K225" s="46"/>
      <c r="L225" s="46"/>
      <c r="M225" s="47"/>
      <c r="N225" s="46"/>
      <c r="O225" s="57"/>
      <c r="P225" s="46"/>
      <c r="Q225" s="46"/>
      <c r="R225" s="57"/>
      <c r="S225" s="7"/>
      <c r="T225" s="54"/>
      <c r="U225" s="58"/>
      <c r="V225" s="47"/>
      <c r="W225" s="18"/>
      <c r="X225" s="46"/>
      <c r="Y225" s="46"/>
      <c r="Z225" s="46"/>
      <c r="AA225" s="7"/>
      <c r="AB225" s="46"/>
      <c r="AC225" s="46"/>
      <c r="AD225" s="47"/>
      <c r="AE225" s="47"/>
      <c r="AF225" s="7"/>
      <c r="AG225" s="7"/>
      <c r="AH225" s="47"/>
      <c r="AI225" s="47"/>
      <c r="AJ225" s="18"/>
      <c r="AK225" s="26"/>
      <c r="AL225" s="34"/>
      <c r="AM225" s="34"/>
      <c r="AN225" s="18"/>
      <c r="AO225" s="18"/>
      <c r="AP225" s="18"/>
      <c r="AQ225" s="18"/>
      <c r="AR225" s="64"/>
      <c r="AS225" s="64"/>
    </row>
    <row r="226">
      <c r="A226" s="51"/>
      <c r="B226" s="51"/>
      <c r="C226" s="52"/>
      <c r="D226" s="51"/>
      <c r="E226" s="53"/>
      <c r="F226" s="54"/>
      <c r="G226" s="54"/>
      <c r="H226" s="51"/>
      <c r="I226" s="55"/>
      <c r="J226" s="56"/>
      <c r="K226" s="46"/>
      <c r="L226" s="46"/>
      <c r="M226" s="47"/>
      <c r="N226" s="46"/>
      <c r="O226" s="57"/>
      <c r="P226" s="46"/>
      <c r="Q226" s="46"/>
      <c r="R226" s="57"/>
      <c r="S226" s="7"/>
      <c r="T226" s="54"/>
      <c r="U226" s="58"/>
      <c r="V226" s="47"/>
      <c r="W226" s="18"/>
      <c r="X226" s="46"/>
      <c r="Y226" s="46"/>
      <c r="Z226" s="46"/>
      <c r="AA226" s="7"/>
      <c r="AB226" s="46"/>
      <c r="AC226" s="46"/>
      <c r="AD226" s="47"/>
      <c r="AE226" s="47"/>
      <c r="AF226" s="7"/>
      <c r="AG226" s="7"/>
      <c r="AH226" s="47"/>
      <c r="AI226" s="47"/>
      <c r="AJ226" s="18"/>
      <c r="AK226" s="26"/>
      <c r="AL226" s="34"/>
      <c r="AM226" s="34"/>
      <c r="AN226" s="18"/>
      <c r="AO226" s="18"/>
      <c r="AP226" s="18"/>
      <c r="AQ226" s="18"/>
      <c r="AR226" s="64"/>
      <c r="AS226" s="64"/>
    </row>
    <row r="227">
      <c r="A227" s="51"/>
      <c r="B227" s="51"/>
      <c r="C227" s="52"/>
      <c r="D227" s="51"/>
      <c r="E227" s="53"/>
      <c r="F227" s="54"/>
      <c r="G227" s="54"/>
      <c r="H227" s="51"/>
      <c r="I227" s="55"/>
      <c r="J227" s="56"/>
      <c r="K227" s="46"/>
      <c r="L227" s="46"/>
      <c r="M227" s="47"/>
      <c r="N227" s="46"/>
      <c r="O227" s="57"/>
      <c r="P227" s="46"/>
      <c r="Q227" s="46"/>
      <c r="R227" s="57"/>
      <c r="S227" s="7"/>
      <c r="T227" s="54"/>
      <c r="U227" s="58"/>
      <c r="V227" s="47"/>
      <c r="W227" s="18"/>
      <c r="X227" s="46"/>
      <c r="Y227" s="46"/>
      <c r="Z227" s="46"/>
      <c r="AA227" s="7"/>
      <c r="AB227" s="46"/>
      <c r="AC227" s="46"/>
      <c r="AD227" s="47"/>
      <c r="AE227" s="47"/>
      <c r="AF227" s="7"/>
      <c r="AG227" s="7"/>
      <c r="AH227" s="47"/>
      <c r="AI227" s="47"/>
      <c r="AJ227" s="18"/>
      <c r="AK227" s="26"/>
      <c r="AL227" s="34"/>
      <c r="AM227" s="34"/>
      <c r="AN227" s="18"/>
      <c r="AO227" s="18"/>
      <c r="AP227" s="18"/>
      <c r="AQ227" s="18"/>
      <c r="AR227" s="64"/>
      <c r="AS227" s="64"/>
    </row>
    <row r="228">
      <c r="A228" s="51"/>
      <c r="B228" s="51"/>
      <c r="C228" s="52"/>
      <c r="D228" s="51"/>
      <c r="E228" s="53"/>
      <c r="F228" s="54"/>
      <c r="G228" s="54"/>
      <c r="H228" s="51"/>
      <c r="I228" s="55"/>
      <c r="J228" s="56"/>
      <c r="K228" s="46"/>
      <c r="L228" s="46"/>
      <c r="M228" s="47"/>
      <c r="N228" s="46"/>
      <c r="O228" s="57"/>
      <c r="P228" s="46"/>
      <c r="Q228" s="46"/>
      <c r="R228" s="57"/>
      <c r="S228" s="7"/>
      <c r="T228" s="54"/>
      <c r="U228" s="58"/>
      <c r="V228" s="47"/>
      <c r="W228" s="18"/>
      <c r="X228" s="46"/>
      <c r="Y228" s="46"/>
      <c r="Z228" s="46"/>
      <c r="AA228" s="7"/>
      <c r="AB228" s="46"/>
      <c r="AC228" s="46"/>
      <c r="AD228" s="47"/>
      <c r="AE228" s="47"/>
      <c r="AF228" s="7"/>
      <c r="AG228" s="7"/>
      <c r="AH228" s="47"/>
      <c r="AI228" s="47"/>
      <c r="AJ228" s="18"/>
      <c r="AK228" s="26"/>
      <c r="AL228" s="34"/>
      <c r="AM228" s="34"/>
      <c r="AN228" s="18"/>
      <c r="AO228" s="18"/>
      <c r="AP228" s="18"/>
      <c r="AQ228" s="18"/>
      <c r="AR228" s="64"/>
      <c r="AS228" s="64"/>
    </row>
    <row r="229">
      <c r="A229" s="51"/>
      <c r="B229" s="51"/>
      <c r="C229" s="52"/>
      <c r="D229" s="51"/>
      <c r="E229" s="53"/>
      <c r="F229" s="54"/>
      <c r="G229" s="54"/>
      <c r="H229" s="51"/>
      <c r="I229" s="55"/>
      <c r="J229" s="56"/>
      <c r="K229" s="46"/>
      <c r="L229" s="46"/>
      <c r="M229" s="47"/>
      <c r="N229" s="46"/>
      <c r="O229" s="57"/>
      <c r="P229" s="46"/>
      <c r="Q229" s="46"/>
      <c r="R229" s="57"/>
      <c r="S229" s="7"/>
      <c r="T229" s="54"/>
      <c r="U229" s="58"/>
      <c r="V229" s="47"/>
      <c r="W229" s="18"/>
      <c r="X229" s="46"/>
      <c r="Y229" s="46"/>
      <c r="Z229" s="46"/>
      <c r="AA229" s="7"/>
      <c r="AB229" s="46"/>
      <c r="AC229" s="46"/>
      <c r="AD229" s="47"/>
      <c r="AE229" s="47"/>
      <c r="AF229" s="7"/>
      <c r="AG229" s="7"/>
      <c r="AH229" s="47"/>
      <c r="AI229" s="47"/>
      <c r="AJ229" s="18"/>
      <c r="AK229" s="26"/>
      <c r="AL229" s="34"/>
      <c r="AM229" s="34"/>
      <c r="AN229" s="18"/>
      <c r="AO229" s="18"/>
      <c r="AP229" s="18"/>
      <c r="AQ229" s="18"/>
      <c r="AR229" s="64"/>
      <c r="AS229" s="64"/>
    </row>
    <row r="230">
      <c r="A230" s="51"/>
      <c r="B230" s="51"/>
      <c r="C230" s="52"/>
      <c r="D230" s="51"/>
      <c r="E230" s="53"/>
      <c r="F230" s="54"/>
      <c r="G230" s="54"/>
      <c r="H230" s="51"/>
      <c r="I230" s="55"/>
      <c r="J230" s="56"/>
      <c r="K230" s="46"/>
      <c r="L230" s="46"/>
      <c r="M230" s="47"/>
      <c r="N230" s="46"/>
      <c r="O230" s="57"/>
      <c r="P230" s="46"/>
      <c r="Q230" s="46"/>
      <c r="R230" s="57"/>
      <c r="S230" s="7"/>
      <c r="T230" s="54"/>
      <c r="U230" s="58"/>
      <c r="V230" s="47"/>
      <c r="W230" s="18"/>
      <c r="X230" s="46"/>
      <c r="Y230" s="46"/>
      <c r="Z230" s="46"/>
      <c r="AA230" s="7"/>
      <c r="AB230" s="46"/>
      <c r="AC230" s="46"/>
      <c r="AD230" s="47"/>
      <c r="AE230" s="47"/>
      <c r="AF230" s="7"/>
      <c r="AG230" s="7"/>
      <c r="AH230" s="47"/>
      <c r="AI230" s="47"/>
      <c r="AJ230" s="18"/>
      <c r="AK230" s="26"/>
      <c r="AL230" s="34"/>
      <c r="AM230" s="34"/>
      <c r="AN230" s="18"/>
      <c r="AO230" s="18"/>
      <c r="AP230" s="18"/>
      <c r="AQ230" s="18"/>
      <c r="AR230" s="64"/>
      <c r="AS230" s="64"/>
    </row>
    <row r="231">
      <c r="A231" s="51"/>
      <c r="B231" s="51"/>
      <c r="C231" s="52"/>
      <c r="D231" s="51"/>
      <c r="E231" s="53"/>
      <c r="F231" s="54"/>
      <c r="G231" s="54"/>
      <c r="H231" s="51"/>
      <c r="I231" s="55"/>
      <c r="J231" s="56"/>
      <c r="K231" s="46"/>
      <c r="L231" s="46"/>
      <c r="M231" s="47"/>
      <c r="N231" s="46"/>
      <c r="O231" s="57"/>
      <c r="P231" s="46"/>
      <c r="Q231" s="46"/>
      <c r="R231" s="57"/>
      <c r="S231" s="7"/>
      <c r="T231" s="54"/>
      <c r="U231" s="58"/>
      <c r="V231" s="47"/>
      <c r="W231" s="18"/>
      <c r="X231" s="46"/>
      <c r="Y231" s="46"/>
      <c r="Z231" s="46"/>
      <c r="AA231" s="7"/>
      <c r="AB231" s="46"/>
      <c r="AC231" s="46"/>
      <c r="AD231" s="47"/>
      <c r="AE231" s="47"/>
      <c r="AF231" s="7"/>
      <c r="AG231" s="7"/>
      <c r="AH231" s="47"/>
      <c r="AI231" s="47"/>
      <c r="AJ231" s="18"/>
      <c r="AK231" s="26"/>
      <c r="AL231" s="34"/>
      <c r="AM231" s="34"/>
      <c r="AN231" s="18"/>
      <c r="AO231" s="18"/>
      <c r="AP231" s="18"/>
      <c r="AQ231" s="18"/>
      <c r="AR231" s="64"/>
      <c r="AS231" s="64"/>
    </row>
    <row r="232">
      <c r="A232" s="51"/>
      <c r="B232" s="51"/>
      <c r="C232" s="52"/>
      <c r="D232" s="51"/>
      <c r="E232" s="53"/>
      <c r="F232" s="54"/>
      <c r="G232" s="54"/>
      <c r="H232" s="51"/>
      <c r="I232" s="55"/>
      <c r="J232" s="56"/>
      <c r="K232" s="46"/>
      <c r="L232" s="46"/>
      <c r="M232" s="47"/>
      <c r="N232" s="46"/>
      <c r="O232" s="57"/>
      <c r="P232" s="46"/>
      <c r="Q232" s="46"/>
      <c r="R232" s="57"/>
      <c r="S232" s="7"/>
      <c r="T232" s="54"/>
      <c r="U232" s="58"/>
      <c r="V232" s="47"/>
      <c r="W232" s="18"/>
      <c r="X232" s="46"/>
      <c r="Y232" s="46"/>
      <c r="Z232" s="46"/>
      <c r="AA232" s="7"/>
      <c r="AB232" s="46"/>
      <c r="AC232" s="46"/>
      <c r="AD232" s="47"/>
      <c r="AE232" s="47"/>
      <c r="AF232" s="7"/>
      <c r="AG232" s="7"/>
      <c r="AH232" s="47"/>
      <c r="AI232" s="47"/>
      <c r="AJ232" s="18"/>
      <c r="AK232" s="26"/>
      <c r="AL232" s="34"/>
      <c r="AM232" s="34"/>
      <c r="AN232" s="18"/>
      <c r="AO232" s="18"/>
      <c r="AP232" s="18"/>
      <c r="AQ232" s="18"/>
      <c r="AR232" s="64"/>
      <c r="AS232" s="64"/>
    </row>
    <row r="233">
      <c r="A233" s="51"/>
      <c r="B233" s="51"/>
      <c r="C233" s="52"/>
      <c r="D233" s="51"/>
      <c r="E233" s="53"/>
      <c r="F233" s="54"/>
      <c r="G233" s="54"/>
      <c r="H233" s="51"/>
      <c r="I233" s="55"/>
      <c r="J233" s="56"/>
      <c r="K233" s="46"/>
      <c r="L233" s="46"/>
      <c r="M233" s="47"/>
      <c r="N233" s="46"/>
      <c r="O233" s="57"/>
      <c r="P233" s="46"/>
      <c r="Q233" s="46"/>
      <c r="R233" s="57"/>
      <c r="S233" s="7"/>
      <c r="T233" s="54"/>
      <c r="U233" s="58"/>
      <c r="V233" s="47"/>
      <c r="W233" s="18"/>
      <c r="X233" s="46"/>
      <c r="Y233" s="46"/>
      <c r="Z233" s="46"/>
      <c r="AA233" s="7"/>
      <c r="AB233" s="46"/>
      <c r="AC233" s="46"/>
      <c r="AD233" s="47"/>
      <c r="AE233" s="47"/>
      <c r="AF233" s="7"/>
      <c r="AG233" s="7"/>
      <c r="AH233" s="47"/>
      <c r="AI233" s="47"/>
      <c r="AJ233" s="18"/>
      <c r="AK233" s="26"/>
      <c r="AL233" s="34"/>
      <c r="AM233" s="34"/>
      <c r="AN233" s="18"/>
      <c r="AO233" s="18"/>
      <c r="AP233" s="18"/>
      <c r="AQ233" s="18"/>
      <c r="AR233" s="64"/>
      <c r="AS233" s="64"/>
    </row>
    <row r="234">
      <c r="A234" s="51"/>
      <c r="B234" s="51"/>
      <c r="C234" s="52"/>
      <c r="D234" s="51"/>
      <c r="E234" s="53"/>
      <c r="F234" s="54"/>
      <c r="G234" s="54"/>
      <c r="H234" s="51"/>
      <c r="I234" s="55"/>
      <c r="J234" s="56"/>
      <c r="K234" s="46"/>
      <c r="L234" s="46"/>
      <c r="M234" s="47"/>
      <c r="N234" s="46"/>
      <c r="O234" s="57"/>
      <c r="P234" s="46"/>
      <c r="Q234" s="46"/>
      <c r="R234" s="57"/>
      <c r="S234" s="7"/>
      <c r="T234" s="54"/>
      <c r="U234" s="58"/>
      <c r="V234" s="47"/>
      <c r="W234" s="18"/>
      <c r="X234" s="46"/>
      <c r="Y234" s="46"/>
      <c r="Z234" s="46"/>
      <c r="AA234" s="7"/>
      <c r="AB234" s="46"/>
      <c r="AC234" s="46"/>
      <c r="AD234" s="47"/>
      <c r="AE234" s="47"/>
      <c r="AF234" s="7"/>
      <c r="AG234" s="7"/>
      <c r="AH234" s="47"/>
      <c r="AI234" s="47"/>
      <c r="AJ234" s="18"/>
      <c r="AK234" s="26"/>
      <c r="AL234" s="34"/>
      <c r="AM234" s="34"/>
      <c r="AN234" s="18"/>
      <c r="AO234" s="18"/>
      <c r="AP234" s="18"/>
      <c r="AQ234" s="18"/>
      <c r="AR234" s="64"/>
      <c r="AS234" s="64"/>
    </row>
    <row r="235">
      <c r="A235" s="51"/>
      <c r="B235" s="51"/>
      <c r="C235" s="52"/>
      <c r="D235" s="51"/>
      <c r="E235" s="53"/>
      <c r="F235" s="54"/>
      <c r="G235" s="54"/>
      <c r="H235" s="51"/>
      <c r="I235" s="55"/>
      <c r="J235" s="56"/>
      <c r="K235" s="46"/>
      <c r="L235" s="46"/>
      <c r="M235" s="47"/>
      <c r="N235" s="46"/>
      <c r="O235" s="57"/>
      <c r="P235" s="46"/>
      <c r="Q235" s="46"/>
      <c r="R235" s="57"/>
      <c r="S235" s="7"/>
      <c r="T235" s="54"/>
      <c r="U235" s="58"/>
      <c r="V235" s="47"/>
      <c r="W235" s="18"/>
      <c r="X235" s="46"/>
      <c r="Y235" s="46"/>
      <c r="Z235" s="46"/>
      <c r="AA235" s="7"/>
      <c r="AB235" s="46"/>
      <c r="AC235" s="46"/>
      <c r="AD235" s="47"/>
      <c r="AE235" s="47"/>
      <c r="AF235" s="7"/>
      <c r="AG235" s="7"/>
      <c r="AH235" s="47"/>
      <c r="AI235" s="47"/>
      <c r="AJ235" s="18"/>
      <c r="AK235" s="26"/>
      <c r="AL235" s="34"/>
      <c r="AM235" s="34"/>
      <c r="AN235" s="18"/>
      <c r="AO235" s="18"/>
      <c r="AP235" s="18"/>
      <c r="AQ235" s="18"/>
      <c r="AR235" s="64"/>
      <c r="AS235" s="64"/>
    </row>
    <row r="236">
      <c r="A236" s="51"/>
      <c r="B236" s="51"/>
      <c r="C236" s="52"/>
      <c r="D236" s="51"/>
      <c r="E236" s="53"/>
      <c r="F236" s="54"/>
      <c r="G236" s="54"/>
      <c r="H236" s="51"/>
      <c r="I236" s="55"/>
      <c r="J236" s="56"/>
      <c r="K236" s="46"/>
      <c r="L236" s="46"/>
      <c r="M236" s="47"/>
      <c r="N236" s="46"/>
      <c r="O236" s="57"/>
      <c r="P236" s="46"/>
      <c r="Q236" s="46"/>
      <c r="R236" s="57"/>
      <c r="S236" s="7"/>
      <c r="T236" s="54"/>
      <c r="U236" s="58"/>
      <c r="V236" s="47"/>
      <c r="W236" s="18"/>
      <c r="X236" s="46"/>
      <c r="Y236" s="46"/>
      <c r="Z236" s="46"/>
      <c r="AA236" s="7"/>
      <c r="AB236" s="46"/>
      <c r="AC236" s="46"/>
      <c r="AD236" s="47"/>
      <c r="AE236" s="47"/>
      <c r="AF236" s="7"/>
      <c r="AG236" s="7"/>
      <c r="AH236" s="47"/>
      <c r="AI236" s="47"/>
      <c r="AJ236" s="18"/>
      <c r="AK236" s="26"/>
      <c r="AL236" s="34"/>
      <c r="AM236" s="34"/>
      <c r="AN236" s="18"/>
      <c r="AO236" s="18"/>
      <c r="AP236" s="18"/>
      <c r="AQ236" s="18"/>
      <c r="AR236" s="64"/>
      <c r="AS236" s="64"/>
    </row>
    <row r="237">
      <c r="A237" s="51"/>
      <c r="B237" s="51"/>
      <c r="C237" s="52"/>
      <c r="D237" s="51"/>
      <c r="E237" s="53"/>
      <c r="F237" s="54"/>
      <c r="G237" s="54"/>
      <c r="H237" s="51"/>
      <c r="I237" s="55"/>
      <c r="J237" s="56"/>
      <c r="K237" s="46"/>
      <c r="L237" s="46"/>
      <c r="M237" s="47"/>
      <c r="N237" s="46"/>
      <c r="O237" s="57"/>
      <c r="P237" s="46"/>
      <c r="Q237" s="46"/>
      <c r="R237" s="57"/>
      <c r="S237" s="7"/>
      <c r="T237" s="54"/>
      <c r="U237" s="58"/>
      <c r="V237" s="47"/>
      <c r="W237" s="18"/>
      <c r="X237" s="46"/>
      <c r="Y237" s="46"/>
      <c r="Z237" s="46"/>
      <c r="AA237" s="7"/>
      <c r="AB237" s="46"/>
      <c r="AC237" s="46"/>
      <c r="AD237" s="47"/>
      <c r="AE237" s="47"/>
      <c r="AF237" s="7"/>
      <c r="AG237" s="7"/>
      <c r="AH237" s="47"/>
      <c r="AI237" s="47"/>
      <c r="AJ237" s="18"/>
      <c r="AK237" s="26"/>
      <c r="AL237" s="34"/>
      <c r="AM237" s="34"/>
      <c r="AN237" s="18"/>
      <c r="AO237" s="18"/>
      <c r="AP237" s="18"/>
      <c r="AQ237" s="18"/>
      <c r="AR237" s="64"/>
      <c r="AS237" s="64"/>
    </row>
    <row r="238">
      <c r="A238" s="51"/>
      <c r="B238" s="51"/>
      <c r="C238" s="52"/>
      <c r="D238" s="51"/>
      <c r="E238" s="53"/>
      <c r="F238" s="54"/>
      <c r="G238" s="54"/>
      <c r="H238" s="51"/>
      <c r="I238" s="55"/>
      <c r="J238" s="56"/>
      <c r="K238" s="46"/>
      <c r="L238" s="46"/>
      <c r="M238" s="47"/>
      <c r="N238" s="46"/>
      <c r="O238" s="57"/>
      <c r="P238" s="46"/>
      <c r="Q238" s="46"/>
      <c r="R238" s="57"/>
      <c r="S238" s="7"/>
      <c r="T238" s="54"/>
      <c r="U238" s="58"/>
      <c r="V238" s="47"/>
      <c r="W238" s="18"/>
      <c r="X238" s="46"/>
      <c r="Y238" s="46"/>
      <c r="Z238" s="46"/>
      <c r="AA238" s="7"/>
      <c r="AB238" s="46"/>
      <c r="AC238" s="46"/>
      <c r="AD238" s="47"/>
      <c r="AE238" s="47"/>
      <c r="AF238" s="7"/>
      <c r="AG238" s="7"/>
      <c r="AH238" s="47"/>
      <c r="AI238" s="47"/>
      <c r="AJ238" s="18"/>
      <c r="AK238" s="26"/>
      <c r="AL238" s="34"/>
      <c r="AM238" s="34"/>
      <c r="AN238" s="18"/>
      <c r="AO238" s="18"/>
      <c r="AP238" s="18"/>
      <c r="AQ238" s="18"/>
      <c r="AR238" s="64"/>
      <c r="AS238" s="64"/>
    </row>
    <row r="239">
      <c r="A239" s="51"/>
      <c r="B239" s="51"/>
      <c r="C239" s="52"/>
      <c r="D239" s="51"/>
      <c r="E239" s="53"/>
      <c r="F239" s="54"/>
      <c r="G239" s="54"/>
      <c r="H239" s="51"/>
      <c r="I239" s="55"/>
      <c r="J239" s="56"/>
      <c r="K239" s="46"/>
      <c r="L239" s="46"/>
      <c r="M239" s="47"/>
      <c r="N239" s="46"/>
      <c r="O239" s="57"/>
      <c r="P239" s="46"/>
      <c r="Q239" s="46"/>
      <c r="R239" s="57"/>
      <c r="S239" s="7"/>
      <c r="T239" s="54"/>
      <c r="U239" s="58"/>
      <c r="V239" s="47"/>
      <c r="W239" s="18"/>
      <c r="X239" s="46"/>
      <c r="Y239" s="46"/>
      <c r="Z239" s="46"/>
      <c r="AA239" s="7"/>
      <c r="AB239" s="46"/>
      <c r="AC239" s="46"/>
      <c r="AD239" s="47"/>
      <c r="AE239" s="47"/>
      <c r="AF239" s="7"/>
      <c r="AG239" s="7"/>
      <c r="AH239" s="47"/>
      <c r="AI239" s="47"/>
      <c r="AJ239" s="18"/>
      <c r="AK239" s="26"/>
      <c r="AL239" s="34"/>
      <c r="AM239" s="34"/>
      <c r="AN239" s="18"/>
      <c r="AO239" s="18"/>
      <c r="AP239" s="18"/>
      <c r="AQ239" s="18"/>
      <c r="AR239" s="64"/>
      <c r="AS239" s="64"/>
    </row>
    <row r="240">
      <c r="A240" s="51"/>
      <c r="B240" s="51"/>
      <c r="C240" s="52"/>
      <c r="D240" s="51"/>
      <c r="E240" s="53"/>
      <c r="F240" s="54"/>
      <c r="G240" s="54"/>
      <c r="H240" s="51"/>
      <c r="I240" s="55"/>
      <c r="J240" s="56"/>
      <c r="K240" s="46"/>
      <c r="L240" s="46"/>
      <c r="M240" s="47"/>
      <c r="N240" s="46"/>
      <c r="O240" s="57"/>
      <c r="P240" s="46"/>
      <c r="Q240" s="46"/>
      <c r="R240" s="57"/>
      <c r="S240" s="7"/>
      <c r="T240" s="54"/>
      <c r="U240" s="58"/>
      <c r="V240" s="47"/>
      <c r="W240" s="18"/>
      <c r="X240" s="46"/>
      <c r="Y240" s="46"/>
      <c r="Z240" s="46"/>
      <c r="AA240" s="7"/>
      <c r="AB240" s="46"/>
      <c r="AC240" s="46"/>
      <c r="AD240" s="47"/>
      <c r="AE240" s="47"/>
      <c r="AF240" s="7"/>
      <c r="AG240" s="7"/>
      <c r="AH240" s="47"/>
      <c r="AI240" s="47"/>
      <c r="AJ240" s="18"/>
      <c r="AK240" s="26"/>
      <c r="AL240" s="34"/>
      <c r="AM240" s="34"/>
      <c r="AN240" s="18"/>
      <c r="AO240" s="18"/>
      <c r="AP240" s="18"/>
      <c r="AQ240" s="18"/>
      <c r="AR240" s="64"/>
      <c r="AS240" s="64"/>
    </row>
    <row r="241">
      <c r="A241" s="51"/>
      <c r="B241" s="51"/>
      <c r="C241" s="52"/>
      <c r="D241" s="51"/>
      <c r="E241" s="53"/>
      <c r="F241" s="54"/>
      <c r="G241" s="54"/>
      <c r="H241" s="51"/>
      <c r="I241" s="55"/>
      <c r="J241" s="56"/>
      <c r="K241" s="46"/>
      <c r="L241" s="46"/>
      <c r="M241" s="47"/>
      <c r="N241" s="46"/>
      <c r="O241" s="57"/>
      <c r="P241" s="46"/>
      <c r="Q241" s="46"/>
      <c r="R241" s="57"/>
      <c r="S241" s="7"/>
      <c r="T241" s="54"/>
      <c r="U241" s="58"/>
      <c r="V241" s="47"/>
      <c r="W241" s="18"/>
      <c r="X241" s="46"/>
      <c r="Y241" s="46"/>
      <c r="Z241" s="46"/>
      <c r="AA241" s="7"/>
      <c r="AB241" s="46"/>
      <c r="AC241" s="46"/>
      <c r="AD241" s="47"/>
      <c r="AE241" s="47"/>
      <c r="AF241" s="7"/>
      <c r="AG241" s="7"/>
      <c r="AH241" s="47"/>
      <c r="AI241" s="47"/>
      <c r="AJ241" s="18"/>
      <c r="AK241" s="26"/>
      <c r="AL241" s="34"/>
      <c r="AM241" s="34"/>
      <c r="AN241" s="18"/>
      <c r="AO241" s="18"/>
      <c r="AP241" s="18"/>
      <c r="AQ241" s="18"/>
      <c r="AR241" s="64"/>
      <c r="AS241" s="64"/>
    </row>
    <row r="242">
      <c r="A242" s="51"/>
      <c r="B242" s="51"/>
      <c r="C242" s="52"/>
      <c r="D242" s="51"/>
      <c r="E242" s="53"/>
      <c r="F242" s="54"/>
      <c r="G242" s="54"/>
      <c r="H242" s="51"/>
      <c r="I242" s="55"/>
      <c r="J242" s="56"/>
      <c r="K242" s="46"/>
      <c r="L242" s="46"/>
      <c r="M242" s="47"/>
      <c r="N242" s="46"/>
      <c r="O242" s="57"/>
      <c r="P242" s="46"/>
      <c r="Q242" s="46"/>
      <c r="R242" s="57"/>
      <c r="S242" s="7"/>
      <c r="T242" s="54"/>
      <c r="U242" s="58"/>
      <c r="V242" s="47"/>
      <c r="W242" s="18"/>
      <c r="X242" s="46"/>
      <c r="Y242" s="46"/>
      <c r="Z242" s="46"/>
      <c r="AA242" s="7"/>
      <c r="AB242" s="46"/>
      <c r="AC242" s="46"/>
      <c r="AD242" s="47"/>
      <c r="AE242" s="47"/>
      <c r="AF242" s="7"/>
      <c r="AG242" s="7"/>
      <c r="AH242" s="47"/>
      <c r="AI242" s="47"/>
      <c r="AJ242" s="18"/>
      <c r="AK242" s="26"/>
      <c r="AL242" s="34"/>
      <c r="AM242" s="34"/>
      <c r="AN242" s="18"/>
      <c r="AO242" s="18"/>
      <c r="AP242" s="18"/>
      <c r="AQ242" s="18"/>
      <c r="AR242" s="64"/>
      <c r="AS242" s="64"/>
    </row>
    <row r="243">
      <c r="A243" s="51"/>
      <c r="B243" s="51"/>
      <c r="C243" s="52"/>
      <c r="D243" s="51"/>
      <c r="E243" s="53"/>
      <c r="F243" s="54"/>
      <c r="G243" s="54"/>
      <c r="H243" s="51"/>
      <c r="I243" s="55"/>
      <c r="J243" s="56"/>
      <c r="K243" s="46"/>
      <c r="L243" s="46"/>
      <c r="M243" s="47"/>
      <c r="N243" s="46"/>
      <c r="O243" s="57"/>
      <c r="P243" s="46"/>
      <c r="Q243" s="46"/>
      <c r="R243" s="57"/>
      <c r="S243" s="7"/>
      <c r="T243" s="54"/>
      <c r="U243" s="58"/>
      <c r="V243" s="47"/>
      <c r="W243" s="18"/>
      <c r="X243" s="46"/>
      <c r="Y243" s="46"/>
      <c r="Z243" s="46"/>
      <c r="AA243" s="7"/>
      <c r="AB243" s="46"/>
      <c r="AC243" s="46"/>
      <c r="AD243" s="47"/>
      <c r="AE243" s="47"/>
      <c r="AF243" s="7"/>
      <c r="AG243" s="7"/>
      <c r="AH243" s="47"/>
      <c r="AI243" s="47"/>
      <c r="AJ243" s="18"/>
      <c r="AK243" s="26"/>
      <c r="AL243" s="34"/>
      <c r="AM243" s="34"/>
      <c r="AN243" s="18"/>
      <c r="AO243" s="18"/>
      <c r="AP243" s="18"/>
      <c r="AQ243" s="18"/>
      <c r="AR243" s="64"/>
      <c r="AS243" s="64"/>
    </row>
    <row r="244">
      <c r="A244" s="51"/>
      <c r="B244" s="51"/>
      <c r="C244" s="52"/>
      <c r="D244" s="51"/>
      <c r="E244" s="53"/>
      <c r="F244" s="54"/>
      <c r="G244" s="54"/>
      <c r="H244" s="51"/>
      <c r="I244" s="55"/>
      <c r="J244" s="56"/>
      <c r="K244" s="46"/>
      <c r="L244" s="46"/>
      <c r="M244" s="47"/>
      <c r="N244" s="46"/>
      <c r="O244" s="57"/>
      <c r="P244" s="46"/>
      <c r="Q244" s="46"/>
      <c r="R244" s="57"/>
      <c r="S244" s="7"/>
      <c r="T244" s="54"/>
      <c r="U244" s="58"/>
      <c r="V244" s="47"/>
      <c r="W244" s="18"/>
      <c r="X244" s="46"/>
      <c r="Y244" s="46"/>
      <c r="Z244" s="46"/>
      <c r="AA244" s="7"/>
      <c r="AB244" s="46"/>
      <c r="AC244" s="46"/>
      <c r="AD244" s="47"/>
      <c r="AE244" s="47"/>
      <c r="AF244" s="7"/>
      <c r="AG244" s="7"/>
      <c r="AH244" s="47"/>
      <c r="AI244" s="47"/>
      <c r="AJ244" s="18"/>
      <c r="AK244" s="26"/>
      <c r="AL244" s="34"/>
      <c r="AM244" s="34"/>
      <c r="AN244" s="18"/>
      <c r="AO244" s="18"/>
      <c r="AP244" s="18"/>
      <c r="AQ244" s="18"/>
      <c r="AR244" s="64"/>
      <c r="AS244" s="64"/>
    </row>
    <row r="245">
      <c r="A245" s="51"/>
      <c r="B245" s="51"/>
      <c r="C245" s="52"/>
      <c r="D245" s="51"/>
      <c r="E245" s="53"/>
      <c r="F245" s="54"/>
      <c r="G245" s="54"/>
      <c r="H245" s="51"/>
      <c r="I245" s="55"/>
      <c r="J245" s="56"/>
      <c r="K245" s="46"/>
      <c r="L245" s="46"/>
      <c r="M245" s="47"/>
      <c r="N245" s="46"/>
      <c r="O245" s="57"/>
      <c r="P245" s="46"/>
      <c r="Q245" s="46"/>
      <c r="R245" s="57"/>
      <c r="S245" s="7"/>
      <c r="T245" s="54"/>
      <c r="U245" s="58"/>
      <c r="V245" s="47"/>
      <c r="W245" s="18"/>
      <c r="X245" s="46"/>
      <c r="Y245" s="46"/>
      <c r="Z245" s="46"/>
      <c r="AA245" s="7"/>
      <c r="AB245" s="46"/>
      <c r="AC245" s="46"/>
      <c r="AD245" s="47"/>
      <c r="AE245" s="47"/>
      <c r="AF245" s="7"/>
      <c r="AG245" s="7"/>
      <c r="AH245" s="47"/>
      <c r="AI245" s="47"/>
      <c r="AJ245" s="18"/>
      <c r="AK245" s="26"/>
      <c r="AL245" s="34"/>
      <c r="AM245" s="34"/>
      <c r="AN245" s="18"/>
      <c r="AO245" s="18"/>
      <c r="AP245" s="18"/>
      <c r="AQ245" s="18"/>
      <c r="AR245" s="64"/>
      <c r="AS245" s="64"/>
    </row>
    <row r="246">
      <c r="A246" s="51"/>
      <c r="B246" s="51"/>
      <c r="C246" s="52"/>
      <c r="D246" s="51"/>
      <c r="E246" s="53"/>
      <c r="F246" s="54"/>
      <c r="G246" s="54"/>
      <c r="H246" s="51"/>
      <c r="I246" s="55"/>
      <c r="J246" s="56"/>
      <c r="K246" s="46"/>
      <c r="L246" s="46"/>
      <c r="M246" s="47"/>
      <c r="N246" s="46"/>
      <c r="O246" s="57"/>
      <c r="P246" s="46"/>
      <c r="Q246" s="46"/>
      <c r="R246" s="57"/>
      <c r="S246" s="7"/>
      <c r="T246" s="54"/>
      <c r="U246" s="58"/>
      <c r="V246" s="47"/>
      <c r="W246" s="18"/>
      <c r="X246" s="46"/>
      <c r="Y246" s="46"/>
      <c r="Z246" s="46"/>
      <c r="AA246" s="7"/>
      <c r="AB246" s="46"/>
      <c r="AC246" s="46"/>
      <c r="AD246" s="47"/>
      <c r="AE246" s="47"/>
      <c r="AF246" s="7"/>
      <c r="AG246" s="7"/>
      <c r="AH246" s="47"/>
      <c r="AI246" s="47"/>
      <c r="AJ246" s="18"/>
      <c r="AK246" s="26"/>
      <c r="AL246" s="34"/>
      <c r="AM246" s="34"/>
      <c r="AN246" s="18"/>
      <c r="AO246" s="18"/>
      <c r="AP246" s="18"/>
      <c r="AQ246" s="18"/>
      <c r="AR246" s="64"/>
      <c r="AS246" s="64"/>
    </row>
    <row r="247">
      <c r="A247" s="51"/>
      <c r="B247" s="51"/>
      <c r="C247" s="52"/>
      <c r="D247" s="51"/>
      <c r="E247" s="53"/>
      <c r="F247" s="54"/>
      <c r="G247" s="54"/>
      <c r="H247" s="51"/>
      <c r="I247" s="55"/>
      <c r="J247" s="56"/>
      <c r="K247" s="46"/>
      <c r="L247" s="46"/>
      <c r="M247" s="47"/>
      <c r="N247" s="46"/>
      <c r="O247" s="57"/>
      <c r="P247" s="46"/>
      <c r="Q247" s="46"/>
      <c r="R247" s="57"/>
      <c r="S247" s="7"/>
      <c r="T247" s="54"/>
      <c r="U247" s="58"/>
      <c r="V247" s="47"/>
      <c r="W247" s="18"/>
      <c r="X247" s="46"/>
      <c r="Y247" s="46"/>
      <c r="Z247" s="46"/>
      <c r="AA247" s="7"/>
      <c r="AB247" s="46"/>
      <c r="AC247" s="46"/>
      <c r="AD247" s="47"/>
      <c r="AE247" s="47"/>
      <c r="AF247" s="7"/>
      <c r="AG247" s="7"/>
      <c r="AH247" s="47"/>
      <c r="AI247" s="47"/>
      <c r="AJ247" s="18"/>
      <c r="AK247" s="26"/>
      <c r="AL247" s="34"/>
      <c r="AM247" s="34"/>
      <c r="AN247" s="18"/>
      <c r="AO247" s="18"/>
      <c r="AP247" s="18"/>
      <c r="AQ247" s="18"/>
      <c r="AR247" s="64"/>
      <c r="AS247" s="64"/>
    </row>
    <row r="248">
      <c r="A248" s="51"/>
      <c r="B248" s="51"/>
      <c r="C248" s="52"/>
      <c r="D248" s="51"/>
      <c r="E248" s="53"/>
      <c r="F248" s="54"/>
      <c r="G248" s="54"/>
      <c r="H248" s="51"/>
      <c r="I248" s="55"/>
      <c r="J248" s="56"/>
      <c r="K248" s="46"/>
      <c r="L248" s="46"/>
      <c r="M248" s="47"/>
      <c r="N248" s="46"/>
      <c r="O248" s="57"/>
      <c r="P248" s="46"/>
      <c r="Q248" s="46"/>
      <c r="R248" s="57"/>
      <c r="S248" s="7"/>
      <c r="T248" s="54"/>
      <c r="U248" s="58"/>
      <c r="V248" s="47"/>
      <c r="W248" s="18"/>
      <c r="X248" s="46"/>
      <c r="Y248" s="46"/>
      <c r="Z248" s="46"/>
      <c r="AA248" s="7"/>
      <c r="AB248" s="46"/>
      <c r="AC248" s="46"/>
      <c r="AD248" s="47"/>
      <c r="AE248" s="47"/>
      <c r="AF248" s="7"/>
      <c r="AG248" s="7"/>
      <c r="AH248" s="47"/>
      <c r="AI248" s="47"/>
      <c r="AJ248" s="18"/>
      <c r="AK248" s="26"/>
      <c r="AL248" s="34"/>
      <c r="AM248" s="34"/>
      <c r="AN248" s="18"/>
      <c r="AO248" s="18"/>
      <c r="AP248" s="18"/>
      <c r="AQ248" s="18"/>
      <c r="AR248" s="64"/>
      <c r="AS248" s="64"/>
    </row>
    <row r="249">
      <c r="A249" s="51"/>
      <c r="B249" s="51"/>
      <c r="C249" s="52"/>
      <c r="D249" s="51"/>
      <c r="E249" s="53"/>
      <c r="F249" s="54"/>
      <c r="G249" s="54"/>
      <c r="H249" s="51"/>
      <c r="I249" s="55"/>
      <c r="J249" s="56"/>
      <c r="K249" s="46"/>
      <c r="L249" s="46"/>
      <c r="M249" s="47"/>
      <c r="N249" s="46"/>
      <c r="O249" s="57"/>
      <c r="P249" s="46"/>
      <c r="Q249" s="46"/>
      <c r="R249" s="57"/>
      <c r="S249" s="7"/>
      <c r="T249" s="54"/>
      <c r="U249" s="58"/>
      <c r="V249" s="47"/>
      <c r="W249" s="18"/>
      <c r="X249" s="46"/>
      <c r="Y249" s="46"/>
      <c r="Z249" s="46"/>
      <c r="AA249" s="7"/>
      <c r="AB249" s="46"/>
      <c r="AC249" s="46"/>
      <c r="AD249" s="47"/>
      <c r="AE249" s="47"/>
      <c r="AF249" s="7"/>
      <c r="AG249" s="7"/>
      <c r="AH249" s="47"/>
      <c r="AI249" s="47"/>
      <c r="AJ249" s="18"/>
      <c r="AK249" s="26"/>
      <c r="AL249" s="34"/>
      <c r="AM249" s="34"/>
      <c r="AN249" s="18"/>
      <c r="AO249" s="18"/>
      <c r="AP249" s="18"/>
      <c r="AQ249" s="18"/>
      <c r="AR249" s="64"/>
      <c r="AS249" s="64"/>
    </row>
    <row r="250">
      <c r="A250" s="51"/>
      <c r="B250" s="51"/>
      <c r="C250" s="52"/>
      <c r="D250" s="51"/>
      <c r="E250" s="53"/>
      <c r="F250" s="54"/>
      <c r="G250" s="54"/>
      <c r="H250" s="51"/>
      <c r="I250" s="55"/>
      <c r="J250" s="56"/>
      <c r="K250" s="46"/>
      <c r="L250" s="46"/>
      <c r="M250" s="47"/>
      <c r="N250" s="46"/>
      <c r="O250" s="57"/>
      <c r="P250" s="46"/>
      <c r="Q250" s="46"/>
      <c r="R250" s="57"/>
      <c r="S250" s="7"/>
      <c r="T250" s="54"/>
      <c r="U250" s="58"/>
      <c r="V250" s="47"/>
      <c r="W250" s="18"/>
      <c r="X250" s="46"/>
      <c r="Y250" s="46"/>
      <c r="Z250" s="46"/>
      <c r="AA250" s="7"/>
      <c r="AB250" s="46"/>
      <c r="AC250" s="46"/>
      <c r="AD250" s="47"/>
      <c r="AE250" s="47"/>
      <c r="AF250" s="7"/>
      <c r="AG250" s="7"/>
      <c r="AH250" s="47"/>
      <c r="AI250" s="47"/>
      <c r="AJ250" s="18"/>
      <c r="AK250" s="26"/>
      <c r="AL250" s="34"/>
      <c r="AM250" s="34"/>
      <c r="AN250" s="18"/>
      <c r="AO250" s="18"/>
      <c r="AP250" s="18"/>
      <c r="AQ250" s="18"/>
      <c r="AR250" s="64"/>
      <c r="AS250" s="64"/>
    </row>
    <row r="251">
      <c r="A251" s="51"/>
      <c r="B251" s="51"/>
      <c r="C251" s="52"/>
      <c r="D251" s="51"/>
      <c r="E251" s="53"/>
      <c r="F251" s="54"/>
      <c r="G251" s="54"/>
      <c r="H251" s="51"/>
      <c r="I251" s="55"/>
      <c r="J251" s="56"/>
      <c r="K251" s="46"/>
      <c r="L251" s="46"/>
      <c r="M251" s="47"/>
      <c r="N251" s="46"/>
      <c r="O251" s="57"/>
      <c r="P251" s="46"/>
      <c r="Q251" s="46"/>
      <c r="R251" s="57"/>
      <c r="S251" s="7"/>
      <c r="T251" s="54"/>
      <c r="U251" s="58"/>
      <c r="V251" s="47"/>
      <c r="W251" s="18"/>
      <c r="X251" s="46"/>
      <c r="Y251" s="46"/>
      <c r="Z251" s="46"/>
      <c r="AA251" s="7"/>
      <c r="AB251" s="46"/>
      <c r="AC251" s="46"/>
      <c r="AD251" s="47"/>
      <c r="AE251" s="47"/>
      <c r="AF251" s="7"/>
      <c r="AG251" s="7"/>
      <c r="AH251" s="47"/>
      <c r="AI251" s="47"/>
      <c r="AJ251" s="18"/>
      <c r="AK251" s="26"/>
      <c r="AL251" s="34"/>
      <c r="AM251" s="34"/>
      <c r="AN251" s="18"/>
      <c r="AO251" s="18"/>
      <c r="AP251" s="18"/>
      <c r="AQ251" s="18"/>
      <c r="AR251" s="64"/>
      <c r="AS251" s="64"/>
    </row>
    <row r="252">
      <c r="A252" s="51"/>
      <c r="B252" s="51"/>
      <c r="C252" s="52"/>
      <c r="D252" s="51"/>
      <c r="E252" s="53"/>
      <c r="F252" s="54"/>
      <c r="G252" s="54"/>
      <c r="H252" s="51"/>
      <c r="I252" s="55"/>
      <c r="J252" s="56"/>
      <c r="K252" s="46"/>
      <c r="L252" s="46"/>
      <c r="M252" s="47"/>
      <c r="N252" s="46"/>
      <c r="O252" s="57"/>
      <c r="P252" s="46"/>
      <c r="Q252" s="46"/>
      <c r="R252" s="57"/>
      <c r="S252" s="7"/>
      <c r="T252" s="54"/>
      <c r="U252" s="58"/>
      <c r="V252" s="47"/>
      <c r="W252" s="18"/>
      <c r="X252" s="46"/>
      <c r="Y252" s="46"/>
      <c r="Z252" s="46"/>
      <c r="AA252" s="7"/>
      <c r="AB252" s="46"/>
      <c r="AC252" s="46"/>
      <c r="AD252" s="47"/>
      <c r="AE252" s="47"/>
      <c r="AF252" s="7"/>
      <c r="AG252" s="7"/>
      <c r="AH252" s="47"/>
      <c r="AI252" s="47"/>
      <c r="AJ252" s="18"/>
      <c r="AK252" s="26"/>
      <c r="AL252" s="34"/>
      <c r="AM252" s="34"/>
      <c r="AN252" s="18"/>
      <c r="AO252" s="18"/>
      <c r="AP252" s="18"/>
      <c r="AQ252" s="18"/>
      <c r="AR252" s="64"/>
      <c r="AS252" s="64"/>
    </row>
    <row r="253">
      <c r="A253" s="51"/>
      <c r="B253" s="51"/>
      <c r="C253" s="52"/>
      <c r="D253" s="51"/>
      <c r="E253" s="53"/>
      <c r="F253" s="54"/>
      <c r="G253" s="54"/>
      <c r="H253" s="51"/>
      <c r="I253" s="55"/>
      <c r="J253" s="56"/>
      <c r="K253" s="46"/>
      <c r="L253" s="46"/>
      <c r="M253" s="47"/>
      <c r="N253" s="46"/>
      <c r="O253" s="57"/>
      <c r="P253" s="46"/>
      <c r="Q253" s="46"/>
      <c r="R253" s="57"/>
      <c r="S253" s="7"/>
      <c r="T253" s="54"/>
      <c r="U253" s="58"/>
      <c r="V253" s="47"/>
      <c r="W253" s="18"/>
      <c r="X253" s="46"/>
      <c r="Y253" s="46"/>
      <c r="Z253" s="46"/>
      <c r="AA253" s="7"/>
      <c r="AB253" s="46"/>
      <c r="AC253" s="46"/>
      <c r="AD253" s="47"/>
      <c r="AE253" s="47"/>
      <c r="AF253" s="7"/>
      <c r="AG253" s="7"/>
      <c r="AH253" s="47"/>
      <c r="AI253" s="47"/>
      <c r="AJ253" s="18"/>
      <c r="AK253" s="26"/>
      <c r="AL253" s="34"/>
      <c r="AM253" s="34"/>
      <c r="AN253" s="18"/>
      <c r="AO253" s="18"/>
      <c r="AP253" s="18"/>
      <c r="AQ253" s="18"/>
      <c r="AR253" s="64"/>
      <c r="AS253" s="64"/>
    </row>
    <row r="254">
      <c r="A254" s="51"/>
      <c r="B254" s="51"/>
      <c r="C254" s="52"/>
      <c r="D254" s="51"/>
      <c r="E254" s="53"/>
      <c r="F254" s="54"/>
      <c r="G254" s="54"/>
      <c r="H254" s="51"/>
      <c r="I254" s="55"/>
      <c r="J254" s="56"/>
      <c r="K254" s="46"/>
      <c r="L254" s="46"/>
      <c r="M254" s="47"/>
      <c r="N254" s="46"/>
      <c r="O254" s="57"/>
      <c r="P254" s="46"/>
      <c r="Q254" s="46"/>
      <c r="R254" s="57"/>
      <c r="S254" s="7"/>
      <c r="T254" s="54"/>
      <c r="U254" s="58"/>
      <c r="V254" s="47"/>
      <c r="W254" s="18"/>
      <c r="X254" s="46"/>
      <c r="Y254" s="46"/>
      <c r="Z254" s="46"/>
      <c r="AA254" s="7"/>
      <c r="AB254" s="46"/>
      <c r="AC254" s="46"/>
      <c r="AD254" s="47"/>
      <c r="AE254" s="47"/>
      <c r="AF254" s="7"/>
      <c r="AG254" s="7"/>
      <c r="AH254" s="47"/>
      <c r="AI254" s="47"/>
      <c r="AJ254" s="18"/>
      <c r="AK254" s="26"/>
      <c r="AL254" s="34"/>
      <c r="AM254" s="34"/>
      <c r="AN254" s="18"/>
      <c r="AO254" s="18"/>
      <c r="AP254" s="18"/>
      <c r="AQ254" s="18"/>
      <c r="AR254" s="64"/>
      <c r="AS254" s="64"/>
    </row>
    <row r="255">
      <c r="A255" s="51"/>
      <c r="B255" s="51"/>
      <c r="C255" s="52"/>
      <c r="D255" s="51"/>
      <c r="E255" s="53"/>
      <c r="F255" s="54"/>
      <c r="G255" s="54"/>
      <c r="H255" s="51"/>
      <c r="I255" s="55"/>
      <c r="J255" s="56"/>
      <c r="K255" s="46"/>
      <c r="L255" s="46"/>
      <c r="M255" s="47"/>
      <c r="N255" s="46"/>
      <c r="O255" s="57"/>
      <c r="P255" s="46"/>
      <c r="Q255" s="46"/>
      <c r="R255" s="57"/>
      <c r="S255" s="7"/>
      <c r="T255" s="54"/>
      <c r="U255" s="58"/>
      <c r="V255" s="47"/>
      <c r="W255" s="18"/>
      <c r="X255" s="46"/>
      <c r="Y255" s="46"/>
      <c r="Z255" s="46"/>
      <c r="AA255" s="7"/>
      <c r="AB255" s="46"/>
      <c r="AC255" s="46"/>
      <c r="AD255" s="47"/>
      <c r="AE255" s="47"/>
      <c r="AF255" s="7"/>
      <c r="AG255" s="7"/>
      <c r="AH255" s="47"/>
      <c r="AI255" s="47"/>
      <c r="AJ255" s="18"/>
      <c r="AK255" s="26"/>
      <c r="AL255" s="34"/>
      <c r="AM255" s="34"/>
      <c r="AN255" s="18"/>
      <c r="AO255" s="18"/>
      <c r="AP255" s="18"/>
      <c r="AQ255" s="18"/>
      <c r="AR255" s="64"/>
      <c r="AS255" s="64"/>
    </row>
    <row r="256">
      <c r="A256" s="51"/>
      <c r="B256" s="51"/>
      <c r="C256" s="52"/>
      <c r="D256" s="51"/>
      <c r="E256" s="53"/>
      <c r="F256" s="54"/>
      <c r="G256" s="54"/>
      <c r="H256" s="51"/>
      <c r="I256" s="55"/>
      <c r="J256" s="56"/>
      <c r="K256" s="46"/>
      <c r="L256" s="46"/>
      <c r="M256" s="47"/>
      <c r="N256" s="46"/>
      <c r="O256" s="57"/>
      <c r="P256" s="46"/>
      <c r="Q256" s="46"/>
      <c r="R256" s="57"/>
      <c r="S256" s="7"/>
      <c r="T256" s="54"/>
      <c r="U256" s="58"/>
      <c r="V256" s="47"/>
      <c r="W256" s="18"/>
      <c r="X256" s="46"/>
      <c r="Y256" s="46"/>
      <c r="Z256" s="46"/>
      <c r="AA256" s="7"/>
      <c r="AB256" s="46"/>
      <c r="AC256" s="46"/>
      <c r="AD256" s="47"/>
      <c r="AE256" s="47"/>
      <c r="AF256" s="7"/>
      <c r="AG256" s="7"/>
      <c r="AH256" s="47"/>
      <c r="AI256" s="47"/>
      <c r="AJ256" s="18"/>
      <c r="AK256" s="26"/>
      <c r="AL256" s="34"/>
      <c r="AM256" s="34"/>
      <c r="AN256" s="18"/>
      <c r="AO256" s="18"/>
      <c r="AP256" s="18"/>
      <c r="AQ256" s="18"/>
      <c r="AR256" s="64"/>
      <c r="AS256" s="64"/>
    </row>
    <row r="257">
      <c r="A257" s="51"/>
      <c r="B257" s="51"/>
      <c r="C257" s="52"/>
      <c r="D257" s="51"/>
      <c r="E257" s="53"/>
      <c r="F257" s="54"/>
      <c r="G257" s="54"/>
      <c r="H257" s="51"/>
      <c r="I257" s="55"/>
      <c r="J257" s="56"/>
      <c r="K257" s="46"/>
      <c r="L257" s="46"/>
      <c r="M257" s="47"/>
      <c r="N257" s="46"/>
      <c r="O257" s="57"/>
      <c r="P257" s="46"/>
      <c r="Q257" s="46"/>
      <c r="R257" s="57"/>
      <c r="S257" s="7"/>
      <c r="T257" s="54"/>
      <c r="U257" s="58"/>
      <c r="V257" s="47"/>
      <c r="W257" s="18"/>
      <c r="X257" s="46"/>
      <c r="Y257" s="46"/>
      <c r="Z257" s="46"/>
      <c r="AA257" s="7"/>
      <c r="AB257" s="46"/>
      <c r="AC257" s="46"/>
      <c r="AD257" s="47"/>
      <c r="AE257" s="47"/>
      <c r="AF257" s="7"/>
      <c r="AG257" s="7"/>
      <c r="AH257" s="47"/>
      <c r="AI257" s="47"/>
      <c r="AJ257" s="18"/>
      <c r="AK257" s="26"/>
      <c r="AL257" s="34"/>
      <c r="AM257" s="34"/>
      <c r="AN257" s="18"/>
      <c r="AO257" s="18"/>
      <c r="AP257" s="18"/>
      <c r="AQ257" s="18"/>
      <c r="AR257" s="64"/>
      <c r="AS257" s="64"/>
    </row>
    <row r="258">
      <c r="A258" s="51"/>
      <c r="B258" s="51"/>
      <c r="C258" s="52"/>
      <c r="D258" s="51"/>
      <c r="E258" s="53"/>
      <c r="F258" s="54"/>
      <c r="G258" s="54"/>
      <c r="H258" s="51"/>
      <c r="I258" s="55"/>
      <c r="J258" s="56"/>
      <c r="K258" s="46"/>
      <c r="L258" s="46"/>
      <c r="M258" s="47"/>
      <c r="N258" s="46"/>
      <c r="O258" s="57"/>
      <c r="P258" s="46"/>
      <c r="Q258" s="46"/>
      <c r="R258" s="57"/>
      <c r="S258" s="7"/>
      <c r="T258" s="54"/>
      <c r="U258" s="58"/>
      <c r="V258" s="47"/>
      <c r="W258" s="18"/>
      <c r="X258" s="46"/>
      <c r="Y258" s="46"/>
      <c r="Z258" s="46"/>
      <c r="AA258" s="7"/>
      <c r="AB258" s="46"/>
      <c r="AC258" s="46"/>
      <c r="AD258" s="47"/>
      <c r="AE258" s="47"/>
      <c r="AF258" s="7"/>
      <c r="AG258" s="7"/>
      <c r="AH258" s="47"/>
      <c r="AI258" s="47"/>
      <c r="AJ258" s="18"/>
      <c r="AK258" s="26"/>
      <c r="AL258" s="34"/>
      <c r="AM258" s="34"/>
      <c r="AN258" s="18"/>
      <c r="AO258" s="18"/>
      <c r="AP258" s="18"/>
      <c r="AQ258" s="18"/>
      <c r="AR258" s="64"/>
      <c r="AS258" s="64"/>
    </row>
    <row r="259">
      <c r="A259" s="51"/>
      <c r="B259" s="51"/>
      <c r="C259" s="52"/>
      <c r="D259" s="51"/>
      <c r="E259" s="53"/>
      <c r="F259" s="54"/>
      <c r="G259" s="54"/>
      <c r="H259" s="51"/>
      <c r="I259" s="55"/>
      <c r="J259" s="56"/>
      <c r="K259" s="46"/>
      <c r="L259" s="46"/>
      <c r="M259" s="47"/>
      <c r="N259" s="46"/>
      <c r="O259" s="57"/>
      <c r="P259" s="46"/>
      <c r="Q259" s="46"/>
      <c r="R259" s="57"/>
      <c r="S259" s="7"/>
      <c r="T259" s="54"/>
      <c r="U259" s="58"/>
      <c r="V259" s="47"/>
      <c r="W259" s="18"/>
      <c r="X259" s="46"/>
      <c r="Y259" s="46"/>
      <c r="Z259" s="46"/>
      <c r="AA259" s="7"/>
      <c r="AB259" s="46"/>
      <c r="AC259" s="46"/>
      <c r="AD259" s="47"/>
      <c r="AE259" s="47"/>
      <c r="AF259" s="7"/>
      <c r="AG259" s="7"/>
      <c r="AH259" s="47"/>
      <c r="AI259" s="47"/>
      <c r="AJ259" s="18"/>
      <c r="AK259" s="26"/>
      <c r="AL259" s="34"/>
      <c r="AM259" s="34"/>
      <c r="AN259" s="18"/>
      <c r="AO259" s="18"/>
      <c r="AP259" s="18"/>
      <c r="AQ259" s="18"/>
      <c r="AR259" s="64"/>
      <c r="AS259" s="64"/>
    </row>
    <row r="260">
      <c r="A260" s="51"/>
      <c r="B260" s="51"/>
      <c r="C260" s="52"/>
      <c r="D260" s="51"/>
      <c r="E260" s="53"/>
      <c r="F260" s="54"/>
      <c r="G260" s="54"/>
      <c r="H260" s="51"/>
      <c r="I260" s="55"/>
      <c r="J260" s="56"/>
      <c r="K260" s="46"/>
      <c r="L260" s="46"/>
      <c r="M260" s="47"/>
      <c r="N260" s="46"/>
      <c r="O260" s="57"/>
      <c r="P260" s="46"/>
      <c r="Q260" s="46"/>
      <c r="R260" s="57"/>
      <c r="S260" s="7"/>
      <c r="T260" s="54"/>
      <c r="U260" s="58"/>
      <c r="V260" s="47"/>
      <c r="W260" s="18"/>
      <c r="X260" s="46"/>
      <c r="Y260" s="46"/>
      <c r="Z260" s="46"/>
      <c r="AA260" s="7"/>
      <c r="AB260" s="46"/>
      <c r="AC260" s="46"/>
      <c r="AD260" s="47"/>
      <c r="AE260" s="47"/>
      <c r="AF260" s="7"/>
      <c r="AG260" s="7"/>
      <c r="AH260" s="47"/>
      <c r="AI260" s="47"/>
      <c r="AJ260" s="18"/>
      <c r="AK260" s="26"/>
      <c r="AL260" s="34"/>
      <c r="AM260" s="34"/>
      <c r="AN260" s="18"/>
      <c r="AO260" s="18"/>
      <c r="AP260" s="18"/>
      <c r="AQ260" s="18"/>
      <c r="AR260" s="64"/>
      <c r="AS260" s="64"/>
    </row>
    <row r="261">
      <c r="A261" s="51"/>
      <c r="B261" s="51"/>
      <c r="C261" s="52"/>
      <c r="D261" s="51"/>
      <c r="E261" s="53"/>
      <c r="F261" s="54"/>
      <c r="G261" s="54"/>
      <c r="H261" s="51"/>
      <c r="I261" s="55"/>
      <c r="J261" s="56"/>
      <c r="K261" s="46"/>
      <c r="L261" s="46"/>
      <c r="M261" s="47"/>
      <c r="N261" s="46"/>
      <c r="O261" s="57"/>
      <c r="P261" s="46"/>
      <c r="Q261" s="46"/>
      <c r="R261" s="57"/>
      <c r="S261" s="7"/>
      <c r="T261" s="54"/>
      <c r="U261" s="58"/>
      <c r="V261" s="47"/>
      <c r="W261" s="18"/>
      <c r="X261" s="46"/>
      <c r="Y261" s="46"/>
      <c r="Z261" s="46"/>
      <c r="AA261" s="7"/>
      <c r="AB261" s="46"/>
      <c r="AC261" s="46"/>
      <c r="AD261" s="47"/>
      <c r="AE261" s="47"/>
      <c r="AF261" s="7"/>
      <c r="AG261" s="7"/>
      <c r="AH261" s="47"/>
      <c r="AI261" s="47"/>
      <c r="AJ261" s="18"/>
      <c r="AK261" s="26"/>
      <c r="AL261" s="34"/>
      <c r="AM261" s="34"/>
      <c r="AN261" s="18"/>
      <c r="AO261" s="18"/>
      <c r="AP261" s="18"/>
      <c r="AQ261" s="18"/>
      <c r="AR261" s="64"/>
      <c r="AS261" s="64"/>
    </row>
    <row r="262">
      <c r="A262" s="51"/>
      <c r="B262" s="51"/>
      <c r="C262" s="52"/>
      <c r="D262" s="51"/>
      <c r="E262" s="53"/>
      <c r="F262" s="54"/>
      <c r="G262" s="54"/>
      <c r="H262" s="51"/>
      <c r="I262" s="55"/>
      <c r="J262" s="56"/>
      <c r="K262" s="46"/>
      <c r="L262" s="46"/>
      <c r="M262" s="47"/>
      <c r="N262" s="46"/>
      <c r="O262" s="57"/>
      <c r="P262" s="46"/>
      <c r="Q262" s="46"/>
      <c r="R262" s="57"/>
      <c r="S262" s="7"/>
      <c r="T262" s="54"/>
      <c r="U262" s="58"/>
      <c r="V262" s="47"/>
      <c r="W262" s="18"/>
      <c r="X262" s="46"/>
      <c r="Y262" s="46"/>
      <c r="Z262" s="46"/>
      <c r="AA262" s="7"/>
      <c r="AB262" s="46"/>
      <c r="AC262" s="46"/>
      <c r="AD262" s="47"/>
      <c r="AE262" s="47"/>
      <c r="AF262" s="7"/>
      <c r="AG262" s="7"/>
      <c r="AH262" s="47"/>
      <c r="AI262" s="47"/>
      <c r="AJ262" s="18"/>
      <c r="AK262" s="26"/>
      <c r="AL262" s="34"/>
      <c r="AM262" s="34"/>
      <c r="AN262" s="18"/>
      <c r="AO262" s="18"/>
      <c r="AP262" s="18"/>
      <c r="AQ262" s="18"/>
      <c r="AR262" s="64"/>
      <c r="AS262" s="64"/>
    </row>
    <row r="263">
      <c r="A263" s="51"/>
      <c r="B263" s="51"/>
      <c r="C263" s="52"/>
      <c r="D263" s="51"/>
      <c r="E263" s="53"/>
      <c r="F263" s="54"/>
      <c r="G263" s="54"/>
      <c r="H263" s="51"/>
      <c r="I263" s="55"/>
      <c r="J263" s="56"/>
      <c r="K263" s="46"/>
      <c r="L263" s="46"/>
      <c r="M263" s="47"/>
      <c r="N263" s="46"/>
      <c r="O263" s="57"/>
      <c r="P263" s="46"/>
      <c r="Q263" s="46"/>
      <c r="R263" s="57"/>
      <c r="S263" s="7"/>
      <c r="T263" s="54"/>
      <c r="U263" s="58"/>
      <c r="V263" s="47"/>
      <c r="W263" s="18"/>
      <c r="X263" s="46"/>
      <c r="Y263" s="46"/>
      <c r="Z263" s="46"/>
      <c r="AA263" s="7"/>
      <c r="AB263" s="46"/>
      <c r="AC263" s="46"/>
      <c r="AD263" s="47"/>
      <c r="AE263" s="47"/>
      <c r="AF263" s="7"/>
      <c r="AG263" s="7"/>
      <c r="AH263" s="47"/>
      <c r="AI263" s="47"/>
      <c r="AJ263" s="18"/>
      <c r="AK263" s="26"/>
      <c r="AL263" s="34"/>
      <c r="AM263" s="34"/>
      <c r="AN263" s="18"/>
      <c r="AO263" s="18"/>
      <c r="AP263" s="18"/>
      <c r="AQ263" s="18"/>
      <c r="AR263" s="64"/>
      <c r="AS263" s="64"/>
    </row>
    <row r="264">
      <c r="A264" s="51"/>
      <c r="B264" s="51"/>
      <c r="C264" s="52"/>
      <c r="D264" s="51"/>
      <c r="E264" s="53"/>
      <c r="F264" s="54"/>
      <c r="G264" s="54"/>
      <c r="H264" s="51"/>
      <c r="I264" s="55"/>
      <c r="J264" s="56"/>
      <c r="K264" s="46"/>
      <c r="L264" s="46"/>
      <c r="M264" s="47"/>
      <c r="N264" s="46"/>
      <c r="O264" s="57"/>
      <c r="P264" s="46"/>
      <c r="Q264" s="46"/>
      <c r="R264" s="57"/>
      <c r="S264" s="7"/>
      <c r="T264" s="54"/>
      <c r="U264" s="58"/>
      <c r="V264" s="47"/>
      <c r="W264" s="18"/>
      <c r="X264" s="46"/>
      <c r="Y264" s="46"/>
      <c r="Z264" s="46"/>
      <c r="AA264" s="7"/>
      <c r="AB264" s="46"/>
      <c r="AC264" s="46"/>
      <c r="AD264" s="47"/>
      <c r="AE264" s="47"/>
      <c r="AF264" s="7"/>
      <c r="AG264" s="7"/>
      <c r="AH264" s="47"/>
      <c r="AI264" s="47"/>
      <c r="AJ264" s="18"/>
      <c r="AK264" s="26"/>
      <c r="AL264" s="34"/>
      <c r="AM264" s="34"/>
      <c r="AN264" s="18"/>
      <c r="AO264" s="18"/>
      <c r="AP264" s="18"/>
      <c r="AQ264" s="18"/>
      <c r="AR264" s="64"/>
      <c r="AS264" s="64"/>
    </row>
    <row r="265">
      <c r="A265" s="51"/>
      <c r="B265" s="51"/>
      <c r="C265" s="52"/>
      <c r="D265" s="51"/>
      <c r="E265" s="53"/>
      <c r="F265" s="54"/>
      <c r="G265" s="54"/>
      <c r="H265" s="51"/>
      <c r="I265" s="55"/>
      <c r="J265" s="56"/>
      <c r="K265" s="46"/>
      <c r="L265" s="46"/>
      <c r="M265" s="47"/>
      <c r="N265" s="46"/>
      <c r="O265" s="57"/>
      <c r="P265" s="46"/>
      <c r="Q265" s="46"/>
      <c r="R265" s="57"/>
      <c r="S265" s="7"/>
      <c r="T265" s="54"/>
      <c r="U265" s="58"/>
      <c r="V265" s="47"/>
      <c r="W265" s="18"/>
      <c r="X265" s="46"/>
      <c r="Y265" s="46"/>
      <c r="Z265" s="46"/>
      <c r="AA265" s="7"/>
      <c r="AB265" s="46"/>
      <c r="AC265" s="46"/>
      <c r="AD265" s="47"/>
      <c r="AE265" s="47"/>
      <c r="AF265" s="7"/>
      <c r="AG265" s="7"/>
      <c r="AH265" s="47"/>
      <c r="AI265" s="47"/>
      <c r="AJ265" s="18"/>
      <c r="AK265" s="26"/>
      <c r="AL265" s="34"/>
      <c r="AM265" s="34"/>
      <c r="AN265" s="18"/>
      <c r="AO265" s="18"/>
      <c r="AP265" s="18"/>
      <c r="AQ265" s="18"/>
      <c r="AR265" s="64"/>
      <c r="AS265" s="64"/>
    </row>
    <row r="266">
      <c r="A266" s="51"/>
      <c r="B266" s="51"/>
      <c r="C266" s="52"/>
      <c r="D266" s="51"/>
      <c r="E266" s="53"/>
      <c r="F266" s="54"/>
      <c r="G266" s="54"/>
      <c r="H266" s="51"/>
      <c r="I266" s="55"/>
      <c r="J266" s="56"/>
      <c r="K266" s="46"/>
      <c r="L266" s="46"/>
      <c r="M266" s="47"/>
      <c r="N266" s="46"/>
      <c r="O266" s="57"/>
      <c r="P266" s="46"/>
      <c r="Q266" s="46"/>
      <c r="R266" s="57"/>
      <c r="S266" s="7"/>
      <c r="T266" s="54"/>
      <c r="U266" s="58"/>
      <c r="V266" s="47"/>
      <c r="W266" s="18"/>
      <c r="X266" s="46"/>
      <c r="Y266" s="46"/>
      <c r="Z266" s="46"/>
      <c r="AA266" s="7"/>
      <c r="AB266" s="46"/>
      <c r="AC266" s="46"/>
      <c r="AD266" s="47"/>
      <c r="AE266" s="47"/>
      <c r="AF266" s="7"/>
      <c r="AG266" s="7"/>
      <c r="AH266" s="47"/>
      <c r="AI266" s="47"/>
      <c r="AJ266" s="18"/>
      <c r="AK266" s="26"/>
      <c r="AL266" s="34"/>
      <c r="AM266" s="34"/>
      <c r="AN266" s="18"/>
      <c r="AO266" s="18"/>
      <c r="AP266" s="18"/>
      <c r="AQ266" s="18"/>
      <c r="AR266" s="64"/>
      <c r="AS266" s="64"/>
    </row>
    <row r="267">
      <c r="A267" s="51"/>
      <c r="B267" s="51"/>
      <c r="C267" s="52"/>
      <c r="D267" s="51"/>
      <c r="E267" s="53"/>
      <c r="F267" s="54"/>
      <c r="G267" s="54"/>
      <c r="H267" s="51"/>
      <c r="I267" s="55"/>
      <c r="J267" s="56"/>
      <c r="K267" s="46"/>
      <c r="L267" s="46"/>
      <c r="M267" s="47"/>
      <c r="N267" s="46"/>
      <c r="O267" s="57"/>
      <c r="P267" s="46"/>
      <c r="Q267" s="46"/>
      <c r="R267" s="57"/>
      <c r="S267" s="7"/>
      <c r="T267" s="54"/>
      <c r="U267" s="58"/>
      <c r="V267" s="47"/>
      <c r="W267" s="18"/>
      <c r="X267" s="46"/>
      <c r="Y267" s="46"/>
      <c r="Z267" s="46"/>
      <c r="AA267" s="7"/>
      <c r="AB267" s="46"/>
      <c r="AC267" s="46"/>
      <c r="AD267" s="47"/>
      <c r="AE267" s="47"/>
      <c r="AF267" s="7"/>
      <c r="AG267" s="7"/>
      <c r="AH267" s="47"/>
      <c r="AI267" s="47"/>
      <c r="AJ267" s="18"/>
      <c r="AK267" s="26"/>
      <c r="AL267" s="34"/>
      <c r="AM267" s="34"/>
      <c r="AN267" s="18"/>
      <c r="AO267" s="18"/>
      <c r="AP267" s="18"/>
      <c r="AQ267" s="18"/>
      <c r="AR267" s="64"/>
      <c r="AS267" s="64"/>
    </row>
    <row r="268">
      <c r="A268" s="51"/>
      <c r="B268" s="51"/>
      <c r="C268" s="52"/>
      <c r="D268" s="51"/>
      <c r="E268" s="53"/>
      <c r="F268" s="54"/>
      <c r="G268" s="54"/>
      <c r="H268" s="51"/>
      <c r="I268" s="55"/>
      <c r="J268" s="56"/>
      <c r="K268" s="46"/>
      <c r="L268" s="46"/>
      <c r="M268" s="47"/>
      <c r="N268" s="46"/>
      <c r="O268" s="57"/>
      <c r="P268" s="46"/>
      <c r="Q268" s="46"/>
      <c r="R268" s="57"/>
      <c r="S268" s="7"/>
      <c r="T268" s="54"/>
      <c r="U268" s="58"/>
      <c r="V268" s="47"/>
      <c r="W268" s="18"/>
      <c r="X268" s="46"/>
      <c r="Y268" s="46"/>
      <c r="Z268" s="46"/>
      <c r="AA268" s="7"/>
      <c r="AB268" s="46"/>
      <c r="AC268" s="46"/>
      <c r="AD268" s="47"/>
      <c r="AE268" s="47"/>
      <c r="AF268" s="7"/>
      <c r="AG268" s="7"/>
      <c r="AH268" s="47"/>
      <c r="AI268" s="47"/>
      <c r="AJ268" s="18"/>
      <c r="AK268" s="26"/>
      <c r="AL268" s="34"/>
      <c r="AM268" s="34"/>
      <c r="AN268" s="18"/>
      <c r="AO268" s="18"/>
      <c r="AP268" s="18"/>
      <c r="AQ268" s="18"/>
      <c r="AR268" s="64"/>
      <c r="AS268" s="64"/>
    </row>
    <row r="269">
      <c r="A269" s="51"/>
      <c r="B269" s="51"/>
      <c r="C269" s="52"/>
      <c r="D269" s="51"/>
      <c r="E269" s="53"/>
      <c r="F269" s="54"/>
      <c r="G269" s="54"/>
      <c r="H269" s="51"/>
      <c r="I269" s="55"/>
      <c r="J269" s="56"/>
      <c r="K269" s="46"/>
      <c r="L269" s="46"/>
      <c r="M269" s="47"/>
      <c r="N269" s="46"/>
      <c r="O269" s="57"/>
      <c r="P269" s="46"/>
      <c r="Q269" s="46"/>
      <c r="R269" s="57"/>
      <c r="S269" s="7"/>
      <c r="T269" s="54"/>
      <c r="U269" s="58"/>
      <c r="V269" s="47"/>
      <c r="W269" s="18"/>
      <c r="X269" s="46"/>
      <c r="Y269" s="46"/>
      <c r="Z269" s="46"/>
      <c r="AA269" s="7"/>
      <c r="AB269" s="46"/>
      <c r="AC269" s="46"/>
      <c r="AD269" s="47"/>
      <c r="AE269" s="47"/>
      <c r="AF269" s="7"/>
      <c r="AG269" s="7"/>
      <c r="AH269" s="47"/>
      <c r="AI269" s="47"/>
      <c r="AJ269" s="18"/>
      <c r="AK269" s="26"/>
      <c r="AL269" s="34"/>
      <c r="AM269" s="34"/>
      <c r="AN269" s="18"/>
      <c r="AO269" s="18"/>
      <c r="AP269" s="18"/>
      <c r="AQ269" s="18"/>
      <c r="AR269" s="64"/>
      <c r="AS269" s="64"/>
    </row>
    <row r="270">
      <c r="A270" s="51"/>
      <c r="B270" s="51"/>
      <c r="C270" s="52"/>
      <c r="D270" s="51"/>
      <c r="E270" s="53"/>
      <c r="F270" s="54"/>
      <c r="G270" s="54"/>
      <c r="H270" s="51"/>
      <c r="I270" s="55"/>
      <c r="J270" s="56"/>
      <c r="K270" s="46"/>
      <c r="L270" s="46"/>
      <c r="M270" s="47"/>
      <c r="N270" s="46"/>
      <c r="O270" s="57"/>
      <c r="P270" s="46"/>
      <c r="Q270" s="46"/>
      <c r="R270" s="57"/>
      <c r="S270" s="7"/>
      <c r="T270" s="54"/>
      <c r="U270" s="58"/>
      <c r="V270" s="47"/>
      <c r="W270" s="18"/>
      <c r="X270" s="46"/>
      <c r="Y270" s="46"/>
      <c r="Z270" s="46"/>
      <c r="AA270" s="7"/>
      <c r="AB270" s="46"/>
      <c r="AC270" s="46"/>
      <c r="AD270" s="47"/>
      <c r="AE270" s="47"/>
      <c r="AF270" s="7"/>
      <c r="AG270" s="7"/>
      <c r="AH270" s="47"/>
      <c r="AI270" s="47"/>
      <c r="AJ270" s="18"/>
      <c r="AK270" s="26"/>
      <c r="AL270" s="34"/>
      <c r="AM270" s="34"/>
      <c r="AN270" s="18"/>
      <c r="AO270" s="18"/>
      <c r="AP270" s="18"/>
      <c r="AQ270" s="18"/>
      <c r="AR270" s="64"/>
      <c r="AS270" s="64"/>
    </row>
    <row r="271">
      <c r="A271" s="51"/>
      <c r="B271" s="51"/>
      <c r="C271" s="52"/>
      <c r="D271" s="51"/>
      <c r="E271" s="53"/>
      <c r="F271" s="54"/>
      <c r="G271" s="54"/>
      <c r="H271" s="51"/>
      <c r="I271" s="55"/>
      <c r="J271" s="56"/>
      <c r="K271" s="46"/>
      <c r="L271" s="46"/>
      <c r="M271" s="47"/>
      <c r="N271" s="46"/>
      <c r="O271" s="57"/>
      <c r="P271" s="46"/>
      <c r="Q271" s="46"/>
      <c r="R271" s="57"/>
      <c r="S271" s="7"/>
      <c r="T271" s="54"/>
      <c r="U271" s="58"/>
      <c r="V271" s="47"/>
      <c r="W271" s="18"/>
      <c r="X271" s="46"/>
      <c r="Y271" s="46"/>
      <c r="Z271" s="46"/>
      <c r="AA271" s="7"/>
      <c r="AB271" s="46"/>
      <c r="AC271" s="46"/>
      <c r="AD271" s="47"/>
      <c r="AE271" s="47"/>
      <c r="AF271" s="7"/>
      <c r="AG271" s="7"/>
      <c r="AH271" s="47"/>
      <c r="AI271" s="47"/>
      <c r="AJ271" s="18"/>
      <c r="AK271" s="26"/>
      <c r="AL271" s="34"/>
      <c r="AM271" s="34"/>
      <c r="AN271" s="18"/>
      <c r="AO271" s="18"/>
      <c r="AP271" s="18"/>
      <c r="AQ271" s="18"/>
      <c r="AR271" s="64"/>
      <c r="AS271" s="64"/>
    </row>
    <row r="272">
      <c r="A272" s="51"/>
      <c r="B272" s="51"/>
      <c r="C272" s="52"/>
      <c r="D272" s="51"/>
      <c r="E272" s="53"/>
      <c r="F272" s="54"/>
      <c r="G272" s="54"/>
      <c r="H272" s="51"/>
      <c r="I272" s="55"/>
      <c r="J272" s="56"/>
      <c r="K272" s="46"/>
      <c r="L272" s="46"/>
      <c r="M272" s="47"/>
      <c r="N272" s="46"/>
      <c r="O272" s="57"/>
      <c r="P272" s="46"/>
      <c r="Q272" s="46"/>
      <c r="R272" s="57"/>
      <c r="S272" s="7"/>
      <c r="T272" s="54"/>
      <c r="U272" s="58"/>
      <c r="V272" s="47"/>
      <c r="W272" s="18"/>
      <c r="X272" s="46"/>
      <c r="Y272" s="46"/>
      <c r="Z272" s="46"/>
      <c r="AA272" s="7"/>
      <c r="AB272" s="46"/>
      <c r="AC272" s="46"/>
      <c r="AD272" s="47"/>
      <c r="AE272" s="47"/>
      <c r="AF272" s="7"/>
      <c r="AG272" s="7"/>
      <c r="AH272" s="47"/>
      <c r="AI272" s="47"/>
      <c r="AJ272" s="18"/>
      <c r="AK272" s="26"/>
      <c r="AL272" s="34"/>
      <c r="AM272" s="34"/>
      <c r="AN272" s="18"/>
      <c r="AO272" s="18"/>
      <c r="AP272" s="18"/>
      <c r="AQ272" s="18"/>
      <c r="AR272" s="64"/>
      <c r="AS272" s="64"/>
    </row>
    <row r="273">
      <c r="A273" s="51"/>
      <c r="B273" s="51"/>
      <c r="C273" s="52"/>
      <c r="D273" s="51"/>
      <c r="E273" s="53"/>
      <c r="F273" s="54"/>
      <c r="G273" s="54"/>
      <c r="H273" s="51"/>
      <c r="I273" s="55"/>
      <c r="J273" s="56"/>
      <c r="K273" s="46"/>
      <c r="L273" s="46"/>
      <c r="M273" s="47"/>
      <c r="N273" s="46"/>
      <c r="O273" s="57"/>
      <c r="P273" s="46"/>
      <c r="Q273" s="46"/>
      <c r="R273" s="57"/>
      <c r="S273" s="7"/>
      <c r="T273" s="54"/>
      <c r="U273" s="58"/>
      <c r="V273" s="47"/>
      <c r="W273" s="18"/>
      <c r="X273" s="46"/>
      <c r="Y273" s="46"/>
      <c r="Z273" s="46"/>
      <c r="AA273" s="7"/>
      <c r="AB273" s="46"/>
      <c r="AC273" s="46"/>
      <c r="AD273" s="47"/>
      <c r="AE273" s="47"/>
      <c r="AF273" s="7"/>
      <c r="AG273" s="7"/>
      <c r="AH273" s="47"/>
      <c r="AI273" s="47"/>
      <c r="AJ273" s="18"/>
      <c r="AK273" s="26"/>
      <c r="AL273" s="34"/>
      <c r="AM273" s="34"/>
      <c r="AN273" s="18"/>
      <c r="AO273" s="18"/>
      <c r="AP273" s="18"/>
      <c r="AQ273" s="18"/>
      <c r="AR273" s="64"/>
      <c r="AS273" s="64"/>
    </row>
    <row r="274">
      <c r="A274" s="51"/>
      <c r="B274" s="51"/>
      <c r="C274" s="52"/>
      <c r="D274" s="51"/>
      <c r="E274" s="53"/>
      <c r="F274" s="54"/>
      <c r="G274" s="54"/>
      <c r="H274" s="51"/>
      <c r="I274" s="55"/>
      <c r="J274" s="56"/>
      <c r="K274" s="46"/>
      <c r="L274" s="46"/>
      <c r="M274" s="47"/>
      <c r="N274" s="46"/>
      <c r="O274" s="57"/>
      <c r="P274" s="46"/>
      <c r="Q274" s="46"/>
      <c r="R274" s="57"/>
      <c r="S274" s="7"/>
      <c r="T274" s="54"/>
      <c r="U274" s="58"/>
      <c r="V274" s="47"/>
      <c r="W274" s="18"/>
      <c r="X274" s="46"/>
      <c r="Y274" s="46"/>
      <c r="Z274" s="46"/>
      <c r="AA274" s="7"/>
      <c r="AB274" s="46"/>
      <c r="AC274" s="46"/>
      <c r="AD274" s="47"/>
      <c r="AE274" s="47"/>
      <c r="AF274" s="7"/>
      <c r="AG274" s="7"/>
      <c r="AH274" s="47"/>
      <c r="AI274" s="47"/>
      <c r="AJ274" s="18"/>
      <c r="AK274" s="26"/>
      <c r="AL274" s="34"/>
      <c r="AM274" s="34"/>
      <c r="AN274" s="18"/>
      <c r="AO274" s="18"/>
      <c r="AP274" s="18"/>
      <c r="AQ274" s="18"/>
      <c r="AR274" s="64"/>
      <c r="AS274" s="64"/>
    </row>
    <row r="275">
      <c r="A275" s="51"/>
      <c r="B275" s="51"/>
      <c r="C275" s="52"/>
      <c r="D275" s="51"/>
      <c r="E275" s="53"/>
      <c r="F275" s="54"/>
      <c r="G275" s="54"/>
      <c r="H275" s="51"/>
      <c r="I275" s="55"/>
      <c r="J275" s="56"/>
      <c r="K275" s="46"/>
      <c r="L275" s="46"/>
      <c r="M275" s="47"/>
      <c r="N275" s="46"/>
      <c r="O275" s="57"/>
      <c r="P275" s="46"/>
      <c r="Q275" s="46"/>
      <c r="R275" s="57"/>
      <c r="S275" s="7"/>
      <c r="T275" s="54"/>
      <c r="U275" s="58"/>
      <c r="V275" s="47"/>
      <c r="W275" s="18"/>
      <c r="X275" s="46"/>
      <c r="Y275" s="46"/>
      <c r="Z275" s="46"/>
      <c r="AA275" s="7"/>
      <c r="AB275" s="46"/>
      <c r="AC275" s="46"/>
      <c r="AD275" s="47"/>
      <c r="AE275" s="47"/>
      <c r="AF275" s="7"/>
      <c r="AG275" s="7"/>
      <c r="AH275" s="47"/>
      <c r="AI275" s="47"/>
      <c r="AJ275" s="18"/>
      <c r="AK275" s="26"/>
      <c r="AL275" s="34"/>
      <c r="AM275" s="34"/>
      <c r="AN275" s="18"/>
      <c r="AO275" s="18"/>
      <c r="AP275" s="18"/>
      <c r="AQ275" s="18"/>
      <c r="AR275" s="64"/>
      <c r="AS275" s="64"/>
    </row>
    <row r="276">
      <c r="A276" s="51"/>
      <c r="B276" s="51"/>
      <c r="C276" s="52"/>
      <c r="D276" s="51"/>
      <c r="E276" s="53"/>
      <c r="F276" s="54"/>
      <c r="G276" s="54"/>
      <c r="H276" s="51"/>
      <c r="I276" s="55"/>
      <c r="J276" s="56"/>
      <c r="K276" s="46"/>
      <c r="L276" s="46"/>
      <c r="M276" s="47"/>
      <c r="N276" s="46"/>
      <c r="O276" s="57"/>
      <c r="P276" s="46"/>
      <c r="Q276" s="46"/>
      <c r="R276" s="57"/>
      <c r="S276" s="7"/>
      <c r="T276" s="54"/>
      <c r="U276" s="58"/>
      <c r="V276" s="47"/>
      <c r="W276" s="18"/>
      <c r="X276" s="46"/>
      <c r="Y276" s="46"/>
      <c r="Z276" s="46"/>
      <c r="AA276" s="7"/>
      <c r="AB276" s="46"/>
      <c r="AC276" s="46"/>
      <c r="AD276" s="47"/>
      <c r="AE276" s="47"/>
      <c r="AF276" s="7"/>
      <c r="AG276" s="7"/>
      <c r="AH276" s="47"/>
      <c r="AI276" s="47"/>
      <c r="AJ276" s="18"/>
      <c r="AK276" s="26"/>
      <c r="AL276" s="34"/>
      <c r="AM276" s="34"/>
      <c r="AN276" s="18"/>
      <c r="AO276" s="18"/>
      <c r="AP276" s="18"/>
      <c r="AQ276" s="18"/>
      <c r="AR276" s="64"/>
      <c r="AS276" s="64"/>
    </row>
    <row r="277">
      <c r="A277" s="51"/>
      <c r="B277" s="51"/>
      <c r="C277" s="52"/>
      <c r="D277" s="51"/>
      <c r="E277" s="53"/>
      <c r="F277" s="54"/>
      <c r="G277" s="54"/>
      <c r="H277" s="51"/>
      <c r="I277" s="55"/>
      <c r="J277" s="56"/>
      <c r="K277" s="46"/>
      <c r="L277" s="46"/>
      <c r="M277" s="47"/>
      <c r="N277" s="46"/>
      <c r="O277" s="57"/>
      <c r="P277" s="46"/>
      <c r="Q277" s="46"/>
      <c r="R277" s="57"/>
      <c r="S277" s="7"/>
      <c r="T277" s="54"/>
      <c r="U277" s="58"/>
      <c r="V277" s="47"/>
      <c r="W277" s="18"/>
      <c r="X277" s="46"/>
      <c r="Y277" s="46"/>
      <c r="Z277" s="46"/>
      <c r="AA277" s="7"/>
      <c r="AB277" s="46"/>
      <c r="AC277" s="46"/>
      <c r="AD277" s="47"/>
      <c r="AE277" s="47"/>
      <c r="AF277" s="7"/>
      <c r="AG277" s="7"/>
      <c r="AH277" s="47"/>
      <c r="AI277" s="47"/>
      <c r="AJ277" s="18"/>
      <c r="AK277" s="26"/>
      <c r="AL277" s="34"/>
      <c r="AM277" s="34"/>
      <c r="AN277" s="18"/>
      <c r="AO277" s="18"/>
      <c r="AP277" s="18"/>
      <c r="AQ277" s="18"/>
      <c r="AR277" s="64"/>
      <c r="AS277" s="64"/>
    </row>
    <row r="278">
      <c r="A278" s="51"/>
      <c r="B278" s="51"/>
      <c r="C278" s="52"/>
      <c r="D278" s="51"/>
      <c r="E278" s="53"/>
      <c r="F278" s="54"/>
      <c r="G278" s="54"/>
      <c r="H278" s="51"/>
      <c r="I278" s="55"/>
      <c r="J278" s="56"/>
      <c r="K278" s="46"/>
      <c r="L278" s="46"/>
      <c r="M278" s="47"/>
      <c r="N278" s="46"/>
      <c r="O278" s="57"/>
      <c r="P278" s="46"/>
      <c r="Q278" s="46"/>
      <c r="R278" s="57"/>
      <c r="S278" s="7"/>
      <c r="T278" s="54"/>
      <c r="U278" s="58"/>
      <c r="V278" s="47"/>
      <c r="W278" s="18"/>
      <c r="X278" s="46"/>
      <c r="Y278" s="46"/>
      <c r="Z278" s="46"/>
      <c r="AA278" s="7"/>
      <c r="AB278" s="46"/>
      <c r="AC278" s="46"/>
      <c r="AD278" s="47"/>
      <c r="AE278" s="47"/>
      <c r="AF278" s="7"/>
      <c r="AG278" s="7"/>
      <c r="AH278" s="47"/>
      <c r="AI278" s="47"/>
      <c r="AJ278" s="18"/>
      <c r="AK278" s="26"/>
      <c r="AL278" s="34"/>
      <c r="AM278" s="34"/>
      <c r="AN278" s="18"/>
      <c r="AO278" s="18"/>
      <c r="AP278" s="18"/>
      <c r="AQ278" s="18"/>
      <c r="AR278" s="64"/>
      <c r="AS278" s="64"/>
    </row>
    <row r="279">
      <c r="A279" s="51"/>
      <c r="B279" s="51"/>
      <c r="C279" s="52"/>
      <c r="D279" s="51"/>
      <c r="E279" s="53"/>
      <c r="F279" s="54"/>
      <c r="G279" s="54"/>
      <c r="H279" s="51"/>
      <c r="I279" s="55"/>
      <c r="J279" s="56"/>
      <c r="K279" s="46"/>
      <c r="L279" s="46"/>
      <c r="M279" s="47"/>
      <c r="N279" s="46"/>
      <c r="O279" s="57"/>
      <c r="P279" s="46"/>
      <c r="Q279" s="46"/>
      <c r="R279" s="57"/>
      <c r="S279" s="7"/>
      <c r="T279" s="54"/>
      <c r="U279" s="58"/>
      <c r="V279" s="47"/>
      <c r="W279" s="18"/>
      <c r="X279" s="46"/>
      <c r="Y279" s="46"/>
      <c r="Z279" s="46"/>
      <c r="AA279" s="7"/>
      <c r="AB279" s="46"/>
      <c r="AC279" s="46"/>
      <c r="AD279" s="47"/>
      <c r="AE279" s="47"/>
      <c r="AF279" s="7"/>
      <c r="AG279" s="7"/>
      <c r="AH279" s="47"/>
      <c r="AI279" s="47"/>
      <c r="AJ279" s="18"/>
      <c r="AK279" s="26"/>
      <c r="AL279" s="34"/>
      <c r="AM279" s="34"/>
      <c r="AN279" s="18"/>
      <c r="AO279" s="18"/>
      <c r="AP279" s="18"/>
      <c r="AQ279" s="18"/>
      <c r="AR279" s="64"/>
      <c r="AS279" s="64"/>
    </row>
    <row r="280">
      <c r="A280" s="51"/>
      <c r="B280" s="51"/>
      <c r="C280" s="52"/>
      <c r="D280" s="51"/>
      <c r="E280" s="53"/>
      <c r="F280" s="54"/>
      <c r="G280" s="54"/>
      <c r="H280" s="51"/>
      <c r="I280" s="55"/>
      <c r="J280" s="56"/>
      <c r="K280" s="46"/>
      <c r="L280" s="46"/>
      <c r="M280" s="47"/>
      <c r="N280" s="46"/>
      <c r="O280" s="57"/>
      <c r="P280" s="46"/>
      <c r="Q280" s="46"/>
      <c r="R280" s="57"/>
      <c r="S280" s="7"/>
      <c r="T280" s="54"/>
      <c r="U280" s="58"/>
      <c r="V280" s="47"/>
      <c r="W280" s="18"/>
      <c r="X280" s="46"/>
      <c r="Y280" s="46"/>
      <c r="Z280" s="46"/>
      <c r="AA280" s="7"/>
      <c r="AB280" s="46"/>
      <c r="AC280" s="46"/>
      <c r="AD280" s="47"/>
      <c r="AE280" s="47"/>
      <c r="AF280" s="7"/>
      <c r="AG280" s="7"/>
      <c r="AH280" s="47"/>
      <c r="AI280" s="47"/>
      <c r="AJ280" s="18"/>
      <c r="AK280" s="26"/>
      <c r="AL280" s="34"/>
      <c r="AM280" s="34"/>
      <c r="AN280" s="18"/>
      <c r="AO280" s="18"/>
      <c r="AP280" s="18"/>
      <c r="AQ280" s="18"/>
      <c r="AR280" s="64"/>
      <c r="AS280" s="64"/>
    </row>
    <row r="281">
      <c r="A281" s="51"/>
      <c r="B281" s="51"/>
      <c r="C281" s="52"/>
      <c r="D281" s="51"/>
      <c r="E281" s="53"/>
      <c r="F281" s="54"/>
      <c r="G281" s="54"/>
      <c r="H281" s="51"/>
      <c r="I281" s="55"/>
      <c r="J281" s="56"/>
      <c r="K281" s="46"/>
      <c r="L281" s="46"/>
      <c r="M281" s="47"/>
      <c r="N281" s="46"/>
      <c r="O281" s="57"/>
      <c r="P281" s="46"/>
      <c r="Q281" s="46"/>
      <c r="R281" s="57"/>
      <c r="S281" s="7"/>
      <c r="T281" s="54"/>
      <c r="U281" s="58"/>
      <c r="V281" s="47"/>
      <c r="W281" s="18"/>
      <c r="X281" s="46"/>
      <c r="Y281" s="46"/>
      <c r="Z281" s="46"/>
      <c r="AA281" s="7"/>
      <c r="AB281" s="46"/>
      <c r="AC281" s="46"/>
      <c r="AD281" s="47"/>
      <c r="AE281" s="47"/>
      <c r="AF281" s="7"/>
      <c r="AG281" s="7"/>
      <c r="AH281" s="47"/>
      <c r="AI281" s="47"/>
      <c r="AJ281" s="18"/>
      <c r="AK281" s="26"/>
      <c r="AL281" s="34"/>
      <c r="AM281" s="34"/>
      <c r="AN281" s="18"/>
      <c r="AO281" s="18"/>
      <c r="AP281" s="18"/>
      <c r="AQ281" s="18"/>
      <c r="AR281" s="64"/>
      <c r="AS281" s="64"/>
    </row>
    <row r="282">
      <c r="A282" s="51"/>
      <c r="B282" s="51"/>
      <c r="C282" s="52"/>
      <c r="D282" s="51"/>
      <c r="E282" s="53"/>
      <c r="F282" s="54"/>
      <c r="G282" s="54"/>
      <c r="H282" s="51"/>
      <c r="I282" s="55"/>
      <c r="J282" s="56"/>
      <c r="K282" s="46"/>
      <c r="L282" s="46"/>
      <c r="M282" s="47"/>
      <c r="N282" s="46"/>
      <c r="O282" s="57"/>
      <c r="P282" s="46"/>
      <c r="Q282" s="46"/>
      <c r="R282" s="57"/>
      <c r="S282" s="7"/>
      <c r="T282" s="54"/>
      <c r="U282" s="58"/>
      <c r="V282" s="47"/>
      <c r="W282" s="18"/>
      <c r="X282" s="46"/>
      <c r="Y282" s="46"/>
      <c r="Z282" s="46"/>
      <c r="AA282" s="7"/>
      <c r="AB282" s="46"/>
      <c r="AC282" s="46"/>
      <c r="AD282" s="47"/>
      <c r="AE282" s="47"/>
      <c r="AF282" s="7"/>
      <c r="AG282" s="7"/>
      <c r="AH282" s="47"/>
      <c r="AI282" s="47"/>
      <c r="AJ282" s="18"/>
      <c r="AK282" s="26"/>
      <c r="AL282" s="34"/>
      <c r="AM282" s="34"/>
      <c r="AN282" s="18"/>
      <c r="AO282" s="18"/>
      <c r="AP282" s="18"/>
      <c r="AQ282" s="18"/>
      <c r="AR282" s="64"/>
      <c r="AS282" s="64"/>
    </row>
    <row r="283">
      <c r="A283" s="51"/>
      <c r="B283" s="51"/>
      <c r="C283" s="52"/>
      <c r="D283" s="51"/>
      <c r="E283" s="53"/>
      <c r="F283" s="54"/>
      <c r="G283" s="54"/>
      <c r="H283" s="51"/>
      <c r="I283" s="55"/>
      <c r="J283" s="56"/>
      <c r="K283" s="46"/>
      <c r="L283" s="46"/>
      <c r="M283" s="47"/>
      <c r="N283" s="46"/>
      <c r="O283" s="57"/>
      <c r="P283" s="46"/>
      <c r="Q283" s="46"/>
      <c r="R283" s="57"/>
      <c r="S283" s="7"/>
      <c r="T283" s="54"/>
      <c r="U283" s="58"/>
      <c r="V283" s="47"/>
      <c r="W283" s="18"/>
      <c r="X283" s="46"/>
      <c r="Y283" s="46"/>
      <c r="Z283" s="46"/>
      <c r="AA283" s="7"/>
      <c r="AB283" s="46"/>
      <c r="AC283" s="46"/>
      <c r="AD283" s="47"/>
      <c r="AE283" s="47"/>
      <c r="AF283" s="7"/>
      <c r="AG283" s="7"/>
      <c r="AH283" s="47"/>
      <c r="AI283" s="47"/>
      <c r="AJ283" s="18"/>
      <c r="AK283" s="26"/>
      <c r="AL283" s="34"/>
      <c r="AM283" s="34"/>
      <c r="AN283" s="18"/>
      <c r="AO283" s="18"/>
      <c r="AP283" s="18"/>
      <c r="AQ283" s="18"/>
      <c r="AR283" s="64"/>
      <c r="AS283" s="64"/>
    </row>
    <row r="284">
      <c r="A284" s="51"/>
      <c r="B284" s="51"/>
      <c r="C284" s="52"/>
      <c r="D284" s="51"/>
      <c r="E284" s="53"/>
      <c r="F284" s="54"/>
      <c r="G284" s="54"/>
      <c r="H284" s="51"/>
      <c r="I284" s="55"/>
      <c r="J284" s="56"/>
      <c r="K284" s="46"/>
      <c r="L284" s="46"/>
      <c r="M284" s="47"/>
      <c r="N284" s="46"/>
      <c r="O284" s="57"/>
      <c r="P284" s="46"/>
      <c r="Q284" s="46"/>
      <c r="R284" s="57"/>
      <c r="S284" s="7"/>
      <c r="T284" s="54"/>
      <c r="U284" s="58"/>
      <c r="V284" s="47"/>
      <c r="W284" s="18"/>
      <c r="X284" s="46"/>
      <c r="Y284" s="46"/>
      <c r="Z284" s="46"/>
      <c r="AA284" s="7"/>
      <c r="AB284" s="46"/>
      <c r="AC284" s="46"/>
      <c r="AD284" s="47"/>
      <c r="AE284" s="47"/>
      <c r="AF284" s="7"/>
      <c r="AG284" s="7"/>
      <c r="AH284" s="47"/>
      <c r="AI284" s="47"/>
      <c r="AJ284" s="18"/>
      <c r="AK284" s="26"/>
      <c r="AL284" s="34"/>
      <c r="AM284" s="34"/>
      <c r="AN284" s="18"/>
      <c r="AO284" s="18"/>
      <c r="AP284" s="18"/>
      <c r="AQ284" s="18"/>
      <c r="AR284" s="64"/>
      <c r="AS284" s="64"/>
    </row>
    <row r="285">
      <c r="A285" s="51"/>
      <c r="B285" s="51"/>
      <c r="C285" s="52"/>
      <c r="D285" s="51"/>
      <c r="E285" s="53"/>
      <c r="F285" s="54"/>
      <c r="G285" s="54"/>
      <c r="H285" s="51"/>
      <c r="I285" s="55"/>
      <c r="J285" s="56"/>
      <c r="K285" s="46"/>
      <c r="L285" s="46"/>
      <c r="M285" s="47"/>
      <c r="N285" s="46"/>
      <c r="O285" s="57"/>
      <c r="P285" s="46"/>
      <c r="Q285" s="46"/>
      <c r="R285" s="57"/>
      <c r="S285" s="7"/>
      <c r="T285" s="54"/>
      <c r="U285" s="58"/>
      <c r="V285" s="47"/>
      <c r="W285" s="18"/>
      <c r="X285" s="46"/>
      <c r="Y285" s="46"/>
      <c r="Z285" s="46"/>
      <c r="AA285" s="7"/>
      <c r="AB285" s="46"/>
      <c r="AC285" s="46"/>
      <c r="AD285" s="47"/>
      <c r="AE285" s="47"/>
      <c r="AF285" s="7"/>
      <c r="AG285" s="7"/>
      <c r="AH285" s="47"/>
      <c r="AI285" s="47"/>
      <c r="AJ285" s="18"/>
      <c r="AK285" s="26"/>
      <c r="AL285" s="34"/>
      <c r="AM285" s="34"/>
      <c r="AN285" s="18"/>
      <c r="AO285" s="18"/>
      <c r="AP285" s="18"/>
      <c r="AQ285" s="18"/>
      <c r="AR285" s="64"/>
      <c r="AS285" s="64"/>
    </row>
    <row r="286">
      <c r="A286" s="51"/>
      <c r="B286" s="51"/>
      <c r="C286" s="52"/>
      <c r="D286" s="51"/>
      <c r="E286" s="53"/>
      <c r="F286" s="54"/>
      <c r="G286" s="54"/>
      <c r="H286" s="51"/>
      <c r="I286" s="55"/>
      <c r="J286" s="56"/>
      <c r="K286" s="46"/>
      <c r="L286" s="46"/>
      <c r="M286" s="47"/>
      <c r="N286" s="46"/>
      <c r="O286" s="57"/>
      <c r="P286" s="46"/>
      <c r="Q286" s="46"/>
      <c r="R286" s="57"/>
      <c r="S286" s="7"/>
      <c r="T286" s="54"/>
      <c r="U286" s="58"/>
      <c r="V286" s="47"/>
      <c r="W286" s="18"/>
      <c r="X286" s="46"/>
      <c r="Y286" s="46"/>
      <c r="Z286" s="46"/>
      <c r="AA286" s="7"/>
      <c r="AB286" s="46"/>
      <c r="AC286" s="46"/>
      <c r="AD286" s="47"/>
      <c r="AE286" s="47"/>
      <c r="AF286" s="7"/>
      <c r="AG286" s="7"/>
      <c r="AH286" s="47"/>
      <c r="AI286" s="47"/>
      <c r="AJ286" s="18"/>
      <c r="AK286" s="26"/>
      <c r="AL286" s="34"/>
      <c r="AM286" s="34"/>
      <c r="AN286" s="18"/>
      <c r="AO286" s="18"/>
      <c r="AP286" s="18"/>
      <c r="AQ286" s="18"/>
      <c r="AR286" s="64"/>
      <c r="AS286" s="64"/>
    </row>
    <row r="287">
      <c r="A287" s="51"/>
      <c r="B287" s="51"/>
      <c r="C287" s="52"/>
      <c r="D287" s="51"/>
      <c r="E287" s="53"/>
      <c r="F287" s="54"/>
      <c r="G287" s="54"/>
      <c r="H287" s="51"/>
      <c r="I287" s="55"/>
      <c r="J287" s="56"/>
      <c r="K287" s="46"/>
      <c r="L287" s="46"/>
      <c r="M287" s="47"/>
      <c r="N287" s="46"/>
      <c r="O287" s="57"/>
      <c r="P287" s="46"/>
      <c r="Q287" s="46"/>
      <c r="R287" s="57"/>
      <c r="S287" s="7"/>
      <c r="T287" s="54"/>
      <c r="U287" s="58"/>
      <c r="V287" s="47"/>
      <c r="W287" s="18"/>
      <c r="X287" s="46"/>
      <c r="Y287" s="46"/>
      <c r="Z287" s="46"/>
      <c r="AA287" s="7"/>
      <c r="AB287" s="46"/>
      <c r="AC287" s="46"/>
      <c r="AD287" s="47"/>
      <c r="AE287" s="47"/>
      <c r="AF287" s="7"/>
      <c r="AG287" s="7"/>
      <c r="AH287" s="47"/>
      <c r="AI287" s="47"/>
      <c r="AJ287" s="18"/>
      <c r="AK287" s="26"/>
      <c r="AL287" s="34"/>
      <c r="AM287" s="34"/>
      <c r="AN287" s="18"/>
      <c r="AO287" s="18"/>
      <c r="AP287" s="18"/>
      <c r="AQ287" s="18"/>
      <c r="AR287" s="64"/>
      <c r="AS287" s="64"/>
    </row>
    <row r="288">
      <c r="A288" s="51"/>
      <c r="B288" s="51"/>
      <c r="C288" s="52"/>
      <c r="D288" s="51"/>
      <c r="E288" s="53"/>
      <c r="F288" s="54"/>
      <c r="G288" s="54"/>
      <c r="H288" s="51"/>
      <c r="I288" s="55"/>
      <c r="J288" s="56"/>
      <c r="K288" s="46"/>
      <c r="L288" s="46"/>
      <c r="M288" s="47"/>
      <c r="N288" s="46"/>
      <c r="O288" s="57"/>
      <c r="P288" s="46"/>
      <c r="Q288" s="46"/>
      <c r="R288" s="57"/>
      <c r="S288" s="7"/>
      <c r="T288" s="54"/>
      <c r="U288" s="58"/>
      <c r="V288" s="47"/>
      <c r="W288" s="18"/>
      <c r="X288" s="46"/>
      <c r="Y288" s="46"/>
      <c r="Z288" s="46"/>
      <c r="AA288" s="7"/>
      <c r="AB288" s="46"/>
      <c r="AC288" s="46"/>
      <c r="AD288" s="47"/>
      <c r="AE288" s="47"/>
      <c r="AF288" s="7"/>
      <c r="AG288" s="7"/>
      <c r="AH288" s="47"/>
      <c r="AI288" s="47"/>
      <c r="AJ288" s="18"/>
      <c r="AK288" s="26"/>
      <c r="AL288" s="34"/>
      <c r="AM288" s="34"/>
      <c r="AN288" s="18"/>
      <c r="AO288" s="18"/>
      <c r="AP288" s="18"/>
      <c r="AQ288" s="18"/>
      <c r="AR288" s="64"/>
      <c r="AS288" s="64"/>
    </row>
    <row r="289">
      <c r="A289" s="51"/>
      <c r="B289" s="51"/>
      <c r="C289" s="52"/>
      <c r="D289" s="51"/>
      <c r="E289" s="53"/>
      <c r="F289" s="54"/>
      <c r="G289" s="54"/>
      <c r="H289" s="51"/>
      <c r="I289" s="55"/>
      <c r="J289" s="56"/>
      <c r="K289" s="46"/>
      <c r="L289" s="46"/>
      <c r="M289" s="47"/>
      <c r="N289" s="46"/>
      <c r="O289" s="57"/>
      <c r="P289" s="46"/>
      <c r="Q289" s="46"/>
      <c r="R289" s="57"/>
      <c r="S289" s="7"/>
      <c r="T289" s="54"/>
      <c r="U289" s="58"/>
      <c r="V289" s="47"/>
      <c r="W289" s="18"/>
      <c r="X289" s="46"/>
      <c r="Y289" s="46"/>
      <c r="Z289" s="46"/>
      <c r="AA289" s="7"/>
      <c r="AB289" s="46"/>
      <c r="AC289" s="46"/>
      <c r="AD289" s="47"/>
      <c r="AE289" s="47"/>
      <c r="AF289" s="7"/>
      <c r="AG289" s="7"/>
      <c r="AH289" s="47"/>
      <c r="AI289" s="47"/>
      <c r="AJ289" s="18"/>
      <c r="AK289" s="26"/>
      <c r="AL289" s="34"/>
      <c r="AM289" s="34"/>
      <c r="AN289" s="18"/>
      <c r="AO289" s="18"/>
      <c r="AP289" s="18"/>
      <c r="AQ289" s="18"/>
      <c r="AR289" s="64"/>
      <c r="AS289" s="64"/>
    </row>
    <row r="290">
      <c r="A290" s="51"/>
      <c r="B290" s="51"/>
      <c r="C290" s="52"/>
      <c r="D290" s="51"/>
      <c r="E290" s="53"/>
      <c r="F290" s="54"/>
      <c r="G290" s="54"/>
      <c r="H290" s="51"/>
      <c r="I290" s="55"/>
      <c r="J290" s="56"/>
      <c r="K290" s="46"/>
      <c r="L290" s="46"/>
      <c r="M290" s="47"/>
      <c r="N290" s="46"/>
      <c r="O290" s="57"/>
      <c r="P290" s="46"/>
      <c r="Q290" s="46"/>
      <c r="R290" s="57"/>
      <c r="S290" s="7"/>
      <c r="T290" s="54"/>
      <c r="U290" s="58"/>
      <c r="V290" s="47"/>
      <c r="W290" s="18"/>
      <c r="X290" s="46"/>
      <c r="Y290" s="46"/>
      <c r="Z290" s="46"/>
      <c r="AA290" s="7"/>
      <c r="AB290" s="46"/>
      <c r="AC290" s="46"/>
      <c r="AD290" s="47"/>
      <c r="AE290" s="47"/>
      <c r="AF290" s="7"/>
      <c r="AG290" s="7"/>
      <c r="AH290" s="47"/>
      <c r="AI290" s="47"/>
      <c r="AJ290" s="18"/>
      <c r="AK290" s="26"/>
      <c r="AL290" s="34"/>
      <c r="AM290" s="34"/>
      <c r="AN290" s="18"/>
      <c r="AO290" s="18"/>
      <c r="AP290" s="18"/>
      <c r="AQ290" s="18"/>
      <c r="AR290" s="64"/>
      <c r="AS290" s="64"/>
    </row>
    <row r="291">
      <c r="A291" s="51"/>
      <c r="B291" s="51"/>
      <c r="C291" s="52"/>
      <c r="D291" s="51"/>
      <c r="E291" s="53"/>
      <c r="F291" s="54"/>
      <c r="G291" s="54"/>
      <c r="H291" s="51"/>
      <c r="I291" s="55"/>
      <c r="J291" s="56"/>
      <c r="K291" s="46"/>
      <c r="L291" s="46"/>
      <c r="M291" s="47"/>
      <c r="N291" s="46"/>
      <c r="O291" s="57"/>
      <c r="P291" s="46"/>
      <c r="Q291" s="46"/>
      <c r="R291" s="57"/>
      <c r="S291" s="7"/>
      <c r="T291" s="54"/>
      <c r="U291" s="58"/>
      <c r="V291" s="47"/>
      <c r="W291" s="18"/>
      <c r="X291" s="46"/>
      <c r="Y291" s="46"/>
      <c r="Z291" s="46"/>
      <c r="AA291" s="7"/>
      <c r="AB291" s="46"/>
      <c r="AC291" s="46"/>
      <c r="AD291" s="47"/>
      <c r="AE291" s="47"/>
      <c r="AF291" s="7"/>
      <c r="AG291" s="7"/>
      <c r="AH291" s="47"/>
      <c r="AI291" s="47"/>
      <c r="AJ291" s="18"/>
      <c r="AK291" s="26"/>
      <c r="AL291" s="34"/>
      <c r="AM291" s="34"/>
      <c r="AN291" s="18"/>
      <c r="AO291" s="18"/>
      <c r="AP291" s="18"/>
      <c r="AQ291" s="18"/>
      <c r="AR291" s="64"/>
      <c r="AS291" s="64"/>
    </row>
    <row r="292">
      <c r="A292" s="51"/>
      <c r="B292" s="51"/>
      <c r="C292" s="52"/>
      <c r="D292" s="51"/>
      <c r="E292" s="53"/>
      <c r="F292" s="54"/>
      <c r="G292" s="54"/>
      <c r="H292" s="51"/>
      <c r="I292" s="55"/>
      <c r="J292" s="56"/>
      <c r="K292" s="46"/>
      <c r="L292" s="46"/>
      <c r="M292" s="47"/>
      <c r="N292" s="46"/>
      <c r="O292" s="57"/>
      <c r="P292" s="46"/>
      <c r="Q292" s="46"/>
      <c r="R292" s="57"/>
      <c r="S292" s="7"/>
      <c r="T292" s="54"/>
      <c r="U292" s="58"/>
      <c r="V292" s="47"/>
      <c r="W292" s="18"/>
      <c r="X292" s="46"/>
      <c r="Y292" s="46"/>
      <c r="Z292" s="46"/>
      <c r="AA292" s="7"/>
      <c r="AB292" s="46"/>
      <c r="AC292" s="46"/>
      <c r="AD292" s="47"/>
      <c r="AE292" s="47"/>
      <c r="AF292" s="7"/>
      <c r="AG292" s="7"/>
      <c r="AH292" s="47"/>
      <c r="AI292" s="47"/>
      <c r="AJ292" s="18"/>
      <c r="AK292" s="26"/>
      <c r="AL292" s="34"/>
      <c r="AM292" s="34"/>
      <c r="AN292" s="18"/>
      <c r="AO292" s="18"/>
      <c r="AP292" s="18"/>
      <c r="AQ292" s="18"/>
      <c r="AR292" s="64"/>
      <c r="AS292" s="64"/>
    </row>
    <row r="293">
      <c r="A293" s="51"/>
      <c r="B293" s="51"/>
      <c r="C293" s="52"/>
      <c r="D293" s="51"/>
      <c r="E293" s="53"/>
      <c r="F293" s="54"/>
      <c r="G293" s="54"/>
      <c r="H293" s="51"/>
      <c r="I293" s="55"/>
      <c r="J293" s="56"/>
      <c r="K293" s="46"/>
      <c r="L293" s="46"/>
      <c r="M293" s="47"/>
      <c r="N293" s="46"/>
      <c r="O293" s="57"/>
      <c r="P293" s="46"/>
      <c r="Q293" s="46"/>
      <c r="R293" s="57"/>
      <c r="S293" s="7"/>
      <c r="T293" s="54"/>
      <c r="U293" s="58"/>
      <c r="V293" s="47"/>
      <c r="W293" s="18"/>
      <c r="X293" s="46"/>
      <c r="Y293" s="46"/>
      <c r="Z293" s="46"/>
      <c r="AA293" s="7"/>
      <c r="AB293" s="46"/>
      <c r="AC293" s="46"/>
      <c r="AD293" s="47"/>
      <c r="AE293" s="47"/>
      <c r="AF293" s="7"/>
      <c r="AG293" s="7"/>
      <c r="AH293" s="47"/>
      <c r="AI293" s="47"/>
      <c r="AJ293" s="18"/>
      <c r="AK293" s="26"/>
      <c r="AL293" s="34"/>
      <c r="AM293" s="34"/>
      <c r="AN293" s="18"/>
      <c r="AO293" s="18"/>
      <c r="AP293" s="18"/>
      <c r="AQ293" s="18"/>
      <c r="AR293" s="47"/>
      <c r="AS293" s="47"/>
    </row>
    <row r="294">
      <c r="A294" s="51"/>
      <c r="B294" s="51"/>
      <c r="C294" s="52"/>
      <c r="D294" s="51"/>
      <c r="E294" s="53"/>
      <c r="F294" s="54"/>
      <c r="G294" s="54"/>
      <c r="H294" s="51"/>
      <c r="I294" s="55"/>
      <c r="J294" s="56"/>
      <c r="K294" s="46"/>
      <c r="L294" s="46"/>
      <c r="M294" s="47"/>
      <c r="N294" s="46"/>
      <c r="O294" s="57"/>
      <c r="P294" s="46"/>
      <c r="Q294" s="46"/>
      <c r="R294" s="57"/>
      <c r="S294" s="7"/>
      <c r="T294" s="54"/>
      <c r="U294" s="58"/>
      <c r="V294" s="47"/>
      <c r="W294" s="18"/>
      <c r="X294" s="46"/>
      <c r="Y294" s="46"/>
      <c r="Z294" s="46"/>
      <c r="AA294" s="7"/>
      <c r="AB294" s="46"/>
      <c r="AC294" s="46"/>
      <c r="AD294" s="47"/>
      <c r="AE294" s="47"/>
      <c r="AF294" s="7"/>
      <c r="AG294" s="7"/>
      <c r="AH294" s="47"/>
      <c r="AI294" s="47"/>
      <c r="AJ294" s="18"/>
      <c r="AK294" s="26"/>
      <c r="AL294" s="34"/>
      <c r="AM294" s="34"/>
      <c r="AN294" s="18"/>
      <c r="AO294" s="18"/>
      <c r="AP294" s="18"/>
      <c r="AQ294" s="18"/>
      <c r="AR294" s="47"/>
      <c r="AS294" s="47"/>
    </row>
    <row r="295">
      <c r="A295" s="51"/>
      <c r="B295" s="51"/>
      <c r="C295" s="52"/>
      <c r="D295" s="51"/>
      <c r="E295" s="53"/>
      <c r="F295" s="54"/>
      <c r="G295" s="54"/>
      <c r="H295" s="51"/>
      <c r="I295" s="55"/>
      <c r="J295" s="56"/>
      <c r="K295" s="46"/>
      <c r="L295" s="46"/>
      <c r="M295" s="47"/>
      <c r="N295" s="46"/>
      <c r="O295" s="57"/>
      <c r="P295" s="46"/>
      <c r="Q295" s="46"/>
      <c r="R295" s="57"/>
      <c r="S295" s="7"/>
      <c r="T295" s="54"/>
      <c r="U295" s="58"/>
      <c r="V295" s="47"/>
      <c r="W295" s="18"/>
      <c r="X295" s="46"/>
      <c r="Y295" s="46"/>
      <c r="Z295" s="46"/>
      <c r="AA295" s="7"/>
      <c r="AB295" s="46"/>
      <c r="AC295" s="46"/>
      <c r="AD295" s="47"/>
      <c r="AE295" s="47"/>
      <c r="AF295" s="7"/>
      <c r="AG295" s="7"/>
      <c r="AH295" s="47"/>
      <c r="AI295" s="47"/>
      <c r="AJ295" s="18"/>
      <c r="AK295" s="26"/>
      <c r="AL295" s="34"/>
      <c r="AM295" s="34"/>
      <c r="AN295" s="18"/>
      <c r="AO295" s="18"/>
      <c r="AP295" s="18"/>
      <c r="AQ295" s="18"/>
      <c r="AR295" s="47"/>
      <c r="AS295" s="47"/>
    </row>
    <row r="296">
      <c r="A296" s="51"/>
      <c r="B296" s="51"/>
      <c r="C296" s="52"/>
      <c r="D296" s="51"/>
      <c r="E296" s="53"/>
      <c r="F296" s="54"/>
      <c r="G296" s="54"/>
      <c r="H296" s="51"/>
      <c r="I296" s="55"/>
      <c r="J296" s="56"/>
      <c r="K296" s="46"/>
      <c r="L296" s="46"/>
      <c r="M296" s="47"/>
      <c r="N296" s="46"/>
      <c r="O296" s="57"/>
      <c r="P296" s="46"/>
      <c r="Q296" s="46"/>
      <c r="R296" s="57"/>
      <c r="S296" s="7"/>
      <c r="T296" s="54"/>
      <c r="U296" s="58"/>
      <c r="V296" s="47"/>
      <c r="W296" s="18"/>
      <c r="X296" s="46"/>
      <c r="Y296" s="46"/>
      <c r="Z296" s="46"/>
      <c r="AA296" s="7"/>
      <c r="AB296" s="46"/>
      <c r="AC296" s="46"/>
      <c r="AD296" s="47"/>
      <c r="AE296" s="47"/>
      <c r="AF296" s="7"/>
      <c r="AG296" s="7"/>
      <c r="AH296" s="47"/>
      <c r="AI296" s="47"/>
      <c r="AJ296" s="18"/>
      <c r="AK296" s="26"/>
      <c r="AL296" s="34"/>
      <c r="AM296" s="34"/>
      <c r="AN296" s="18"/>
      <c r="AO296" s="18"/>
      <c r="AP296" s="18"/>
      <c r="AQ296" s="18"/>
      <c r="AR296" s="47"/>
      <c r="AS296" s="47"/>
    </row>
    <row r="297">
      <c r="A297" s="51"/>
      <c r="B297" s="51"/>
      <c r="C297" s="52"/>
      <c r="D297" s="51"/>
      <c r="E297" s="53"/>
      <c r="F297" s="54"/>
      <c r="G297" s="54"/>
      <c r="H297" s="51"/>
      <c r="I297" s="55"/>
      <c r="J297" s="56"/>
      <c r="K297" s="46"/>
      <c r="L297" s="46"/>
      <c r="M297" s="47"/>
      <c r="N297" s="46"/>
      <c r="O297" s="57"/>
      <c r="P297" s="46"/>
      <c r="Q297" s="46"/>
      <c r="R297" s="57"/>
      <c r="S297" s="7"/>
      <c r="T297" s="54"/>
      <c r="U297" s="58"/>
      <c r="V297" s="47"/>
      <c r="W297" s="18"/>
      <c r="X297" s="46"/>
      <c r="Y297" s="46"/>
      <c r="Z297" s="46"/>
      <c r="AA297" s="7"/>
      <c r="AB297" s="46"/>
      <c r="AC297" s="46"/>
      <c r="AD297" s="47"/>
      <c r="AE297" s="47"/>
      <c r="AF297" s="7"/>
      <c r="AG297" s="7"/>
      <c r="AH297" s="47"/>
      <c r="AI297" s="47"/>
      <c r="AJ297" s="18"/>
      <c r="AK297" s="26"/>
      <c r="AL297" s="34"/>
      <c r="AM297" s="34"/>
      <c r="AN297" s="18"/>
      <c r="AO297" s="18"/>
      <c r="AP297" s="18"/>
      <c r="AQ297" s="18"/>
      <c r="AR297" s="47"/>
      <c r="AS297" s="47"/>
    </row>
    <row r="298">
      <c r="A298" s="51"/>
      <c r="B298" s="51"/>
      <c r="C298" s="52"/>
      <c r="D298" s="51"/>
      <c r="E298" s="53"/>
      <c r="F298" s="54"/>
      <c r="G298" s="54"/>
      <c r="H298" s="51"/>
      <c r="I298" s="55"/>
      <c r="J298" s="56"/>
      <c r="K298" s="46"/>
      <c r="L298" s="46"/>
      <c r="M298" s="47"/>
      <c r="N298" s="46"/>
      <c r="O298" s="57"/>
      <c r="P298" s="46"/>
      <c r="Q298" s="46"/>
      <c r="R298" s="57"/>
      <c r="S298" s="7"/>
      <c r="T298" s="54"/>
      <c r="U298" s="58"/>
      <c r="V298" s="47"/>
      <c r="W298" s="18"/>
      <c r="X298" s="46"/>
      <c r="Y298" s="46"/>
      <c r="Z298" s="46"/>
      <c r="AA298" s="7"/>
      <c r="AB298" s="46"/>
      <c r="AC298" s="46"/>
      <c r="AD298" s="47"/>
      <c r="AE298" s="47"/>
      <c r="AF298" s="7"/>
      <c r="AG298" s="7"/>
      <c r="AH298" s="47"/>
      <c r="AI298" s="47"/>
      <c r="AJ298" s="18"/>
      <c r="AK298" s="26"/>
      <c r="AL298" s="34"/>
      <c r="AM298" s="34"/>
      <c r="AN298" s="18"/>
      <c r="AO298" s="18"/>
      <c r="AP298" s="18"/>
      <c r="AQ298" s="18"/>
      <c r="AR298" s="47"/>
      <c r="AS298" s="47"/>
    </row>
    <row r="299">
      <c r="A299" s="51"/>
      <c r="B299" s="51"/>
      <c r="C299" s="52"/>
      <c r="D299" s="51"/>
      <c r="E299" s="53"/>
      <c r="F299" s="54"/>
      <c r="G299" s="54"/>
      <c r="H299" s="51"/>
      <c r="I299" s="55"/>
      <c r="J299" s="56"/>
      <c r="K299" s="46"/>
      <c r="L299" s="46"/>
      <c r="M299" s="47"/>
      <c r="N299" s="46"/>
      <c r="O299" s="57"/>
      <c r="P299" s="46"/>
      <c r="Q299" s="46"/>
      <c r="R299" s="57"/>
      <c r="S299" s="7"/>
      <c r="T299" s="54"/>
      <c r="U299" s="58"/>
      <c r="V299" s="47"/>
      <c r="W299" s="18"/>
      <c r="X299" s="46"/>
      <c r="Y299" s="46"/>
      <c r="Z299" s="46"/>
      <c r="AA299" s="7"/>
      <c r="AB299" s="46"/>
      <c r="AC299" s="46"/>
      <c r="AD299" s="47"/>
      <c r="AE299" s="47"/>
      <c r="AF299" s="7"/>
      <c r="AG299" s="7"/>
      <c r="AH299" s="47"/>
      <c r="AI299" s="47"/>
      <c r="AJ299" s="18"/>
      <c r="AK299" s="26"/>
      <c r="AL299" s="34"/>
      <c r="AM299" s="34"/>
      <c r="AN299" s="18"/>
      <c r="AO299" s="18"/>
      <c r="AP299" s="18"/>
      <c r="AQ299" s="18"/>
      <c r="AR299" s="47"/>
      <c r="AS299" s="47"/>
    </row>
    <row r="300">
      <c r="A300" s="51"/>
      <c r="B300" s="51"/>
      <c r="C300" s="52"/>
      <c r="D300" s="51"/>
      <c r="E300" s="53"/>
      <c r="F300" s="54"/>
      <c r="G300" s="54"/>
      <c r="H300" s="51"/>
      <c r="I300" s="55"/>
      <c r="J300" s="56"/>
      <c r="K300" s="46"/>
      <c r="L300" s="46"/>
      <c r="M300" s="47"/>
      <c r="N300" s="46"/>
      <c r="O300" s="57"/>
      <c r="P300" s="46"/>
      <c r="Q300" s="46"/>
      <c r="R300" s="57"/>
      <c r="S300" s="7"/>
      <c r="T300" s="54"/>
      <c r="U300" s="58"/>
      <c r="V300" s="47"/>
      <c r="W300" s="18"/>
      <c r="X300" s="46"/>
      <c r="Y300" s="46"/>
      <c r="Z300" s="46"/>
      <c r="AA300" s="7"/>
      <c r="AB300" s="46"/>
      <c r="AC300" s="46"/>
      <c r="AD300" s="47"/>
      <c r="AE300" s="47"/>
      <c r="AF300" s="7"/>
      <c r="AG300" s="7"/>
      <c r="AH300" s="47"/>
      <c r="AI300" s="47"/>
      <c r="AJ300" s="18"/>
      <c r="AK300" s="26"/>
      <c r="AL300" s="34"/>
      <c r="AM300" s="34"/>
      <c r="AN300" s="18"/>
      <c r="AO300" s="18"/>
      <c r="AP300" s="18"/>
      <c r="AQ300" s="18"/>
      <c r="AR300" s="47"/>
      <c r="AS300" s="47"/>
    </row>
    <row r="301">
      <c r="A301" s="51"/>
      <c r="B301" s="51"/>
      <c r="C301" s="52"/>
      <c r="D301" s="51"/>
      <c r="E301" s="53"/>
      <c r="F301" s="54"/>
      <c r="G301" s="54"/>
      <c r="H301" s="51"/>
      <c r="I301" s="55"/>
      <c r="J301" s="56"/>
      <c r="K301" s="46"/>
      <c r="L301" s="46"/>
      <c r="M301" s="47"/>
      <c r="N301" s="46"/>
      <c r="O301" s="57"/>
      <c r="P301" s="46"/>
      <c r="Q301" s="46"/>
      <c r="R301" s="57"/>
      <c r="S301" s="7"/>
      <c r="T301" s="54"/>
      <c r="U301" s="58"/>
      <c r="V301" s="47"/>
      <c r="W301" s="18"/>
      <c r="X301" s="46"/>
      <c r="Y301" s="46"/>
      <c r="Z301" s="46"/>
      <c r="AA301" s="7"/>
      <c r="AB301" s="46"/>
      <c r="AC301" s="46"/>
      <c r="AD301" s="47"/>
      <c r="AE301" s="47"/>
      <c r="AF301" s="7"/>
      <c r="AG301" s="7"/>
      <c r="AH301" s="47"/>
      <c r="AI301" s="47"/>
      <c r="AJ301" s="18"/>
      <c r="AK301" s="26"/>
      <c r="AL301" s="34"/>
      <c r="AM301" s="34"/>
      <c r="AN301" s="18"/>
      <c r="AO301" s="18"/>
      <c r="AP301" s="18"/>
      <c r="AQ301" s="18"/>
      <c r="AR301" s="47"/>
      <c r="AS301" s="47"/>
    </row>
    <row r="302">
      <c r="A302" s="51"/>
      <c r="B302" s="51"/>
      <c r="C302" s="52"/>
      <c r="D302" s="51"/>
      <c r="E302" s="53"/>
      <c r="F302" s="54"/>
      <c r="G302" s="54"/>
      <c r="H302" s="51"/>
      <c r="I302" s="55"/>
      <c r="J302" s="56"/>
      <c r="K302" s="46"/>
      <c r="L302" s="46"/>
      <c r="M302" s="47"/>
      <c r="N302" s="46"/>
      <c r="O302" s="57"/>
      <c r="P302" s="46"/>
      <c r="Q302" s="46"/>
      <c r="R302" s="57"/>
      <c r="S302" s="7"/>
      <c r="T302" s="54"/>
      <c r="U302" s="58"/>
      <c r="V302" s="47"/>
      <c r="W302" s="18"/>
      <c r="X302" s="46"/>
      <c r="Y302" s="46"/>
      <c r="Z302" s="46"/>
      <c r="AA302" s="7"/>
      <c r="AB302" s="46"/>
      <c r="AC302" s="46"/>
      <c r="AD302" s="47"/>
      <c r="AE302" s="47"/>
      <c r="AF302" s="7"/>
      <c r="AG302" s="7"/>
      <c r="AH302" s="47"/>
      <c r="AI302" s="47"/>
      <c r="AJ302" s="18"/>
      <c r="AK302" s="26"/>
      <c r="AL302" s="34"/>
      <c r="AM302" s="34"/>
      <c r="AN302" s="18"/>
      <c r="AO302" s="18"/>
      <c r="AP302" s="18"/>
      <c r="AQ302" s="18"/>
      <c r="AR302" s="47"/>
      <c r="AS302" s="47"/>
    </row>
    <row r="303">
      <c r="A303" s="51"/>
      <c r="B303" s="51"/>
      <c r="C303" s="52"/>
      <c r="D303" s="51"/>
      <c r="E303" s="53"/>
      <c r="F303" s="54"/>
      <c r="G303" s="54"/>
      <c r="H303" s="51"/>
      <c r="I303" s="55"/>
      <c r="J303" s="56"/>
      <c r="K303" s="46"/>
      <c r="L303" s="46"/>
      <c r="M303" s="47"/>
      <c r="N303" s="46"/>
      <c r="O303" s="57"/>
      <c r="P303" s="46"/>
      <c r="Q303" s="46"/>
      <c r="R303" s="57"/>
      <c r="S303" s="7"/>
      <c r="T303" s="54"/>
      <c r="U303" s="58"/>
      <c r="V303" s="47"/>
      <c r="W303" s="18"/>
      <c r="X303" s="46"/>
      <c r="Y303" s="46"/>
      <c r="Z303" s="46"/>
      <c r="AA303" s="7"/>
      <c r="AB303" s="46"/>
      <c r="AC303" s="46"/>
      <c r="AD303" s="47"/>
      <c r="AE303" s="47"/>
      <c r="AF303" s="7"/>
      <c r="AG303" s="7"/>
      <c r="AH303" s="47"/>
      <c r="AI303" s="47"/>
      <c r="AJ303" s="18"/>
      <c r="AK303" s="26"/>
      <c r="AL303" s="34"/>
      <c r="AM303" s="34"/>
      <c r="AN303" s="18"/>
      <c r="AO303" s="18"/>
      <c r="AP303" s="18"/>
      <c r="AQ303" s="18"/>
      <c r="AR303" s="47"/>
      <c r="AS303" s="47"/>
    </row>
    <row r="304">
      <c r="A304" s="51"/>
      <c r="B304" s="51"/>
      <c r="C304" s="52"/>
      <c r="D304" s="51"/>
      <c r="E304" s="53"/>
      <c r="F304" s="54"/>
      <c r="G304" s="54"/>
      <c r="H304" s="51"/>
      <c r="I304" s="55"/>
      <c r="J304" s="56"/>
      <c r="K304" s="46"/>
      <c r="L304" s="46"/>
      <c r="M304" s="47"/>
      <c r="N304" s="46"/>
      <c r="O304" s="57"/>
      <c r="P304" s="46"/>
      <c r="Q304" s="46"/>
      <c r="R304" s="57"/>
      <c r="S304" s="7"/>
      <c r="T304" s="54"/>
      <c r="U304" s="58"/>
      <c r="V304" s="47"/>
      <c r="W304" s="18"/>
      <c r="X304" s="46"/>
      <c r="Y304" s="46"/>
      <c r="Z304" s="46"/>
      <c r="AA304" s="7"/>
      <c r="AB304" s="46"/>
      <c r="AC304" s="46"/>
      <c r="AD304" s="47"/>
      <c r="AE304" s="47"/>
      <c r="AF304" s="7"/>
      <c r="AG304" s="7"/>
      <c r="AH304" s="47"/>
      <c r="AI304" s="47"/>
      <c r="AJ304" s="18"/>
      <c r="AK304" s="26"/>
      <c r="AL304" s="34"/>
      <c r="AM304" s="34"/>
      <c r="AN304" s="18"/>
      <c r="AO304" s="18"/>
      <c r="AP304" s="18"/>
      <c r="AQ304" s="18"/>
      <c r="AR304" s="47"/>
      <c r="AS304" s="47"/>
    </row>
    <row r="305">
      <c r="A305" s="51"/>
      <c r="B305" s="51"/>
      <c r="C305" s="52"/>
      <c r="D305" s="51"/>
      <c r="E305" s="53"/>
      <c r="F305" s="54"/>
      <c r="G305" s="54"/>
      <c r="H305" s="51"/>
      <c r="I305" s="55"/>
      <c r="J305" s="56"/>
      <c r="K305" s="46"/>
      <c r="L305" s="46"/>
      <c r="M305" s="47"/>
      <c r="N305" s="46"/>
      <c r="O305" s="57"/>
      <c r="P305" s="46"/>
      <c r="Q305" s="46"/>
      <c r="R305" s="57"/>
      <c r="S305" s="7"/>
      <c r="T305" s="54"/>
      <c r="U305" s="58"/>
      <c r="V305" s="47"/>
      <c r="W305" s="18"/>
      <c r="X305" s="46"/>
      <c r="Y305" s="46"/>
      <c r="Z305" s="46"/>
      <c r="AA305" s="7"/>
      <c r="AB305" s="46"/>
      <c r="AC305" s="46"/>
      <c r="AD305" s="47"/>
      <c r="AE305" s="47"/>
      <c r="AF305" s="7"/>
      <c r="AG305" s="7"/>
      <c r="AH305" s="47"/>
      <c r="AI305" s="47"/>
      <c r="AJ305" s="18"/>
      <c r="AK305" s="26"/>
      <c r="AL305" s="34"/>
      <c r="AM305" s="34"/>
      <c r="AN305" s="18"/>
      <c r="AO305" s="18"/>
      <c r="AP305" s="18"/>
      <c r="AQ305" s="18"/>
      <c r="AR305" s="47"/>
      <c r="AS305" s="47"/>
    </row>
    <row r="306">
      <c r="A306" s="51"/>
      <c r="B306" s="51"/>
      <c r="C306" s="52"/>
      <c r="D306" s="51"/>
      <c r="E306" s="53"/>
      <c r="F306" s="54"/>
      <c r="G306" s="54"/>
      <c r="H306" s="51"/>
      <c r="I306" s="55"/>
      <c r="J306" s="56"/>
      <c r="K306" s="46"/>
      <c r="L306" s="46"/>
      <c r="M306" s="47"/>
      <c r="N306" s="46"/>
      <c r="O306" s="57"/>
      <c r="P306" s="46"/>
      <c r="Q306" s="46"/>
      <c r="R306" s="57"/>
      <c r="S306" s="7"/>
      <c r="T306" s="54"/>
      <c r="U306" s="58"/>
      <c r="V306" s="47"/>
      <c r="W306" s="18"/>
      <c r="X306" s="46"/>
      <c r="Y306" s="46"/>
      <c r="Z306" s="46"/>
      <c r="AA306" s="7"/>
      <c r="AB306" s="46"/>
      <c r="AC306" s="46"/>
      <c r="AD306" s="47"/>
      <c r="AE306" s="47"/>
      <c r="AF306" s="7"/>
      <c r="AG306" s="7"/>
      <c r="AH306" s="47"/>
      <c r="AI306" s="47"/>
      <c r="AJ306" s="18"/>
      <c r="AK306" s="26"/>
      <c r="AL306" s="34"/>
      <c r="AM306" s="34"/>
      <c r="AN306" s="18"/>
      <c r="AO306" s="18"/>
      <c r="AP306" s="18"/>
      <c r="AQ306" s="18"/>
      <c r="AR306" s="47"/>
      <c r="AS306" s="47"/>
    </row>
    <row r="307">
      <c r="A307" s="51"/>
      <c r="B307" s="51"/>
      <c r="C307" s="52"/>
      <c r="D307" s="51"/>
      <c r="E307" s="53"/>
      <c r="F307" s="54"/>
      <c r="G307" s="54"/>
      <c r="H307" s="51"/>
      <c r="I307" s="55"/>
      <c r="J307" s="56"/>
      <c r="K307" s="46"/>
      <c r="L307" s="46"/>
      <c r="M307" s="47"/>
      <c r="N307" s="46"/>
      <c r="O307" s="57"/>
      <c r="P307" s="46"/>
      <c r="Q307" s="46"/>
      <c r="R307" s="57"/>
      <c r="S307" s="7"/>
      <c r="T307" s="54"/>
      <c r="U307" s="58"/>
      <c r="V307" s="47"/>
      <c r="W307" s="18"/>
      <c r="X307" s="46"/>
      <c r="Y307" s="46"/>
      <c r="Z307" s="46"/>
      <c r="AA307" s="7"/>
      <c r="AB307" s="46"/>
      <c r="AC307" s="46"/>
      <c r="AD307" s="47"/>
      <c r="AE307" s="47"/>
      <c r="AF307" s="7"/>
      <c r="AG307" s="7"/>
      <c r="AH307" s="47"/>
      <c r="AI307" s="47"/>
      <c r="AJ307" s="18"/>
      <c r="AK307" s="26"/>
      <c r="AL307" s="34"/>
      <c r="AM307" s="34"/>
      <c r="AN307" s="18"/>
      <c r="AO307" s="18"/>
      <c r="AP307" s="18"/>
      <c r="AQ307" s="18"/>
      <c r="AR307" s="47"/>
      <c r="AS307" s="47"/>
    </row>
    <row r="308">
      <c r="A308" s="51"/>
      <c r="B308" s="51"/>
      <c r="C308" s="52"/>
      <c r="D308" s="51"/>
      <c r="E308" s="53"/>
      <c r="F308" s="54"/>
      <c r="G308" s="54"/>
      <c r="H308" s="51"/>
      <c r="I308" s="55"/>
      <c r="J308" s="56"/>
      <c r="K308" s="46"/>
      <c r="L308" s="46"/>
      <c r="M308" s="47"/>
      <c r="N308" s="46"/>
      <c r="O308" s="57"/>
      <c r="P308" s="46"/>
      <c r="Q308" s="46"/>
      <c r="R308" s="57"/>
      <c r="S308" s="7"/>
      <c r="T308" s="54"/>
      <c r="U308" s="58"/>
      <c r="V308" s="47"/>
      <c r="W308" s="18"/>
      <c r="X308" s="46"/>
      <c r="Y308" s="46"/>
      <c r="Z308" s="46"/>
      <c r="AA308" s="7"/>
      <c r="AB308" s="46"/>
      <c r="AC308" s="46"/>
      <c r="AD308" s="47"/>
      <c r="AE308" s="47"/>
      <c r="AF308" s="7"/>
      <c r="AG308" s="7"/>
      <c r="AH308" s="47"/>
      <c r="AI308" s="47"/>
      <c r="AJ308" s="18"/>
      <c r="AK308" s="26"/>
      <c r="AL308" s="34"/>
      <c r="AM308" s="34"/>
      <c r="AN308" s="18"/>
      <c r="AO308" s="18"/>
      <c r="AP308" s="18"/>
      <c r="AQ308" s="18"/>
      <c r="AR308" s="47"/>
      <c r="AS308" s="47"/>
    </row>
    <row r="309">
      <c r="A309" s="51"/>
      <c r="B309" s="51"/>
      <c r="C309" s="52"/>
      <c r="D309" s="51"/>
      <c r="E309" s="53"/>
      <c r="F309" s="54"/>
      <c r="G309" s="54"/>
      <c r="H309" s="51"/>
      <c r="I309" s="55"/>
      <c r="J309" s="56"/>
      <c r="K309" s="46"/>
      <c r="L309" s="46"/>
      <c r="M309" s="47"/>
      <c r="N309" s="46"/>
      <c r="O309" s="57"/>
      <c r="P309" s="46"/>
      <c r="Q309" s="46"/>
      <c r="R309" s="57"/>
      <c r="S309" s="7"/>
      <c r="T309" s="54"/>
      <c r="U309" s="58"/>
      <c r="V309" s="47"/>
      <c r="W309" s="18"/>
      <c r="X309" s="46"/>
      <c r="Y309" s="46"/>
      <c r="Z309" s="46"/>
      <c r="AA309" s="7"/>
      <c r="AB309" s="46"/>
      <c r="AC309" s="46"/>
      <c r="AD309" s="47"/>
      <c r="AE309" s="47"/>
      <c r="AF309" s="7"/>
      <c r="AG309" s="7"/>
      <c r="AH309" s="47"/>
      <c r="AI309" s="47"/>
      <c r="AJ309" s="18"/>
      <c r="AK309" s="26"/>
      <c r="AL309" s="34"/>
      <c r="AM309" s="34"/>
      <c r="AN309" s="18"/>
      <c r="AO309" s="18"/>
      <c r="AP309" s="18"/>
      <c r="AQ309" s="18"/>
      <c r="AR309" s="47"/>
      <c r="AS309" s="47"/>
    </row>
    <row r="310">
      <c r="A310" s="51"/>
      <c r="B310" s="51"/>
      <c r="C310" s="52"/>
      <c r="D310" s="51"/>
      <c r="E310" s="53"/>
      <c r="F310" s="54"/>
      <c r="G310" s="54"/>
      <c r="H310" s="51"/>
      <c r="I310" s="55"/>
      <c r="J310" s="56"/>
      <c r="K310" s="46"/>
      <c r="L310" s="46"/>
      <c r="M310" s="47"/>
      <c r="N310" s="46"/>
      <c r="O310" s="57"/>
      <c r="P310" s="46"/>
      <c r="Q310" s="46"/>
      <c r="R310" s="57"/>
      <c r="S310" s="7"/>
      <c r="T310" s="54"/>
      <c r="U310" s="58"/>
      <c r="V310" s="47"/>
      <c r="W310" s="18"/>
      <c r="X310" s="46"/>
      <c r="Y310" s="46"/>
      <c r="Z310" s="46"/>
      <c r="AA310" s="7"/>
      <c r="AB310" s="46"/>
      <c r="AC310" s="46"/>
      <c r="AD310" s="47"/>
      <c r="AE310" s="47"/>
      <c r="AF310" s="7"/>
      <c r="AG310" s="7"/>
      <c r="AH310" s="47"/>
      <c r="AI310" s="47"/>
      <c r="AJ310" s="18"/>
      <c r="AK310" s="26"/>
      <c r="AL310" s="34"/>
      <c r="AM310" s="34"/>
      <c r="AN310" s="18"/>
      <c r="AO310" s="18"/>
      <c r="AP310" s="18"/>
      <c r="AQ310" s="18"/>
      <c r="AR310" s="47"/>
      <c r="AS310" s="47"/>
    </row>
    <row r="311">
      <c r="A311" s="51"/>
      <c r="B311" s="51"/>
      <c r="C311" s="52"/>
      <c r="D311" s="51"/>
      <c r="E311" s="53"/>
      <c r="F311" s="54"/>
      <c r="G311" s="54"/>
      <c r="H311" s="51"/>
      <c r="I311" s="55"/>
      <c r="J311" s="56"/>
      <c r="K311" s="46"/>
      <c r="L311" s="46"/>
      <c r="M311" s="47"/>
      <c r="N311" s="46"/>
      <c r="O311" s="57"/>
      <c r="P311" s="46"/>
      <c r="Q311" s="46"/>
      <c r="R311" s="57"/>
      <c r="S311" s="7"/>
      <c r="T311" s="54"/>
      <c r="U311" s="58"/>
      <c r="V311" s="47"/>
      <c r="W311" s="18"/>
      <c r="X311" s="46"/>
      <c r="Y311" s="46"/>
      <c r="Z311" s="46"/>
      <c r="AA311" s="7"/>
      <c r="AB311" s="46"/>
      <c r="AC311" s="46"/>
      <c r="AD311" s="47"/>
      <c r="AE311" s="47"/>
      <c r="AF311" s="7"/>
      <c r="AG311" s="7"/>
      <c r="AH311" s="47"/>
      <c r="AI311" s="47"/>
      <c r="AJ311" s="18"/>
      <c r="AK311" s="26"/>
      <c r="AL311" s="34"/>
      <c r="AM311" s="34"/>
      <c r="AN311" s="18"/>
      <c r="AO311" s="18"/>
      <c r="AP311" s="18"/>
      <c r="AQ311" s="18"/>
      <c r="AR311" s="47"/>
      <c r="AS311" s="47"/>
    </row>
    <row r="312">
      <c r="A312" s="51"/>
      <c r="B312" s="51"/>
      <c r="C312" s="52"/>
      <c r="D312" s="51"/>
      <c r="E312" s="53"/>
      <c r="F312" s="54"/>
      <c r="G312" s="54"/>
      <c r="H312" s="51"/>
      <c r="I312" s="55"/>
      <c r="J312" s="56"/>
      <c r="K312" s="46"/>
      <c r="L312" s="46"/>
      <c r="M312" s="47"/>
      <c r="N312" s="46"/>
      <c r="O312" s="57"/>
      <c r="P312" s="46"/>
      <c r="Q312" s="46"/>
      <c r="R312" s="57"/>
      <c r="S312" s="7"/>
      <c r="T312" s="54"/>
      <c r="U312" s="58"/>
      <c r="V312" s="47"/>
      <c r="W312" s="18"/>
      <c r="X312" s="46"/>
      <c r="Y312" s="46"/>
      <c r="Z312" s="46"/>
      <c r="AA312" s="7"/>
      <c r="AB312" s="46"/>
      <c r="AC312" s="46"/>
      <c r="AD312" s="47"/>
      <c r="AE312" s="47"/>
      <c r="AF312" s="7"/>
      <c r="AG312" s="7"/>
      <c r="AH312" s="47"/>
      <c r="AI312" s="47"/>
      <c r="AJ312" s="18"/>
      <c r="AK312" s="26"/>
      <c r="AL312" s="34"/>
      <c r="AM312" s="34"/>
      <c r="AN312" s="18"/>
      <c r="AO312" s="18"/>
      <c r="AP312" s="18"/>
      <c r="AQ312" s="18"/>
      <c r="AR312" s="47"/>
      <c r="AS312" s="47"/>
    </row>
    <row r="313">
      <c r="A313" s="51"/>
      <c r="B313" s="51"/>
      <c r="C313" s="52"/>
      <c r="D313" s="51"/>
      <c r="E313" s="53"/>
      <c r="F313" s="54"/>
      <c r="G313" s="54"/>
      <c r="H313" s="51"/>
      <c r="I313" s="55"/>
      <c r="J313" s="56"/>
      <c r="K313" s="46"/>
      <c r="L313" s="46"/>
      <c r="M313" s="47"/>
      <c r="N313" s="46"/>
      <c r="O313" s="57"/>
      <c r="P313" s="46"/>
      <c r="Q313" s="46"/>
      <c r="R313" s="57"/>
      <c r="S313" s="7"/>
      <c r="T313" s="54"/>
      <c r="U313" s="58"/>
      <c r="V313" s="47"/>
      <c r="W313" s="18"/>
      <c r="X313" s="46"/>
      <c r="Y313" s="46"/>
      <c r="Z313" s="46"/>
      <c r="AA313" s="7"/>
      <c r="AB313" s="46"/>
      <c r="AC313" s="46"/>
      <c r="AD313" s="47"/>
      <c r="AE313" s="47"/>
      <c r="AF313" s="7"/>
      <c r="AG313" s="7"/>
      <c r="AH313" s="47"/>
      <c r="AI313" s="47"/>
      <c r="AJ313" s="18"/>
      <c r="AK313" s="26"/>
      <c r="AL313" s="34"/>
      <c r="AM313" s="34"/>
      <c r="AN313" s="18"/>
      <c r="AO313" s="18"/>
      <c r="AP313" s="18"/>
      <c r="AQ313" s="18"/>
      <c r="AR313" s="47"/>
      <c r="AS313" s="47"/>
    </row>
    <row r="314">
      <c r="A314" s="51"/>
      <c r="B314" s="51"/>
      <c r="C314" s="52"/>
      <c r="D314" s="51"/>
      <c r="E314" s="53"/>
      <c r="F314" s="54"/>
      <c r="G314" s="54"/>
      <c r="H314" s="51"/>
      <c r="I314" s="55"/>
      <c r="J314" s="56"/>
      <c r="K314" s="46"/>
      <c r="L314" s="46"/>
      <c r="M314" s="47"/>
      <c r="N314" s="46"/>
      <c r="O314" s="57"/>
      <c r="P314" s="46"/>
      <c r="Q314" s="46"/>
      <c r="R314" s="57"/>
      <c r="S314" s="7"/>
      <c r="T314" s="54"/>
      <c r="U314" s="58"/>
      <c r="V314" s="47"/>
      <c r="W314" s="18"/>
      <c r="X314" s="46"/>
      <c r="Y314" s="46"/>
      <c r="Z314" s="46"/>
      <c r="AA314" s="7"/>
      <c r="AB314" s="46"/>
      <c r="AC314" s="46"/>
      <c r="AD314" s="47"/>
      <c r="AE314" s="47"/>
      <c r="AF314" s="7"/>
      <c r="AG314" s="7"/>
      <c r="AH314" s="47"/>
      <c r="AI314" s="47"/>
      <c r="AJ314" s="18"/>
      <c r="AK314" s="26"/>
      <c r="AL314" s="34"/>
      <c r="AM314" s="34"/>
      <c r="AN314" s="18"/>
      <c r="AO314" s="18"/>
      <c r="AP314" s="18"/>
      <c r="AQ314" s="18"/>
      <c r="AR314" s="47"/>
      <c r="AS314" s="47"/>
    </row>
    <row r="315">
      <c r="A315" s="51"/>
      <c r="B315" s="51"/>
      <c r="C315" s="52"/>
      <c r="D315" s="51"/>
      <c r="E315" s="53"/>
      <c r="F315" s="54"/>
      <c r="G315" s="54"/>
      <c r="H315" s="51"/>
      <c r="I315" s="55"/>
      <c r="J315" s="56"/>
      <c r="K315" s="46"/>
      <c r="L315" s="46"/>
      <c r="M315" s="47"/>
      <c r="N315" s="46"/>
      <c r="O315" s="57"/>
      <c r="P315" s="46"/>
      <c r="Q315" s="46"/>
      <c r="R315" s="57"/>
      <c r="S315" s="7"/>
      <c r="T315" s="54"/>
      <c r="U315" s="58"/>
      <c r="V315" s="47"/>
      <c r="W315" s="18"/>
      <c r="X315" s="46"/>
      <c r="Y315" s="46"/>
      <c r="Z315" s="46"/>
      <c r="AA315" s="7"/>
      <c r="AB315" s="46"/>
      <c r="AC315" s="46"/>
      <c r="AD315" s="47"/>
      <c r="AE315" s="47"/>
      <c r="AF315" s="7"/>
      <c r="AG315" s="7"/>
      <c r="AH315" s="47"/>
      <c r="AI315" s="47"/>
      <c r="AJ315" s="18"/>
      <c r="AK315" s="26"/>
      <c r="AL315" s="34"/>
      <c r="AM315" s="34"/>
      <c r="AN315" s="18"/>
      <c r="AO315" s="18"/>
      <c r="AP315" s="18"/>
      <c r="AQ315" s="18"/>
      <c r="AR315" s="47"/>
      <c r="AS315" s="47"/>
    </row>
    <row r="316">
      <c r="A316" s="51"/>
      <c r="B316" s="51"/>
      <c r="C316" s="52"/>
      <c r="D316" s="51"/>
      <c r="E316" s="53"/>
      <c r="F316" s="54"/>
      <c r="G316" s="54"/>
      <c r="H316" s="51"/>
      <c r="I316" s="55"/>
      <c r="J316" s="56"/>
      <c r="K316" s="46"/>
      <c r="L316" s="46"/>
      <c r="M316" s="47"/>
      <c r="N316" s="46"/>
      <c r="O316" s="57"/>
      <c r="P316" s="46"/>
      <c r="Q316" s="46"/>
      <c r="R316" s="57"/>
      <c r="S316" s="7"/>
      <c r="T316" s="54"/>
      <c r="U316" s="58"/>
      <c r="V316" s="47"/>
      <c r="W316" s="18"/>
      <c r="X316" s="46"/>
      <c r="Y316" s="46"/>
      <c r="Z316" s="46"/>
      <c r="AA316" s="7"/>
      <c r="AB316" s="46"/>
      <c r="AC316" s="46"/>
      <c r="AD316" s="47"/>
      <c r="AE316" s="47"/>
      <c r="AF316" s="7"/>
      <c r="AG316" s="7"/>
      <c r="AH316" s="47"/>
      <c r="AI316" s="47"/>
      <c r="AJ316" s="18"/>
      <c r="AK316" s="26"/>
      <c r="AL316" s="34"/>
      <c r="AM316" s="34"/>
      <c r="AN316" s="18"/>
      <c r="AO316" s="18"/>
      <c r="AP316" s="18"/>
      <c r="AQ316" s="18"/>
      <c r="AR316" s="47"/>
      <c r="AS316" s="47"/>
    </row>
    <row r="317">
      <c r="A317" s="51"/>
      <c r="B317" s="51"/>
      <c r="C317" s="52"/>
      <c r="D317" s="51"/>
      <c r="E317" s="53"/>
      <c r="F317" s="54"/>
      <c r="G317" s="54"/>
      <c r="H317" s="51"/>
      <c r="I317" s="55"/>
      <c r="J317" s="56"/>
      <c r="K317" s="46"/>
      <c r="L317" s="46"/>
      <c r="M317" s="47"/>
      <c r="N317" s="46"/>
      <c r="O317" s="57"/>
      <c r="P317" s="46"/>
      <c r="Q317" s="46"/>
      <c r="R317" s="57"/>
      <c r="S317" s="7"/>
      <c r="T317" s="54"/>
      <c r="U317" s="58"/>
      <c r="V317" s="47"/>
      <c r="W317" s="18"/>
      <c r="X317" s="46"/>
      <c r="Y317" s="46"/>
      <c r="Z317" s="46"/>
      <c r="AA317" s="7"/>
      <c r="AB317" s="46"/>
      <c r="AC317" s="46"/>
      <c r="AD317" s="47"/>
      <c r="AE317" s="47"/>
      <c r="AF317" s="7"/>
      <c r="AG317" s="7"/>
      <c r="AH317" s="47"/>
      <c r="AI317" s="47"/>
      <c r="AJ317" s="18"/>
      <c r="AK317" s="26"/>
      <c r="AL317" s="34"/>
      <c r="AM317" s="34"/>
      <c r="AN317" s="18"/>
      <c r="AO317" s="18"/>
      <c r="AP317" s="18"/>
      <c r="AQ317" s="18"/>
      <c r="AR317" s="47"/>
      <c r="AS317" s="47"/>
    </row>
    <row r="318">
      <c r="A318" s="51"/>
      <c r="B318" s="51"/>
      <c r="C318" s="52"/>
      <c r="D318" s="51"/>
      <c r="E318" s="53"/>
      <c r="F318" s="54"/>
      <c r="G318" s="54"/>
      <c r="H318" s="51"/>
      <c r="I318" s="55"/>
      <c r="J318" s="56"/>
      <c r="K318" s="46"/>
      <c r="L318" s="46"/>
      <c r="M318" s="47"/>
      <c r="N318" s="46"/>
      <c r="O318" s="57"/>
      <c r="P318" s="46"/>
      <c r="Q318" s="46"/>
      <c r="R318" s="57"/>
      <c r="S318" s="7"/>
      <c r="T318" s="54"/>
      <c r="U318" s="58"/>
      <c r="V318" s="47"/>
      <c r="W318" s="18"/>
      <c r="X318" s="46"/>
      <c r="Y318" s="46"/>
      <c r="Z318" s="46"/>
      <c r="AA318" s="7"/>
      <c r="AB318" s="46"/>
      <c r="AC318" s="46"/>
      <c r="AD318" s="47"/>
      <c r="AE318" s="47"/>
      <c r="AF318" s="7"/>
      <c r="AG318" s="7"/>
      <c r="AH318" s="47"/>
      <c r="AI318" s="47"/>
      <c r="AJ318" s="18"/>
      <c r="AK318" s="26"/>
      <c r="AL318" s="34"/>
      <c r="AM318" s="34"/>
      <c r="AN318" s="18"/>
      <c r="AO318" s="18"/>
      <c r="AP318" s="18"/>
      <c r="AQ318" s="18"/>
      <c r="AR318" s="47"/>
      <c r="AS318" s="47"/>
    </row>
    <row r="319">
      <c r="A319" s="51"/>
      <c r="B319" s="51"/>
      <c r="C319" s="52"/>
      <c r="D319" s="51"/>
      <c r="E319" s="53"/>
      <c r="F319" s="54"/>
      <c r="G319" s="54"/>
      <c r="H319" s="51"/>
      <c r="I319" s="55"/>
      <c r="J319" s="56"/>
      <c r="K319" s="46"/>
      <c r="L319" s="46"/>
      <c r="M319" s="47"/>
      <c r="N319" s="46"/>
      <c r="O319" s="57"/>
      <c r="P319" s="46"/>
      <c r="Q319" s="46"/>
      <c r="R319" s="57"/>
      <c r="S319" s="7"/>
      <c r="T319" s="54"/>
      <c r="U319" s="58"/>
      <c r="V319" s="47"/>
      <c r="W319" s="18"/>
      <c r="X319" s="46"/>
      <c r="Y319" s="46"/>
      <c r="Z319" s="46"/>
      <c r="AA319" s="7"/>
      <c r="AB319" s="46"/>
      <c r="AC319" s="46"/>
      <c r="AD319" s="47"/>
      <c r="AE319" s="47"/>
      <c r="AF319" s="7"/>
      <c r="AG319" s="7"/>
      <c r="AH319" s="47"/>
      <c r="AI319" s="47"/>
      <c r="AJ319" s="18"/>
      <c r="AK319" s="26"/>
      <c r="AL319" s="34"/>
      <c r="AM319" s="34"/>
      <c r="AN319" s="18"/>
      <c r="AO319" s="18"/>
      <c r="AP319" s="18"/>
      <c r="AQ319" s="18"/>
      <c r="AR319" s="47"/>
      <c r="AS319" s="47"/>
    </row>
    <row r="320">
      <c r="A320" s="51"/>
      <c r="B320" s="51"/>
      <c r="C320" s="52"/>
      <c r="D320" s="51"/>
      <c r="E320" s="53"/>
      <c r="F320" s="54"/>
      <c r="G320" s="54"/>
      <c r="H320" s="51"/>
      <c r="I320" s="55"/>
      <c r="J320" s="56"/>
      <c r="K320" s="46"/>
      <c r="L320" s="46"/>
      <c r="M320" s="47"/>
      <c r="N320" s="46"/>
      <c r="O320" s="57"/>
      <c r="P320" s="46"/>
      <c r="Q320" s="46"/>
      <c r="R320" s="57"/>
      <c r="S320" s="7"/>
      <c r="T320" s="54"/>
      <c r="U320" s="58"/>
      <c r="V320" s="47"/>
      <c r="W320" s="18"/>
      <c r="X320" s="46"/>
      <c r="Y320" s="46"/>
      <c r="Z320" s="46"/>
      <c r="AA320" s="7"/>
      <c r="AB320" s="46"/>
      <c r="AC320" s="46"/>
      <c r="AD320" s="47"/>
      <c r="AE320" s="47"/>
      <c r="AF320" s="7"/>
      <c r="AG320" s="7"/>
      <c r="AH320" s="47"/>
      <c r="AI320" s="47"/>
      <c r="AJ320" s="18"/>
      <c r="AK320" s="26"/>
      <c r="AL320" s="34"/>
      <c r="AM320" s="34"/>
      <c r="AN320" s="18"/>
      <c r="AO320" s="18"/>
      <c r="AP320" s="18"/>
      <c r="AQ320" s="18"/>
      <c r="AR320" s="47"/>
      <c r="AS320" s="47"/>
    </row>
    <row r="321">
      <c r="A321" s="51"/>
      <c r="B321" s="51"/>
      <c r="C321" s="52"/>
      <c r="D321" s="51"/>
      <c r="E321" s="53"/>
      <c r="F321" s="54"/>
      <c r="G321" s="54"/>
      <c r="H321" s="51"/>
      <c r="I321" s="55"/>
      <c r="J321" s="56"/>
      <c r="K321" s="46"/>
      <c r="L321" s="46"/>
      <c r="M321" s="47"/>
      <c r="N321" s="46"/>
      <c r="O321" s="57"/>
      <c r="P321" s="46"/>
      <c r="Q321" s="46"/>
      <c r="R321" s="57"/>
      <c r="S321" s="7"/>
      <c r="T321" s="54"/>
      <c r="U321" s="58"/>
      <c r="V321" s="47"/>
      <c r="W321" s="18"/>
      <c r="X321" s="46"/>
      <c r="Y321" s="46"/>
      <c r="Z321" s="46"/>
      <c r="AA321" s="7"/>
      <c r="AB321" s="46"/>
      <c r="AC321" s="46"/>
      <c r="AD321" s="47"/>
      <c r="AE321" s="47"/>
      <c r="AF321" s="7"/>
      <c r="AG321" s="7"/>
      <c r="AH321" s="47"/>
      <c r="AI321" s="47"/>
      <c r="AJ321" s="18"/>
      <c r="AK321" s="26"/>
      <c r="AL321" s="34"/>
      <c r="AM321" s="34"/>
      <c r="AN321" s="18"/>
      <c r="AO321" s="18"/>
      <c r="AP321" s="18"/>
      <c r="AQ321" s="18"/>
      <c r="AR321" s="47"/>
      <c r="AS321" s="47"/>
    </row>
    <row r="322">
      <c r="A322" s="51"/>
      <c r="B322" s="51"/>
      <c r="C322" s="52"/>
      <c r="D322" s="51"/>
      <c r="E322" s="53"/>
      <c r="F322" s="54"/>
      <c r="G322" s="54"/>
      <c r="H322" s="51"/>
      <c r="I322" s="55"/>
      <c r="J322" s="56"/>
      <c r="K322" s="46"/>
      <c r="L322" s="46"/>
      <c r="M322" s="47"/>
      <c r="N322" s="46"/>
      <c r="O322" s="57"/>
      <c r="P322" s="46"/>
      <c r="Q322" s="46"/>
      <c r="R322" s="57"/>
      <c r="S322" s="7"/>
      <c r="T322" s="54"/>
      <c r="U322" s="58"/>
      <c r="V322" s="47"/>
      <c r="W322" s="18"/>
      <c r="X322" s="46"/>
      <c r="Y322" s="46"/>
      <c r="Z322" s="46"/>
      <c r="AA322" s="7"/>
      <c r="AB322" s="46"/>
      <c r="AC322" s="46"/>
      <c r="AD322" s="47"/>
      <c r="AE322" s="47"/>
      <c r="AF322" s="7"/>
      <c r="AG322" s="7"/>
      <c r="AH322" s="47"/>
      <c r="AI322" s="47"/>
      <c r="AJ322" s="18"/>
      <c r="AK322" s="26"/>
      <c r="AL322" s="34"/>
      <c r="AM322" s="34"/>
      <c r="AN322" s="18"/>
      <c r="AO322" s="18"/>
      <c r="AP322" s="18"/>
      <c r="AQ322" s="18"/>
      <c r="AR322" s="47"/>
      <c r="AS322" s="47"/>
    </row>
    <row r="323">
      <c r="A323" s="51"/>
      <c r="B323" s="51"/>
      <c r="C323" s="52"/>
      <c r="D323" s="51"/>
      <c r="E323" s="53"/>
      <c r="F323" s="54"/>
      <c r="G323" s="54"/>
      <c r="H323" s="51"/>
      <c r="I323" s="55"/>
      <c r="J323" s="56"/>
      <c r="K323" s="46"/>
      <c r="L323" s="46"/>
      <c r="M323" s="47"/>
      <c r="N323" s="46"/>
      <c r="O323" s="57"/>
      <c r="P323" s="46"/>
      <c r="Q323" s="46"/>
      <c r="R323" s="57"/>
      <c r="S323" s="7"/>
      <c r="T323" s="54"/>
      <c r="U323" s="58"/>
      <c r="V323" s="47"/>
      <c r="W323" s="18"/>
      <c r="X323" s="46"/>
      <c r="Y323" s="46"/>
      <c r="Z323" s="46"/>
      <c r="AA323" s="7"/>
      <c r="AB323" s="46"/>
      <c r="AC323" s="46"/>
      <c r="AD323" s="47"/>
      <c r="AE323" s="47"/>
      <c r="AF323" s="7"/>
      <c r="AG323" s="7"/>
      <c r="AH323" s="47"/>
      <c r="AI323" s="47"/>
      <c r="AJ323" s="18"/>
      <c r="AK323" s="26"/>
      <c r="AL323" s="34"/>
      <c r="AM323" s="34"/>
      <c r="AN323" s="18"/>
      <c r="AO323" s="18"/>
      <c r="AP323" s="18"/>
      <c r="AQ323" s="18"/>
      <c r="AR323" s="47"/>
      <c r="AS323" s="47"/>
    </row>
    <row r="324">
      <c r="A324" s="51"/>
      <c r="B324" s="51"/>
      <c r="C324" s="52"/>
      <c r="D324" s="51"/>
      <c r="E324" s="53"/>
      <c r="F324" s="54"/>
      <c r="G324" s="54"/>
      <c r="H324" s="51"/>
      <c r="I324" s="55"/>
      <c r="J324" s="56"/>
      <c r="K324" s="46"/>
      <c r="L324" s="46"/>
      <c r="M324" s="47"/>
      <c r="N324" s="46"/>
      <c r="O324" s="57"/>
      <c r="P324" s="46"/>
      <c r="Q324" s="46"/>
      <c r="R324" s="57"/>
      <c r="S324" s="7"/>
      <c r="T324" s="54"/>
      <c r="U324" s="58"/>
      <c r="V324" s="47"/>
      <c r="W324" s="18"/>
      <c r="X324" s="46"/>
      <c r="Y324" s="46"/>
      <c r="Z324" s="46"/>
      <c r="AA324" s="7"/>
      <c r="AB324" s="46"/>
      <c r="AC324" s="46"/>
      <c r="AD324" s="47"/>
      <c r="AE324" s="47"/>
      <c r="AF324" s="7"/>
      <c r="AG324" s="7"/>
      <c r="AH324" s="47"/>
      <c r="AI324" s="47"/>
      <c r="AJ324" s="18"/>
      <c r="AK324" s="26"/>
      <c r="AL324" s="34"/>
      <c r="AM324" s="34"/>
      <c r="AN324" s="18"/>
      <c r="AO324" s="18"/>
      <c r="AP324" s="18"/>
      <c r="AQ324" s="18"/>
      <c r="AR324" s="47"/>
      <c r="AS324" s="47"/>
    </row>
    <row r="325">
      <c r="A325" s="51"/>
      <c r="B325" s="51"/>
      <c r="C325" s="52"/>
      <c r="D325" s="51"/>
      <c r="E325" s="53"/>
      <c r="F325" s="54"/>
      <c r="G325" s="54"/>
      <c r="H325" s="51"/>
      <c r="I325" s="55"/>
      <c r="J325" s="56"/>
      <c r="K325" s="46"/>
      <c r="L325" s="46"/>
      <c r="M325" s="47"/>
      <c r="N325" s="46"/>
      <c r="O325" s="57"/>
      <c r="P325" s="46"/>
      <c r="Q325" s="46"/>
      <c r="R325" s="57"/>
      <c r="S325" s="7"/>
      <c r="T325" s="54"/>
      <c r="U325" s="58"/>
      <c r="V325" s="47"/>
      <c r="W325" s="18"/>
      <c r="X325" s="46"/>
      <c r="Y325" s="46"/>
      <c r="Z325" s="46"/>
      <c r="AA325" s="7"/>
      <c r="AB325" s="46"/>
      <c r="AC325" s="46"/>
      <c r="AD325" s="47"/>
      <c r="AE325" s="47"/>
      <c r="AF325" s="7"/>
      <c r="AG325" s="7"/>
      <c r="AH325" s="47"/>
      <c r="AI325" s="47"/>
      <c r="AJ325" s="18"/>
      <c r="AK325" s="26"/>
      <c r="AL325" s="34"/>
      <c r="AM325" s="34"/>
      <c r="AN325" s="18"/>
      <c r="AO325" s="18"/>
      <c r="AP325" s="18"/>
      <c r="AQ325" s="18"/>
      <c r="AR325" s="47"/>
      <c r="AS325" s="47"/>
    </row>
    <row r="326">
      <c r="A326" s="51"/>
      <c r="B326" s="51"/>
      <c r="C326" s="52"/>
      <c r="D326" s="51"/>
      <c r="E326" s="53"/>
      <c r="F326" s="54"/>
      <c r="G326" s="54"/>
      <c r="H326" s="51"/>
      <c r="I326" s="55"/>
      <c r="J326" s="56"/>
      <c r="K326" s="46"/>
      <c r="L326" s="46"/>
      <c r="M326" s="47"/>
      <c r="N326" s="46"/>
      <c r="O326" s="57"/>
      <c r="P326" s="46"/>
      <c r="Q326" s="46"/>
      <c r="R326" s="57"/>
      <c r="S326" s="7"/>
      <c r="T326" s="54"/>
      <c r="U326" s="58"/>
      <c r="V326" s="47"/>
      <c r="W326" s="18"/>
      <c r="X326" s="46"/>
      <c r="Y326" s="46"/>
      <c r="Z326" s="46"/>
      <c r="AA326" s="7"/>
      <c r="AB326" s="46"/>
      <c r="AC326" s="46"/>
      <c r="AD326" s="47"/>
      <c r="AE326" s="47"/>
      <c r="AF326" s="7"/>
      <c r="AG326" s="7"/>
      <c r="AH326" s="47"/>
      <c r="AI326" s="47"/>
      <c r="AJ326" s="18"/>
      <c r="AK326" s="26"/>
      <c r="AL326" s="34"/>
      <c r="AM326" s="34"/>
      <c r="AN326" s="18"/>
      <c r="AO326" s="18"/>
      <c r="AP326" s="18"/>
      <c r="AQ326" s="18"/>
      <c r="AR326" s="47"/>
      <c r="AS326" s="47"/>
    </row>
    <row r="327">
      <c r="A327" s="51"/>
      <c r="B327" s="51"/>
      <c r="C327" s="52"/>
      <c r="D327" s="51"/>
      <c r="E327" s="53"/>
      <c r="F327" s="54"/>
      <c r="G327" s="54"/>
      <c r="H327" s="51"/>
      <c r="I327" s="55"/>
      <c r="J327" s="56"/>
      <c r="K327" s="46"/>
      <c r="L327" s="46"/>
      <c r="M327" s="47"/>
      <c r="N327" s="46"/>
      <c r="O327" s="57"/>
      <c r="P327" s="46"/>
      <c r="Q327" s="46"/>
      <c r="R327" s="57"/>
      <c r="S327" s="7"/>
      <c r="T327" s="54"/>
      <c r="U327" s="58"/>
      <c r="V327" s="47"/>
      <c r="W327" s="18"/>
      <c r="X327" s="46"/>
      <c r="Y327" s="46"/>
      <c r="Z327" s="46"/>
      <c r="AA327" s="7"/>
      <c r="AB327" s="46"/>
      <c r="AC327" s="46"/>
      <c r="AD327" s="47"/>
      <c r="AE327" s="47"/>
      <c r="AF327" s="7"/>
      <c r="AG327" s="7"/>
      <c r="AH327" s="47"/>
      <c r="AI327" s="47"/>
      <c r="AJ327" s="18"/>
      <c r="AK327" s="26"/>
      <c r="AL327" s="34"/>
      <c r="AM327" s="34"/>
      <c r="AN327" s="18"/>
      <c r="AO327" s="18"/>
      <c r="AP327" s="18"/>
      <c r="AQ327" s="18"/>
      <c r="AR327" s="47"/>
      <c r="AS327" s="47"/>
    </row>
    <row r="328">
      <c r="A328" s="51"/>
      <c r="B328" s="51"/>
      <c r="C328" s="52"/>
      <c r="D328" s="51"/>
      <c r="E328" s="53"/>
      <c r="F328" s="54"/>
      <c r="G328" s="54"/>
      <c r="H328" s="51"/>
      <c r="I328" s="55"/>
      <c r="J328" s="56"/>
      <c r="K328" s="46"/>
      <c r="L328" s="46"/>
      <c r="M328" s="47"/>
      <c r="N328" s="46"/>
      <c r="O328" s="57"/>
      <c r="P328" s="46"/>
      <c r="Q328" s="46"/>
      <c r="R328" s="57"/>
      <c r="S328" s="7"/>
      <c r="T328" s="54"/>
      <c r="U328" s="58"/>
      <c r="V328" s="47"/>
      <c r="W328" s="18"/>
      <c r="X328" s="46"/>
      <c r="Y328" s="46"/>
      <c r="Z328" s="46"/>
      <c r="AA328" s="7"/>
      <c r="AB328" s="46"/>
      <c r="AC328" s="46"/>
      <c r="AD328" s="47"/>
      <c r="AE328" s="47"/>
      <c r="AF328" s="7"/>
      <c r="AG328" s="7"/>
      <c r="AH328" s="47"/>
      <c r="AI328" s="47"/>
      <c r="AJ328" s="18"/>
      <c r="AK328" s="26"/>
      <c r="AL328" s="34"/>
      <c r="AM328" s="34"/>
      <c r="AN328" s="18"/>
      <c r="AO328" s="18"/>
      <c r="AP328" s="18"/>
      <c r="AQ328" s="18"/>
      <c r="AR328" s="47"/>
      <c r="AS328" s="47"/>
    </row>
    <row r="329">
      <c r="A329" s="51"/>
      <c r="B329" s="51"/>
      <c r="C329" s="52"/>
      <c r="D329" s="51"/>
      <c r="E329" s="53"/>
      <c r="F329" s="54"/>
      <c r="G329" s="54"/>
      <c r="H329" s="51"/>
      <c r="I329" s="55"/>
      <c r="J329" s="56"/>
      <c r="K329" s="46"/>
      <c r="L329" s="46"/>
      <c r="M329" s="47"/>
      <c r="N329" s="46"/>
      <c r="O329" s="57"/>
      <c r="P329" s="46"/>
      <c r="Q329" s="46"/>
      <c r="R329" s="57"/>
      <c r="S329" s="7"/>
      <c r="T329" s="54"/>
      <c r="U329" s="58"/>
      <c r="V329" s="47"/>
      <c r="W329" s="18"/>
      <c r="X329" s="46"/>
      <c r="Y329" s="46"/>
      <c r="Z329" s="46"/>
      <c r="AA329" s="7"/>
      <c r="AB329" s="46"/>
      <c r="AC329" s="46"/>
      <c r="AD329" s="47"/>
      <c r="AE329" s="47"/>
      <c r="AF329" s="7"/>
      <c r="AG329" s="7"/>
      <c r="AH329" s="47"/>
      <c r="AI329" s="47"/>
      <c r="AJ329" s="18"/>
      <c r="AK329" s="26"/>
      <c r="AL329" s="34"/>
      <c r="AM329" s="34"/>
      <c r="AN329" s="18"/>
      <c r="AO329" s="18"/>
      <c r="AP329" s="18"/>
      <c r="AQ329" s="18"/>
      <c r="AR329" s="47"/>
      <c r="AS329" s="47"/>
    </row>
    <row r="330">
      <c r="A330" s="51"/>
      <c r="B330" s="51"/>
      <c r="C330" s="52"/>
      <c r="D330" s="51"/>
      <c r="E330" s="53"/>
      <c r="F330" s="54"/>
      <c r="G330" s="54"/>
      <c r="H330" s="51"/>
      <c r="I330" s="55"/>
      <c r="J330" s="56"/>
      <c r="K330" s="46"/>
      <c r="L330" s="46"/>
      <c r="M330" s="47"/>
      <c r="N330" s="46"/>
      <c r="O330" s="57"/>
      <c r="P330" s="46"/>
      <c r="Q330" s="46"/>
      <c r="R330" s="57"/>
      <c r="S330" s="7"/>
      <c r="T330" s="54"/>
      <c r="U330" s="58"/>
      <c r="V330" s="47"/>
      <c r="W330" s="18"/>
      <c r="X330" s="46"/>
      <c r="Y330" s="46"/>
      <c r="Z330" s="46"/>
      <c r="AA330" s="7"/>
      <c r="AB330" s="46"/>
      <c r="AC330" s="46"/>
      <c r="AD330" s="47"/>
      <c r="AE330" s="47"/>
      <c r="AF330" s="7"/>
      <c r="AG330" s="7"/>
      <c r="AH330" s="47"/>
      <c r="AI330" s="47"/>
      <c r="AJ330" s="18"/>
      <c r="AK330" s="26"/>
      <c r="AL330" s="34"/>
      <c r="AM330" s="34"/>
      <c r="AN330" s="18"/>
      <c r="AO330" s="18"/>
      <c r="AP330" s="18"/>
      <c r="AQ330" s="18"/>
      <c r="AR330" s="47"/>
      <c r="AS330" s="47"/>
    </row>
    <row r="331">
      <c r="A331" s="51"/>
      <c r="B331" s="51"/>
      <c r="C331" s="52"/>
      <c r="D331" s="51"/>
      <c r="E331" s="53"/>
      <c r="F331" s="54"/>
      <c r="G331" s="54"/>
      <c r="H331" s="51"/>
      <c r="I331" s="55"/>
      <c r="J331" s="56"/>
      <c r="K331" s="46"/>
      <c r="L331" s="46"/>
      <c r="M331" s="47"/>
      <c r="N331" s="46"/>
      <c r="O331" s="57"/>
      <c r="P331" s="46"/>
      <c r="Q331" s="46"/>
      <c r="R331" s="57"/>
      <c r="S331" s="7"/>
      <c r="T331" s="54"/>
      <c r="U331" s="58"/>
      <c r="V331" s="47"/>
      <c r="W331" s="18"/>
      <c r="X331" s="46"/>
      <c r="Y331" s="46"/>
      <c r="Z331" s="46"/>
      <c r="AA331" s="7"/>
      <c r="AB331" s="46"/>
      <c r="AC331" s="46"/>
      <c r="AD331" s="47"/>
      <c r="AE331" s="47"/>
      <c r="AF331" s="7"/>
      <c r="AG331" s="7"/>
      <c r="AH331" s="47"/>
      <c r="AI331" s="47"/>
      <c r="AJ331" s="18"/>
      <c r="AK331" s="26"/>
      <c r="AL331" s="34"/>
      <c r="AM331" s="34"/>
      <c r="AN331" s="18"/>
      <c r="AO331" s="18"/>
      <c r="AP331" s="18"/>
      <c r="AQ331" s="18"/>
      <c r="AR331" s="47"/>
      <c r="AS331" s="47"/>
    </row>
    <row r="332">
      <c r="A332" s="51"/>
      <c r="B332" s="51"/>
      <c r="C332" s="52"/>
      <c r="D332" s="51"/>
      <c r="E332" s="53"/>
      <c r="F332" s="54"/>
      <c r="G332" s="54"/>
      <c r="H332" s="51"/>
      <c r="I332" s="55"/>
      <c r="J332" s="56"/>
      <c r="K332" s="46"/>
      <c r="L332" s="46"/>
      <c r="M332" s="47"/>
      <c r="N332" s="46"/>
      <c r="O332" s="57"/>
      <c r="P332" s="46"/>
      <c r="Q332" s="46"/>
      <c r="R332" s="57"/>
      <c r="S332" s="7"/>
      <c r="T332" s="54"/>
      <c r="U332" s="58"/>
      <c r="V332" s="47"/>
      <c r="W332" s="18"/>
      <c r="X332" s="46"/>
      <c r="Y332" s="46"/>
      <c r="Z332" s="46"/>
      <c r="AA332" s="7"/>
      <c r="AB332" s="46"/>
      <c r="AC332" s="46"/>
      <c r="AD332" s="47"/>
      <c r="AE332" s="47"/>
      <c r="AF332" s="7"/>
      <c r="AG332" s="7"/>
      <c r="AH332" s="47"/>
      <c r="AI332" s="47"/>
      <c r="AJ332" s="18"/>
      <c r="AK332" s="26"/>
      <c r="AL332" s="34"/>
      <c r="AM332" s="34"/>
      <c r="AN332" s="18"/>
      <c r="AO332" s="18"/>
      <c r="AP332" s="18"/>
      <c r="AQ332" s="18"/>
      <c r="AR332" s="47"/>
      <c r="AS332" s="47"/>
    </row>
    <row r="333">
      <c r="A333" s="51"/>
      <c r="B333" s="51"/>
      <c r="C333" s="52"/>
      <c r="D333" s="51"/>
      <c r="E333" s="53"/>
      <c r="F333" s="54"/>
      <c r="G333" s="54"/>
      <c r="H333" s="51"/>
      <c r="I333" s="55"/>
      <c r="J333" s="56"/>
      <c r="K333" s="46"/>
      <c r="L333" s="46"/>
      <c r="M333" s="47"/>
      <c r="N333" s="46"/>
      <c r="O333" s="57"/>
      <c r="P333" s="46"/>
      <c r="Q333" s="46"/>
      <c r="R333" s="57"/>
      <c r="S333" s="7"/>
      <c r="T333" s="54"/>
      <c r="U333" s="58"/>
      <c r="V333" s="47"/>
      <c r="W333" s="18"/>
      <c r="X333" s="46"/>
      <c r="Y333" s="46"/>
      <c r="Z333" s="46"/>
      <c r="AA333" s="7"/>
      <c r="AB333" s="46"/>
      <c r="AC333" s="46"/>
      <c r="AD333" s="47"/>
      <c r="AE333" s="47"/>
      <c r="AF333" s="7"/>
      <c r="AG333" s="7"/>
      <c r="AH333" s="47"/>
      <c r="AI333" s="47"/>
      <c r="AJ333" s="18"/>
      <c r="AK333" s="26"/>
      <c r="AL333" s="34"/>
      <c r="AM333" s="34"/>
      <c r="AN333" s="18"/>
      <c r="AO333" s="18"/>
      <c r="AP333" s="18"/>
      <c r="AQ333" s="18"/>
      <c r="AR333" s="47"/>
      <c r="AS333" s="47"/>
    </row>
    <row r="334">
      <c r="A334" s="51"/>
      <c r="B334" s="51"/>
      <c r="C334" s="52"/>
      <c r="D334" s="51"/>
      <c r="E334" s="53"/>
      <c r="F334" s="54"/>
      <c r="G334" s="54"/>
      <c r="H334" s="51"/>
      <c r="I334" s="55"/>
      <c r="J334" s="56"/>
      <c r="K334" s="46"/>
      <c r="L334" s="46"/>
      <c r="M334" s="47"/>
      <c r="N334" s="46"/>
      <c r="O334" s="57"/>
      <c r="P334" s="46"/>
      <c r="Q334" s="46"/>
      <c r="R334" s="57"/>
      <c r="S334" s="7"/>
      <c r="T334" s="54"/>
      <c r="U334" s="58"/>
      <c r="V334" s="47"/>
      <c r="W334" s="18"/>
      <c r="X334" s="46"/>
      <c r="Y334" s="46"/>
      <c r="Z334" s="46"/>
      <c r="AA334" s="7"/>
      <c r="AB334" s="46"/>
      <c r="AC334" s="46"/>
      <c r="AD334" s="47"/>
      <c r="AE334" s="47"/>
      <c r="AF334" s="7"/>
      <c r="AG334" s="7"/>
      <c r="AH334" s="47"/>
      <c r="AI334" s="47"/>
      <c r="AJ334" s="18"/>
      <c r="AK334" s="26"/>
      <c r="AL334" s="34"/>
      <c r="AM334" s="34"/>
      <c r="AN334" s="18"/>
      <c r="AO334" s="18"/>
      <c r="AP334" s="18"/>
      <c r="AQ334" s="18"/>
      <c r="AR334" s="47"/>
      <c r="AS334" s="47"/>
    </row>
    <row r="335">
      <c r="A335" s="51"/>
      <c r="B335" s="51"/>
      <c r="C335" s="52"/>
      <c r="D335" s="51"/>
      <c r="E335" s="53"/>
      <c r="F335" s="54"/>
      <c r="G335" s="54"/>
      <c r="H335" s="51"/>
      <c r="I335" s="55"/>
      <c r="J335" s="56"/>
      <c r="K335" s="46"/>
      <c r="L335" s="46"/>
      <c r="M335" s="47"/>
      <c r="N335" s="46"/>
      <c r="O335" s="57"/>
      <c r="P335" s="46"/>
      <c r="Q335" s="46"/>
      <c r="R335" s="57"/>
      <c r="S335" s="7"/>
      <c r="T335" s="54"/>
      <c r="U335" s="58"/>
      <c r="V335" s="47"/>
      <c r="W335" s="18"/>
      <c r="X335" s="46"/>
      <c r="Y335" s="46"/>
      <c r="Z335" s="46"/>
      <c r="AA335" s="7"/>
      <c r="AB335" s="46"/>
      <c r="AC335" s="46"/>
      <c r="AD335" s="47"/>
      <c r="AE335" s="47"/>
      <c r="AF335" s="7"/>
      <c r="AG335" s="7"/>
      <c r="AH335" s="47"/>
      <c r="AI335" s="47"/>
      <c r="AJ335" s="18"/>
      <c r="AK335" s="26"/>
      <c r="AL335" s="34"/>
      <c r="AM335" s="34"/>
      <c r="AN335" s="18"/>
      <c r="AO335" s="18"/>
      <c r="AP335" s="18"/>
      <c r="AQ335" s="18"/>
      <c r="AR335" s="47"/>
      <c r="AS335" s="47"/>
    </row>
    <row r="336">
      <c r="A336" s="51"/>
      <c r="B336" s="51"/>
      <c r="C336" s="52"/>
      <c r="D336" s="51"/>
      <c r="E336" s="53"/>
      <c r="F336" s="54"/>
      <c r="G336" s="54"/>
      <c r="H336" s="51"/>
      <c r="I336" s="55"/>
      <c r="J336" s="56"/>
      <c r="K336" s="46"/>
      <c r="L336" s="46"/>
      <c r="M336" s="47"/>
      <c r="N336" s="46"/>
      <c r="O336" s="57"/>
      <c r="P336" s="46"/>
      <c r="Q336" s="46"/>
      <c r="R336" s="57"/>
      <c r="S336" s="7"/>
      <c r="T336" s="54"/>
      <c r="U336" s="58"/>
      <c r="V336" s="47"/>
      <c r="W336" s="18"/>
      <c r="X336" s="46"/>
      <c r="Y336" s="46"/>
      <c r="Z336" s="46"/>
      <c r="AA336" s="7"/>
      <c r="AB336" s="46"/>
      <c r="AC336" s="46"/>
      <c r="AD336" s="47"/>
      <c r="AE336" s="47"/>
      <c r="AF336" s="7"/>
      <c r="AG336" s="7"/>
      <c r="AH336" s="47"/>
      <c r="AI336" s="47"/>
      <c r="AJ336" s="18"/>
      <c r="AK336" s="26"/>
      <c r="AL336" s="34"/>
      <c r="AM336" s="34"/>
      <c r="AN336" s="18"/>
      <c r="AO336" s="18"/>
      <c r="AP336" s="18"/>
      <c r="AQ336" s="18"/>
      <c r="AR336" s="47"/>
      <c r="AS336" s="47"/>
    </row>
    <row r="337">
      <c r="A337" s="51"/>
      <c r="B337" s="51"/>
      <c r="C337" s="52"/>
      <c r="D337" s="51"/>
      <c r="E337" s="53"/>
      <c r="F337" s="54"/>
      <c r="G337" s="54"/>
      <c r="H337" s="51"/>
      <c r="I337" s="55"/>
      <c r="J337" s="56"/>
      <c r="K337" s="46"/>
      <c r="L337" s="46"/>
      <c r="M337" s="47"/>
      <c r="N337" s="46"/>
      <c r="O337" s="57"/>
      <c r="P337" s="46"/>
      <c r="Q337" s="46"/>
      <c r="R337" s="57"/>
      <c r="S337" s="7"/>
      <c r="T337" s="54"/>
      <c r="U337" s="58"/>
      <c r="V337" s="47"/>
      <c r="W337" s="18"/>
      <c r="X337" s="46"/>
      <c r="Y337" s="46"/>
      <c r="Z337" s="46"/>
      <c r="AA337" s="7"/>
      <c r="AB337" s="46"/>
      <c r="AC337" s="46"/>
      <c r="AD337" s="47"/>
      <c r="AE337" s="47"/>
      <c r="AF337" s="7"/>
      <c r="AG337" s="7"/>
      <c r="AH337" s="47"/>
      <c r="AI337" s="47"/>
      <c r="AJ337" s="18"/>
      <c r="AK337" s="26"/>
      <c r="AL337" s="34"/>
      <c r="AM337" s="34"/>
      <c r="AN337" s="18"/>
      <c r="AO337" s="18"/>
      <c r="AP337" s="18"/>
      <c r="AQ337" s="18"/>
      <c r="AR337" s="47"/>
      <c r="AS337" s="47"/>
    </row>
    <row r="338">
      <c r="A338" s="51"/>
      <c r="B338" s="51"/>
      <c r="C338" s="52"/>
      <c r="D338" s="51"/>
      <c r="E338" s="53"/>
      <c r="F338" s="54"/>
      <c r="G338" s="54"/>
      <c r="H338" s="51"/>
      <c r="I338" s="55"/>
      <c r="J338" s="56"/>
      <c r="K338" s="46"/>
      <c r="L338" s="46"/>
      <c r="M338" s="47"/>
      <c r="N338" s="46"/>
      <c r="O338" s="57"/>
      <c r="P338" s="46"/>
      <c r="Q338" s="46"/>
      <c r="R338" s="57"/>
      <c r="S338" s="7"/>
      <c r="T338" s="54"/>
      <c r="U338" s="58"/>
      <c r="V338" s="47"/>
      <c r="W338" s="18"/>
      <c r="X338" s="46"/>
      <c r="Y338" s="46"/>
      <c r="Z338" s="46"/>
      <c r="AA338" s="7"/>
      <c r="AB338" s="46"/>
      <c r="AC338" s="46"/>
      <c r="AD338" s="47"/>
      <c r="AE338" s="47"/>
      <c r="AF338" s="7"/>
      <c r="AG338" s="7"/>
      <c r="AH338" s="47"/>
      <c r="AI338" s="47"/>
      <c r="AJ338" s="18"/>
      <c r="AK338" s="26"/>
      <c r="AL338" s="34"/>
      <c r="AM338" s="34"/>
      <c r="AN338" s="18"/>
      <c r="AO338" s="18"/>
      <c r="AP338" s="18"/>
      <c r="AQ338" s="18"/>
      <c r="AR338" s="47"/>
      <c r="AS338" s="47"/>
    </row>
    <row r="339">
      <c r="A339" s="51"/>
      <c r="B339" s="51"/>
      <c r="C339" s="52"/>
      <c r="D339" s="51"/>
      <c r="E339" s="53"/>
      <c r="F339" s="54"/>
      <c r="G339" s="54"/>
      <c r="H339" s="51"/>
      <c r="I339" s="55"/>
      <c r="J339" s="56"/>
      <c r="K339" s="46"/>
      <c r="L339" s="46"/>
      <c r="M339" s="47"/>
      <c r="N339" s="46"/>
      <c r="O339" s="57"/>
      <c r="P339" s="46"/>
      <c r="Q339" s="46"/>
      <c r="R339" s="57"/>
      <c r="S339" s="7"/>
      <c r="T339" s="54"/>
      <c r="U339" s="58"/>
      <c r="V339" s="47"/>
      <c r="W339" s="18"/>
      <c r="X339" s="46"/>
      <c r="Y339" s="46"/>
      <c r="Z339" s="46"/>
      <c r="AA339" s="7"/>
      <c r="AB339" s="46"/>
      <c r="AC339" s="46"/>
      <c r="AD339" s="47"/>
      <c r="AE339" s="47"/>
      <c r="AF339" s="7"/>
      <c r="AG339" s="7"/>
      <c r="AH339" s="47"/>
      <c r="AI339" s="47"/>
      <c r="AJ339" s="18"/>
      <c r="AK339" s="26"/>
      <c r="AL339" s="34"/>
      <c r="AM339" s="34"/>
      <c r="AN339" s="18"/>
      <c r="AO339" s="18"/>
      <c r="AP339" s="18"/>
      <c r="AQ339" s="18"/>
      <c r="AR339" s="47"/>
      <c r="AS339" s="47"/>
    </row>
    <row r="340">
      <c r="A340" s="51"/>
      <c r="B340" s="51"/>
      <c r="C340" s="52"/>
      <c r="D340" s="51"/>
      <c r="E340" s="53"/>
      <c r="F340" s="54"/>
      <c r="G340" s="54"/>
      <c r="H340" s="51"/>
      <c r="I340" s="55"/>
      <c r="J340" s="56"/>
      <c r="K340" s="46"/>
      <c r="L340" s="46"/>
      <c r="M340" s="47"/>
      <c r="N340" s="46"/>
      <c r="O340" s="57"/>
      <c r="P340" s="46"/>
      <c r="Q340" s="46"/>
      <c r="R340" s="57"/>
      <c r="S340" s="7"/>
      <c r="T340" s="54"/>
      <c r="U340" s="58"/>
      <c r="V340" s="47"/>
      <c r="W340" s="18"/>
      <c r="X340" s="46"/>
      <c r="Y340" s="46"/>
      <c r="Z340" s="46"/>
      <c r="AA340" s="7"/>
      <c r="AB340" s="46"/>
      <c r="AC340" s="46"/>
      <c r="AD340" s="47"/>
      <c r="AE340" s="47"/>
      <c r="AF340" s="7"/>
      <c r="AG340" s="7"/>
      <c r="AH340" s="47"/>
      <c r="AI340" s="47"/>
      <c r="AJ340" s="18"/>
      <c r="AK340" s="26"/>
      <c r="AL340" s="34"/>
      <c r="AM340" s="34"/>
      <c r="AN340" s="18"/>
      <c r="AO340" s="18"/>
      <c r="AP340" s="18"/>
      <c r="AQ340" s="18"/>
      <c r="AR340" s="47"/>
      <c r="AS340" s="47"/>
    </row>
    <row r="341">
      <c r="A341" s="51"/>
      <c r="B341" s="51"/>
      <c r="C341" s="52"/>
      <c r="D341" s="51"/>
      <c r="E341" s="53"/>
      <c r="F341" s="54"/>
      <c r="G341" s="54"/>
      <c r="H341" s="51"/>
      <c r="I341" s="55"/>
      <c r="J341" s="56"/>
      <c r="K341" s="46"/>
      <c r="L341" s="46"/>
      <c r="M341" s="47"/>
      <c r="N341" s="46"/>
      <c r="O341" s="57"/>
      <c r="P341" s="46"/>
      <c r="Q341" s="46"/>
      <c r="R341" s="57"/>
      <c r="S341" s="7"/>
      <c r="T341" s="54"/>
      <c r="U341" s="58"/>
      <c r="V341" s="47"/>
      <c r="W341" s="18"/>
      <c r="X341" s="46"/>
      <c r="Y341" s="46"/>
      <c r="Z341" s="46"/>
      <c r="AA341" s="7"/>
      <c r="AB341" s="46"/>
      <c r="AC341" s="46"/>
      <c r="AD341" s="47"/>
      <c r="AE341" s="47"/>
      <c r="AF341" s="7"/>
      <c r="AG341" s="7"/>
      <c r="AH341" s="47"/>
      <c r="AI341" s="47"/>
      <c r="AJ341" s="18"/>
      <c r="AK341" s="26"/>
      <c r="AL341" s="34"/>
      <c r="AM341" s="34"/>
      <c r="AN341" s="18"/>
      <c r="AO341" s="18"/>
      <c r="AP341" s="18"/>
      <c r="AQ341" s="18"/>
      <c r="AR341" s="47"/>
      <c r="AS341" s="47"/>
    </row>
    <row r="342">
      <c r="A342" s="51"/>
      <c r="B342" s="51"/>
      <c r="C342" s="52"/>
      <c r="D342" s="51"/>
      <c r="E342" s="53"/>
      <c r="F342" s="54"/>
      <c r="G342" s="54"/>
      <c r="H342" s="51"/>
      <c r="I342" s="55"/>
      <c r="J342" s="56"/>
      <c r="K342" s="46"/>
      <c r="L342" s="46"/>
      <c r="M342" s="47"/>
      <c r="N342" s="46"/>
      <c r="O342" s="57"/>
      <c r="P342" s="46"/>
      <c r="Q342" s="46"/>
      <c r="R342" s="57"/>
      <c r="S342" s="7"/>
      <c r="T342" s="54"/>
      <c r="U342" s="58"/>
      <c r="V342" s="47"/>
      <c r="W342" s="18"/>
      <c r="X342" s="46"/>
      <c r="Y342" s="46"/>
      <c r="Z342" s="46"/>
      <c r="AA342" s="7"/>
      <c r="AB342" s="46"/>
      <c r="AC342" s="46"/>
      <c r="AD342" s="47"/>
      <c r="AE342" s="47"/>
      <c r="AF342" s="7"/>
      <c r="AG342" s="7"/>
      <c r="AH342" s="47"/>
      <c r="AI342" s="47"/>
      <c r="AJ342" s="18"/>
      <c r="AK342" s="26"/>
      <c r="AL342" s="34"/>
      <c r="AM342" s="34"/>
      <c r="AN342" s="18"/>
      <c r="AO342" s="18"/>
      <c r="AP342" s="18"/>
      <c r="AQ342" s="18"/>
      <c r="AR342" s="47"/>
      <c r="AS342" s="47"/>
    </row>
    <row r="343">
      <c r="A343" s="51"/>
      <c r="B343" s="51"/>
      <c r="C343" s="52"/>
      <c r="D343" s="51"/>
      <c r="E343" s="53"/>
      <c r="F343" s="54"/>
      <c r="G343" s="54"/>
      <c r="H343" s="51"/>
      <c r="I343" s="55"/>
      <c r="J343" s="56"/>
      <c r="K343" s="46"/>
      <c r="L343" s="46"/>
      <c r="M343" s="47"/>
      <c r="N343" s="46"/>
      <c r="O343" s="57"/>
      <c r="P343" s="46"/>
      <c r="Q343" s="46"/>
      <c r="R343" s="57"/>
      <c r="S343" s="7"/>
      <c r="T343" s="54"/>
      <c r="U343" s="58"/>
      <c r="V343" s="47"/>
      <c r="W343" s="18"/>
      <c r="X343" s="46"/>
      <c r="Y343" s="46"/>
      <c r="Z343" s="46"/>
      <c r="AA343" s="7"/>
      <c r="AB343" s="46"/>
      <c r="AC343" s="46"/>
      <c r="AD343" s="47"/>
      <c r="AE343" s="47"/>
      <c r="AF343" s="7"/>
      <c r="AG343" s="7"/>
      <c r="AH343" s="47"/>
      <c r="AI343" s="47"/>
      <c r="AJ343" s="18"/>
      <c r="AK343" s="26"/>
      <c r="AL343" s="34"/>
      <c r="AM343" s="34"/>
      <c r="AN343" s="18"/>
      <c r="AO343" s="18"/>
      <c r="AP343" s="18"/>
      <c r="AQ343" s="18"/>
      <c r="AR343" s="47"/>
      <c r="AS343" s="47"/>
    </row>
    <row r="344">
      <c r="A344" s="51"/>
      <c r="B344" s="51"/>
      <c r="C344" s="52"/>
      <c r="D344" s="51"/>
      <c r="E344" s="53"/>
      <c r="F344" s="54"/>
      <c r="G344" s="54"/>
      <c r="H344" s="51"/>
      <c r="I344" s="55"/>
      <c r="J344" s="56"/>
      <c r="K344" s="46"/>
      <c r="L344" s="46"/>
      <c r="M344" s="47"/>
      <c r="N344" s="46"/>
      <c r="O344" s="57"/>
      <c r="P344" s="46"/>
      <c r="Q344" s="46"/>
      <c r="R344" s="57"/>
      <c r="S344" s="7"/>
      <c r="T344" s="54"/>
      <c r="U344" s="58"/>
      <c r="V344" s="47"/>
      <c r="W344" s="18"/>
      <c r="X344" s="46"/>
      <c r="Y344" s="46"/>
      <c r="Z344" s="46"/>
      <c r="AA344" s="7"/>
      <c r="AB344" s="46"/>
      <c r="AC344" s="46"/>
      <c r="AD344" s="47"/>
      <c r="AE344" s="47"/>
      <c r="AF344" s="7"/>
      <c r="AG344" s="7"/>
      <c r="AH344" s="47"/>
      <c r="AI344" s="47"/>
      <c r="AJ344" s="18"/>
      <c r="AK344" s="26"/>
      <c r="AL344" s="34"/>
      <c r="AM344" s="34"/>
      <c r="AN344" s="18"/>
      <c r="AO344" s="18"/>
      <c r="AP344" s="18"/>
      <c r="AQ344" s="18"/>
      <c r="AR344" s="47"/>
      <c r="AS344" s="47"/>
    </row>
    <row r="345">
      <c r="A345" s="51"/>
      <c r="B345" s="51"/>
      <c r="C345" s="52"/>
      <c r="D345" s="51"/>
      <c r="E345" s="53"/>
      <c r="F345" s="54"/>
      <c r="G345" s="54"/>
      <c r="H345" s="51"/>
      <c r="I345" s="55"/>
      <c r="J345" s="56"/>
      <c r="K345" s="46"/>
      <c r="L345" s="46"/>
      <c r="M345" s="47"/>
      <c r="N345" s="46"/>
      <c r="O345" s="57"/>
      <c r="P345" s="46"/>
      <c r="Q345" s="46"/>
      <c r="R345" s="57"/>
      <c r="S345" s="7"/>
      <c r="T345" s="54"/>
      <c r="U345" s="58"/>
      <c r="V345" s="47"/>
      <c r="W345" s="18"/>
      <c r="X345" s="46"/>
      <c r="Y345" s="46"/>
      <c r="Z345" s="46"/>
      <c r="AA345" s="7"/>
      <c r="AB345" s="46"/>
      <c r="AC345" s="46"/>
      <c r="AD345" s="47"/>
      <c r="AE345" s="47"/>
      <c r="AF345" s="7"/>
      <c r="AG345" s="7"/>
      <c r="AH345" s="47"/>
      <c r="AI345" s="47"/>
      <c r="AJ345" s="18"/>
      <c r="AK345" s="26"/>
      <c r="AL345" s="34"/>
      <c r="AM345" s="34"/>
      <c r="AN345" s="18"/>
      <c r="AO345" s="18"/>
      <c r="AP345" s="18"/>
      <c r="AQ345" s="18"/>
      <c r="AR345" s="47"/>
      <c r="AS345" s="47"/>
    </row>
    <row r="346">
      <c r="A346" s="51"/>
      <c r="B346" s="51"/>
      <c r="C346" s="52"/>
      <c r="D346" s="51"/>
      <c r="E346" s="53"/>
      <c r="F346" s="54"/>
      <c r="G346" s="54"/>
      <c r="H346" s="51"/>
      <c r="I346" s="55"/>
      <c r="J346" s="56"/>
      <c r="K346" s="46"/>
      <c r="L346" s="46"/>
      <c r="M346" s="47"/>
      <c r="N346" s="46"/>
      <c r="O346" s="57"/>
      <c r="P346" s="46"/>
      <c r="Q346" s="46"/>
      <c r="R346" s="57"/>
      <c r="S346" s="7"/>
      <c r="T346" s="54"/>
      <c r="U346" s="58"/>
      <c r="V346" s="47"/>
      <c r="W346" s="18"/>
      <c r="X346" s="46"/>
      <c r="Y346" s="46"/>
      <c r="Z346" s="46"/>
      <c r="AA346" s="7"/>
      <c r="AB346" s="46"/>
      <c r="AC346" s="46"/>
      <c r="AD346" s="47"/>
      <c r="AE346" s="47"/>
      <c r="AF346" s="7"/>
      <c r="AG346" s="7"/>
      <c r="AH346" s="47"/>
      <c r="AI346" s="47"/>
      <c r="AJ346" s="18"/>
      <c r="AK346" s="26"/>
      <c r="AL346" s="34"/>
      <c r="AM346" s="34"/>
      <c r="AN346" s="18"/>
      <c r="AO346" s="18"/>
      <c r="AP346" s="18"/>
      <c r="AQ346" s="18"/>
      <c r="AR346" s="47"/>
      <c r="AS346" s="47"/>
    </row>
    <row r="347">
      <c r="A347" s="51"/>
      <c r="B347" s="51"/>
      <c r="C347" s="52"/>
      <c r="D347" s="51"/>
      <c r="E347" s="53"/>
      <c r="F347" s="54"/>
      <c r="G347" s="54"/>
      <c r="H347" s="51"/>
      <c r="I347" s="55"/>
      <c r="J347" s="56"/>
      <c r="K347" s="46"/>
      <c r="L347" s="46"/>
      <c r="M347" s="47"/>
      <c r="N347" s="46"/>
      <c r="O347" s="57"/>
      <c r="P347" s="46"/>
      <c r="Q347" s="46"/>
      <c r="R347" s="57"/>
      <c r="S347" s="7"/>
      <c r="T347" s="54"/>
      <c r="U347" s="58"/>
      <c r="V347" s="47"/>
      <c r="W347" s="18"/>
      <c r="X347" s="46"/>
      <c r="Y347" s="46"/>
      <c r="Z347" s="46"/>
      <c r="AA347" s="7"/>
      <c r="AB347" s="46"/>
      <c r="AC347" s="46"/>
      <c r="AD347" s="47"/>
      <c r="AE347" s="47"/>
      <c r="AF347" s="7"/>
      <c r="AG347" s="7"/>
      <c r="AH347" s="47"/>
      <c r="AI347" s="47"/>
      <c r="AJ347" s="18"/>
      <c r="AK347" s="26"/>
      <c r="AL347" s="34"/>
      <c r="AM347" s="34"/>
      <c r="AN347" s="18"/>
      <c r="AO347" s="18"/>
      <c r="AP347" s="18"/>
      <c r="AQ347" s="18"/>
      <c r="AR347" s="47"/>
      <c r="AS347" s="47"/>
    </row>
    <row r="348">
      <c r="A348" s="51"/>
      <c r="B348" s="51"/>
      <c r="C348" s="52"/>
      <c r="D348" s="51"/>
      <c r="E348" s="53"/>
      <c r="F348" s="54"/>
      <c r="G348" s="54"/>
      <c r="H348" s="51"/>
      <c r="I348" s="55"/>
      <c r="J348" s="56"/>
      <c r="K348" s="46"/>
      <c r="L348" s="46"/>
      <c r="M348" s="47"/>
      <c r="N348" s="46"/>
      <c r="O348" s="57"/>
      <c r="P348" s="46"/>
      <c r="Q348" s="46"/>
      <c r="R348" s="57"/>
      <c r="S348" s="7"/>
      <c r="T348" s="54"/>
      <c r="U348" s="58"/>
      <c r="V348" s="47"/>
      <c r="W348" s="18"/>
      <c r="X348" s="46"/>
      <c r="Y348" s="46"/>
      <c r="Z348" s="46"/>
      <c r="AA348" s="7"/>
      <c r="AB348" s="46"/>
      <c r="AC348" s="46"/>
      <c r="AD348" s="47"/>
      <c r="AE348" s="47"/>
      <c r="AF348" s="7"/>
      <c r="AG348" s="7"/>
      <c r="AH348" s="47"/>
      <c r="AI348" s="47"/>
      <c r="AJ348" s="18"/>
      <c r="AK348" s="26"/>
      <c r="AL348" s="34"/>
      <c r="AM348" s="34"/>
      <c r="AN348" s="18"/>
      <c r="AO348" s="18"/>
      <c r="AP348" s="18"/>
      <c r="AQ348" s="18"/>
      <c r="AR348" s="47"/>
      <c r="AS348" s="47"/>
    </row>
    <row r="349">
      <c r="A349" s="51"/>
      <c r="B349" s="51"/>
      <c r="C349" s="52"/>
      <c r="D349" s="51"/>
      <c r="E349" s="53"/>
      <c r="F349" s="54"/>
      <c r="G349" s="54"/>
      <c r="H349" s="51"/>
      <c r="I349" s="55"/>
      <c r="J349" s="56"/>
      <c r="K349" s="46"/>
      <c r="L349" s="46"/>
      <c r="M349" s="47"/>
      <c r="N349" s="46"/>
      <c r="O349" s="57"/>
      <c r="P349" s="46"/>
      <c r="Q349" s="46"/>
      <c r="R349" s="57"/>
      <c r="S349" s="7"/>
      <c r="T349" s="54"/>
      <c r="U349" s="58"/>
      <c r="V349" s="47"/>
      <c r="W349" s="18"/>
      <c r="X349" s="46"/>
      <c r="Y349" s="46"/>
      <c r="Z349" s="46"/>
      <c r="AA349" s="7"/>
      <c r="AB349" s="46"/>
      <c r="AC349" s="46"/>
      <c r="AD349" s="47"/>
      <c r="AE349" s="47"/>
      <c r="AF349" s="7"/>
      <c r="AG349" s="7"/>
      <c r="AH349" s="47"/>
      <c r="AI349" s="47"/>
      <c r="AJ349" s="18"/>
      <c r="AK349" s="26"/>
      <c r="AL349" s="34"/>
      <c r="AM349" s="34"/>
      <c r="AN349" s="18"/>
      <c r="AO349" s="18"/>
      <c r="AP349" s="18"/>
      <c r="AQ349" s="18"/>
      <c r="AR349" s="47"/>
      <c r="AS349" s="47"/>
    </row>
    <row r="350">
      <c r="A350" s="51"/>
      <c r="B350" s="51"/>
      <c r="C350" s="52"/>
      <c r="D350" s="51"/>
      <c r="E350" s="53"/>
      <c r="F350" s="54"/>
      <c r="G350" s="54"/>
      <c r="H350" s="51"/>
      <c r="I350" s="55"/>
      <c r="J350" s="56"/>
      <c r="K350" s="46"/>
      <c r="L350" s="46"/>
      <c r="M350" s="47"/>
      <c r="N350" s="46"/>
      <c r="O350" s="57"/>
      <c r="P350" s="46"/>
      <c r="Q350" s="46"/>
      <c r="R350" s="57"/>
      <c r="S350" s="7"/>
      <c r="T350" s="54"/>
      <c r="U350" s="58"/>
      <c r="V350" s="47"/>
      <c r="W350" s="18"/>
      <c r="X350" s="46"/>
      <c r="Y350" s="46"/>
      <c r="Z350" s="46"/>
      <c r="AA350" s="7"/>
      <c r="AB350" s="46"/>
      <c r="AC350" s="46"/>
      <c r="AD350" s="47"/>
      <c r="AE350" s="47"/>
      <c r="AF350" s="7"/>
      <c r="AG350" s="7"/>
      <c r="AH350" s="47"/>
      <c r="AI350" s="47"/>
      <c r="AJ350" s="18"/>
      <c r="AK350" s="26"/>
      <c r="AL350" s="34"/>
      <c r="AM350" s="34"/>
      <c r="AN350" s="18"/>
      <c r="AO350" s="18"/>
      <c r="AP350" s="18"/>
      <c r="AQ350" s="18"/>
      <c r="AR350" s="47"/>
      <c r="AS350" s="47"/>
    </row>
    <row r="351">
      <c r="A351" s="51"/>
      <c r="B351" s="51"/>
      <c r="C351" s="52"/>
      <c r="D351" s="51"/>
      <c r="E351" s="53"/>
      <c r="F351" s="54"/>
      <c r="G351" s="54"/>
      <c r="H351" s="51"/>
      <c r="I351" s="55"/>
      <c r="J351" s="56"/>
      <c r="K351" s="46"/>
      <c r="L351" s="46"/>
      <c r="M351" s="47"/>
      <c r="N351" s="46"/>
      <c r="O351" s="57"/>
      <c r="P351" s="46"/>
      <c r="Q351" s="46"/>
      <c r="R351" s="57"/>
      <c r="S351" s="7"/>
      <c r="T351" s="54"/>
      <c r="U351" s="58"/>
      <c r="V351" s="47"/>
      <c r="W351" s="18"/>
      <c r="X351" s="46"/>
      <c r="Y351" s="46"/>
      <c r="Z351" s="46"/>
      <c r="AA351" s="7"/>
      <c r="AB351" s="46"/>
      <c r="AC351" s="46"/>
      <c r="AD351" s="47"/>
      <c r="AE351" s="47"/>
      <c r="AF351" s="7"/>
      <c r="AG351" s="7"/>
      <c r="AH351" s="47"/>
      <c r="AI351" s="47"/>
      <c r="AJ351" s="18"/>
      <c r="AK351" s="26"/>
      <c r="AL351" s="34"/>
      <c r="AM351" s="34"/>
      <c r="AN351" s="18"/>
      <c r="AO351" s="18"/>
      <c r="AP351" s="18"/>
      <c r="AQ351" s="18"/>
      <c r="AR351" s="47"/>
      <c r="AS351" s="47"/>
    </row>
    <row r="352">
      <c r="A352" s="51"/>
      <c r="B352" s="51"/>
      <c r="C352" s="52"/>
      <c r="D352" s="51"/>
      <c r="E352" s="53"/>
      <c r="F352" s="54"/>
      <c r="G352" s="54"/>
      <c r="H352" s="51"/>
      <c r="I352" s="55"/>
      <c r="J352" s="56"/>
      <c r="K352" s="46"/>
      <c r="L352" s="46"/>
      <c r="M352" s="47"/>
      <c r="N352" s="46"/>
      <c r="O352" s="57"/>
      <c r="P352" s="46"/>
      <c r="Q352" s="46"/>
      <c r="R352" s="57"/>
      <c r="S352" s="7"/>
      <c r="T352" s="54"/>
      <c r="U352" s="58"/>
      <c r="V352" s="47"/>
      <c r="W352" s="18"/>
      <c r="X352" s="46"/>
      <c r="Y352" s="46"/>
      <c r="Z352" s="46"/>
      <c r="AA352" s="7"/>
      <c r="AB352" s="46"/>
      <c r="AC352" s="46"/>
      <c r="AD352" s="47"/>
      <c r="AE352" s="47"/>
      <c r="AF352" s="7"/>
      <c r="AG352" s="7"/>
      <c r="AH352" s="47"/>
      <c r="AI352" s="47"/>
      <c r="AJ352" s="18"/>
      <c r="AK352" s="26"/>
      <c r="AL352" s="34"/>
      <c r="AM352" s="34"/>
      <c r="AN352" s="18"/>
      <c r="AO352" s="18"/>
      <c r="AP352" s="18"/>
      <c r="AQ352" s="18"/>
      <c r="AR352" s="47"/>
      <c r="AS352" s="47"/>
    </row>
    <row r="353">
      <c r="A353" s="51"/>
      <c r="B353" s="51"/>
      <c r="C353" s="52"/>
      <c r="D353" s="51"/>
      <c r="E353" s="53"/>
      <c r="F353" s="54"/>
      <c r="G353" s="54"/>
      <c r="H353" s="51"/>
      <c r="I353" s="55"/>
      <c r="J353" s="56"/>
      <c r="K353" s="46"/>
      <c r="L353" s="46"/>
      <c r="M353" s="47"/>
      <c r="N353" s="46"/>
      <c r="O353" s="57"/>
      <c r="P353" s="46"/>
      <c r="Q353" s="46"/>
      <c r="R353" s="57"/>
      <c r="S353" s="7"/>
      <c r="T353" s="54"/>
      <c r="U353" s="58"/>
      <c r="V353" s="47"/>
      <c r="W353" s="18"/>
      <c r="X353" s="46"/>
      <c r="Y353" s="46"/>
      <c r="Z353" s="46"/>
      <c r="AA353" s="7"/>
      <c r="AB353" s="46"/>
      <c r="AC353" s="46"/>
      <c r="AD353" s="47"/>
      <c r="AE353" s="47"/>
      <c r="AF353" s="7"/>
      <c r="AG353" s="7"/>
      <c r="AH353" s="47"/>
      <c r="AI353" s="47"/>
      <c r="AJ353" s="18"/>
      <c r="AK353" s="26"/>
      <c r="AL353" s="34"/>
      <c r="AM353" s="34"/>
      <c r="AN353" s="18"/>
      <c r="AO353" s="18"/>
      <c r="AP353" s="18"/>
      <c r="AQ353" s="18"/>
      <c r="AR353" s="47"/>
      <c r="AS353" s="47"/>
    </row>
    <row r="354">
      <c r="A354" s="51"/>
      <c r="B354" s="51"/>
      <c r="C354" s="52"/>
      <c r="D354" s="51"/>
      <c r="E354" s="53"/>
      <c r="F354" s="54"/>
      <c r="G354" s="54"/>
      <c r="H354" s="51"/>
      <c r="I354" s="55"/>
      <c r="J354" s="56"/>
      <c r="K354" s="46"/>
      <c r="L354" s="46"/>
      <c r="M354" s="47"/>
      <c r="N354" s="46"/>
      <c r="O354" s="57"/>
      <c r="P354" s="46"/>
      <c r="Q354" s="46"/>
      <c r="R354" s="57"/>
      <c r="S354" s="7"/>
      <c r="T354" s="54"/>
      <c r="U354" s="58"/>
      <c r="V354" s="47"/>
      <c r="W354" s="18"/>
      <c r="X354" s="46"/>
      <c r="Y354" s="46"/>
      <c r="Z354" s="46"/>
      <c r="AA354" s="7"/>
      <c r="AB354" s="46"/>
      <c r="AC354" s="46"/>
      <c r="AD354" s="47"/>
      <c r="AE354" s="47"/>
      <c r="AF354" s="7"/>
      <c r="AG354" s="7"/>
      <c r="AH354" s="47"/>
      <c r="AI354" s="47"/>
      <c r="AJ354" s="18"/>
      <c r="AK354" s="26"/>
      <c r="AL354" s="34"/>
      <c r="AM354" s="34"/>
      <c r="AN354" s="18"/>
      <c r="AO354" s="18"/>
      <c r="AP354" s="18"/>
      <c r="AQ354" s="18"/>
      <c r="AR354" s="47"/>
      <c r="AS354" s="47"/>
    </row>
    <row r="355">
      <c r="A355" s="51"/>
      <c r="B355" s="51"/>
      <c r="C355" s="52"/>
      <c r="D355" s="51"/>
      <c r="E355" s="53"/>
      <c r="F355" s="54"/>
      <c r="G355" s="54"/>
      <c r="H355" s="51"/>
      <c r="I355" s="55"/>
      <c r="J355" s="56"/>
      <c r="K355" s="46"/>
      <c r="L355" s="46"/>
      <c r="M355" s="47"/>
      <c r="N355" s="46"/>
      <c r="O355" s="57"/>
      <c r="P355" s="46"/>
      <c r="Q355" s="46"/>
      <c r="R355" s="57"/>
      <c r="S355" s="7"/>
      <c r="T355" s="54"/>
      <c r="U355" s="58"/>
      <c r="V355" s="47"/>
      <c r="W355" s="18"/>
      <c r="X355" s="46"/>
      <c r="Y355" s="46"/>
      <c r="Z355" s="46"/>
      <c r="AA355" s="7"/>
      <c r="AB355" s="46"/>
      <c r="AC355" s="46"/>
      <c r="AD355" s="47"/>
      <c r="AE355" s="47"/>
      <c r="AF355" s="7"/>
      <c r="AG355" s="7"/>
      <c r="AH355" s="47"/>
      <c r="AI355" s="47"/>
      <c r="AJ355" s="18"/>
      <c r="AK355" s="26"/>
      <c r="AL355" s="34"/>
      <c r="AM355" s="34"/>
      <c r="AN355" s="18"/>
      <c r="AO355" s="18"/>
      <c r="AP355" s="18"/>
      <c r="AQ355" s="18"/>
      <c r="AR355" s="47"/>
      <c r="AS355" s="47"/>
    </row>
    <row r="356">
      <c r="A356" s="51"/>
      <c r="B356" s="51"/>
      <c r="C356" s="52"/>
      <c r="D356" s="51"/>
      <c r="E356" s="53"/>
      <c r="F356" s="54"/>
      <c r="G356" s="54"/>
      <c r="H356" s="51"/>
      <c r="I356" s="55"/>
      <c r="J356" s="56"/>
      <c r="K356" s="46"/>
      <c r="L356" s="46"/>
      <c r="M356" s="47"/>
      <c r="N356" s="46"/>
      <c r="O356" s="57"/>
      <c r="P356" s="46"/>
      <c r="Q356" s="46"/>
      <c r="R356" s="57"/>
      <c r="S356" s="7"/>
      <c r="T356" s="54"/>
      <c r="U356" s="58"/>
      <c r="V356" s="47"/>
      <c r="W356" s="18"/>
      <c r="X356" s="46"/>
      <c r="Y356" s="46"/>
      <c r="Z356" s="46"/>
      <c r="AA356" s="7"/>
      <c r="AB356" s="46"/>
      <c r="AC356" s="46"/>
      <c r="AD356" s="47"/>
      <c r="AE356" s="47"/>
      <c r="AF356" s="7"/>
      <c r="AG356" s="7"/>
      <c r="AH356" s="47"/>
      <c r="AI356" s="47"/>
      <c r="AJ356" s="18"/>
      <c r="AK356" s="26"/>
      <c r="AL356" s="34"/>
      <c r="AM356" s="34"/>
      <c r="AN356" s="18"/>
      <c r="AO356" s="18"/>
      <c r="AP356" s="18"/>
      <c r="AQ356" s="18"/>
      <c r="AR356" s="47"/>
      <c r="AS356" s="47"/>
    </row>
    <row r="357">
      <c r="A357" s="51"/>
      <c r="B357" s="51"/>
      <c r="C357" s="52"/>
      <c r="D357" s="51"/>
      <c r="E357" s="53"/>
      <c r="F357" s="54"/>
      <c r="G357" s="54"/>
      <c r="H357" s="51"/>
      <c r="I357" s="55"/>
      <c r="J357" s="56"/>
      <c r="K357" s="46"/>
      <c r="L357" s="46"/>
      <c r="M357" s="47"/>
      <c r="N357" s="46"/>
      <c r="O357" s="57"/>
      <c r="P357" s="46"/>
      <c r="Q357" s="46"/>
      <c r="R357" s="57"/>
      <c r="S357" s="7"/>
      <c r="T357" s="54"/>
      <c r="U357" s="58"/>
      <c r="V357" s="47"/>
      <c r="W357" s="18"/>
      <c r="X357" s="46"/>
      <c r="Y357" s="46"/>
      <c r="Z357" s="46"/>
      <c r="AA357" s="7"/>
      <c r="AB357" s="46"/>
      <c r="AC357" s="46"/>
      <c r="AD357" s="47"/>
      <c r="AE357" s="47"/>
      <c r="AF357" s="7"/>
      <c r="AG357" s="7"/>
      <c r="AH357" s="47"/>
      <c r="AI357" s="47"/>
      <c r="AJ357" s="18"/>
      <c r="AK357" s="26"/>
      <c r="AL357" s="34"/>
      <c r="AM357" s="34"/>
      <c r="AN357" s="18"/>
      <c r="AO357" s="18"/>
      <c r="AP357" s="18"/>
      <c r="AQ357" s="18"/>
      <c r="AR357" s="47"/>
      <c r="AS357" s="47"/>
    </row>
    <row r="358">
      <c r="A358" s="51"/>
      <c r="B358" s="51"/>
      <c r="C358" s="52"/>
      <c r="D358" s="51"/>
      <c r="E358" s="53"/>
      <c r="F358" s="54"/>
      <c r="G358" s="54"/>
      <c r="H358" s="51"/>
      <c r="I358" s="55"/>
      <c r="J358" s="56"/>
      <c r="K358" s="46"/>
      <c r="L358" s="46"/>
      <c r="M358" s="47"/>
      <c r="N358" s="46"/>
      <c r="O358" s="57"/>
      <c r="P358" s="46"/>
      <c r="Q358" s="46"/>
      <c r="R358" s="57"/>
      <c r="S358" s="7"/>
      <c r="T358" s="54"/>
      <c r="U358" s="58"/>
      <c r="V358" s="47"/>
      <c r="W358" s="18"/>
      <c r="X358" s="46"/>
      <c r="Y358" s="46"/>
      <c r="Z358" s="46"/>
      <c r="AA358" s="7"/>
      <c r="AB358" s="46"/>
      <c r="AC358" s="46"/>
      <c r="AD358" s="47"/>
      <c r="AE358" s="47"/>
      <c r="AF358" s="7"/>
      <c r="AG358" s="7"/>
      <c r="AH358" s="47"/>
      <c r="AI358" s="47"/>
      <c r="AJ358" s="18"/>
      <c r="AK358" s="26"/>
      <c r="AL358" s="34"/>
      <c r="AM358" s="34"/>
      <c r="AN358" s="18"/>
      <c r="AO358" s="18"/>
      <c r="AP358" s="18"/>
      <c r="AQ358" s="18"/>
      <c r="AR358" s="47"/>
      <c r="AS358" s="47"/>
    </row>
    <row r="359">
      <c r="A359" s="51"/>
      <c r="B359" s="51"/>
      <c r="C359" s="52"/>
      <c r="D359" s="51"/>
      <c r="E359" s="53"/>
      <c r="F359" s="54"/>
      <c r="G359" s="54"/>
      <c r="H359" s="51"/>
      <c r="I359" s="55"/>
      <c r="J359" s="56"/>
      <c r="K359" s="46"/>
      <c r="L359" s="46"/>
      <c r="M359" s="47"/>
      <c r="N359" s="46"/>
      <c r="O359" s="57"/>
      <c r="P359" s="46"/>
      <c r="Q359" s="46"/>
      <c r="R359" s="57"/>
      <c r="S359" s="7"/>
      <c r="T359" s="54"/>
      <c r="U359" s="58"/>
      <c r="V359" s="47"/>
      <c r="W359" s="18"/>
      <c r="X359" s="46"/>
      <c r="Y359" s="46"/>
      <c r="Z359" s="46"/>
      <c r="AA359" s="7"/>
      <c r="AB359" s="46"/>
      <c r="AC359" s="46"/>
      <c r="AD359" s="47"/>
      <c r="AE359" s="47"/>
      <c r="AF359" s="7"/>
      <c r="AG359" s="7"/>
      <c r="AH359" s="47"/>
      <c r="AI359" s="47"/>
      <c r="AJ359" s="18"/>
      <c r="AK359" s="26"/>
      <c r="AL359" s="34"/>
      <c r="AM359" s="34"/>
      <c r="AN359" s="18"/>
      <c r="AO359" s="18"/>
      <c r="AP359" s="18"/>
      <c r="AQ359" s="18"/>
      <c r="AR359" s="47"/>
      <c r="AS359" s="47"/>
    </row>
    <row r="360">
      <c r="A360" s="51"/>
      <c r="B360" s="51"/>
      <c r="C360" s="52"/>
      <c r="D360" s="51"/>
      <c r="E360" s="53"/>
      <c r="F360" s="54"/>
      <c r="G360" s="54"/>
      <c r="H360" s="51"/>
      <c r="I360" s="55"/>
      <c r="J360" s="56"/>
      <c r="K360" s="46"/>
      <c r="L360" s="46"/>
      <c r="M360" s="47"/>
      <c r="N360" s="46"/>
      <c r="O360" s="57"/>
      <c r="P360" s="46"/>
      <c r="Q360" s="46"/>
      <c r="R360" s="57"/>
      <c r="S360" s="7"/>
      <c r="T360" s="54"/>
      <c r="U360" s="58"/>
      <c r="V360" s="47"/>
      <c r="W360" s="18"/>
      <c r="X360" s="46"/>
      <c r="Y360" s="46"/>
      <c r="Z360" s="46"/>
      <c r="AA360" s="7"/>
      <c r="AB360" s="46"/>
      <c r="AC360" s="46"/>
      <c r="AD360" s="47"/>
      <c r="AE360" s="47"/>
      <c r="AF360" s="7"/>
      <c r="AG360" s="7"/>
      <c r="AH360" s="47"/>
      <c r="AI360" s="47"/>
      <c r="AJ360" s="18"/>
      <c r="AK360" s="26"/>
      <c r="AL360" s="34"/>
      <c r="AM360" s="34"/>
      <c r="AN360" s="18"/>
      <c r="AO360" s="18"/>
      <c r="AP360" s="18"/>
      <c r="AQ360" s="18"/>
      <c r="AR360" s="47"/>
      <c r="AS360" s="47"/>
    </row>
    <row r="361">
      <c r="A361" s="51"/>
      <c r="B361" s="51"/>
      <c r="C361" s="52"/>
      <c r="D361" s="51"/>
      <c r="E361" s="53"/>
      <c r="F361" s="54"/>
      <c r="G361" s="54"/>
      <c r="H361" s="51"/>
      <c r="I361" s="55"/>
      <c r="J361" s="56"/>
      <c r="K361" s="46"/>
      <c r="L361" s="46"/>
      <c r="M361" s="47"/>
      <c r="N361" s="46"/>
      <c r="O361" s="57"/>
      <c r="P361" s="46"/>
      <c r="Q361" s="46"/>
      <c r="R361" s="57"/>
      <c r="S361" s="7"/>
      <c r="T361" s="54"/>
      <c r="U361" s="58"/>
      <c r="V361" s="47"/>
      <c r="W361" s="18"/>
      <c r="X361" s="46"/>
      <c r="Y361" s="46"/>
      <c r="Z361" s="46"/>
      <c r="AA361" s="7"/>
      <c r="AB361" s="46"/>
      <c r="AC361" s="46"/>
      <c r="AD361" s="47"/>
      <c r="AE361" s="47"/>
      <c r="AF361" s="7"/>
      <c r="AG361" s="7"/>
      <c r="AH361" s="47"/>
      <c r="AI361" s="47"/>
      <c r="AJ361" s="18"/>
      <c r="AK361" s="26"/>
      <c r="AL361" s="34"/>
      <c r="AM361" s="34"/>
      <c r="AN361" s="18"/>
      <c r="AO361" s="18"/>
      <c r="AP361" s="18"/>
      <c r="AQ361" s="18"/>
      <c r="AR361" s="47"/>
      <c r="AS361" s="47"/>
    </row>
    <row r="362">
      <c r="A362" s="51"/>
      <c r="B362" s="51"/>
      <c r="C362" s="52"/>
      <c r="D362" s="51"/>
      <c r="E362" s="53"/>
      <c r="F362" s="54"/>
      <c r="G362" s="54"/>
      <c r="H362" s="51"/>
      <c r="I362" s="55"/>
      <c r="J362" s="56"/>
      <c r="K362" s="46"/>
      <c r="L362" s="46"/>
      <c r="M362" s="47"/>
      <c r="N362" s="46"/>
      <c r="O362" s="57"/>
      <c r="P362" s="46"/>
      <c r="Q362" s="46"/>
      <c r="R362" s="57"/>
      <c r="S362" s="7"/>
      <c r="T362" s="54"/>
      <c r="U362" s="58"/>
      <c r="V362" s="47"/>
      <c r="W362" s="18"/>
      <c r="X362" s="46"/>
      <c r="Y362" s="46"/>
      <c r="Z362" s="46"/>
      <c r="AA362" s="7"/>
      <c r="AB362" s="46"/>
      <c r="AC362" s="46"/>
      <c r="AD362" s="47"/>
      <c r="AE362" s="47"/>
      <c r="AF362" s="7"/>
      <c r="AG362" s="7"/>
      <c r="AH362" s="47"/>
      <c r="AI362" s="47"/>
      <c r="AJ362" s="18"/>
      <c r="AK362" s="26"/>
      <c r="AL362" s="34"/>
      <c r="AM362" s="34"/>
      <c r="AN362" s="18"/>
      <c r="AO362" s="18"/>
      <c r="AP362" s="18"/>
      <c r="AQ362" s="18"/>
      <c r="AR362" s="47"/>
      <c r="AS362" s="47"/>
    </row>
    <row r="363">
      <c r="A363" s="51"/>
      <c r="B363" s="51"/>
      <c r="C363" s="52"/>
      <c r="D363" s="51"/>
      <c r="E363" s="53"/>
      <c r="F363" s="54"/>
      <c r="G363" s="54"/>
      <c r="H363" s="51"/>
      <c r="I363" s="55"/>
      <c r="J363" s="56"/>
      <c r="K363" s="46"/>
      <c r="L363" s="46"/>
      <c r="M363" s="47"/>
      <c r="N363" s="46"/>
      <c r="O363" s="57"/>
      <c r="P363" s="46"/>
      <c r="Q363" s="46"/>
      <c r="R363" s="57"/>
      <c r="S363" s="7"/>
      <c r="T363" s="54"/>
      <c r="U363" s="58"/>
      <c r="V363" s="47"/>
      <c r="W363" s="18"/>
      <c r="X363" s="46"/>
      <c r="Y363" s="46"/>
      <c r="Z363" s="46"/>
      <c r="AA363" s="7"/>
      <c r="AB363" s="46"/>
      <c r="AC363" s="46"/>
      <c r="AD363" s="47"/>
      <c r="AE363" s="47"/>
      <c r="AF363" s="7"/>
      <c r="AG363" s="7"/>
      <c r="AH363" s="47"/>
      <c r="AI363" s="47"/>
      <c r="AJ363" s="18"/>
      <c r="AK363" s="26"/>
      <c r="AL363" s="34"/>
      <c r="AM363" s="34"/>
      <c r="AN363" s="18"/>
      <c r="AO363" s="18"/>
      <c r="AP363" s="18"/>
      <c r="AQ363" s="18"/>
      <c r="AR363" s="47"/>
      <c r="AS363" s="47"/>
    </row>
    <row r="364">
      <c r="A364" s="51"/>
      <c r="B364" s="51"/>
      <c r="C364" s="52"/>
      <c r="D364" s="51"/>
      <c r="E364" s="53"/>
      <c r="F364" s="54"/>
      <c r="G364" s="54"/>
      <c r="H364" s="51"/>
      <c r="I364" s="55"/>
      <c r="J364" s="56"/>
      <c r="K364" s="46"/>
      <c r="L364" s="46"/>
      <c r="M364" s="47"/>
      <c r="N364" s="46"/>
      <c r="O364" s="57"/>
      <c r="P364" s="46"/>
      <c r="Q364" s="46"/>
      <c r="R364" s="57"/>
      <c r="S364" s="7"/>
      <c r="T364" s="54"/>
      <c r="U364" s="58"/>
      <c r="V364" s="47"/>
      <c r="W364" s="18"/>
      <c r="X364" s="46"/>
      <c r="Y364" s="46"/>
      <c r="Z364" s="46"/>
      <c r="AA364" s="7"/>
      <c r="AB364" s="46"/>
      <c r="AC364" s="46"/>
      <c r="AD364" s="47"/>
      <c r="AE364" s="47"/>
      <c r="AF364" s="7"/>
      <c r="AG364" s="7"/>
      <c r="AH364" s="47"/>
      <c r="AI364" s="47"/>
      <c r="AJ364" s="18"/>
      <c r="AK364" s="26"/>
      <c r="AL364" s="34"/>
      <c r="AM364" s="34"/>
      <c r="AN364" s="18"/>
      <c r="AO364" s="18"/>
      <c r="AP364" s="18"/>
      <c r="AQ364" s="18"/>
      <c r="AR364" s="47"/>
      <c r="AS364" s="47"/>
    </row>
    <row r="365">
      <c r="A365" s="51"/>
      <c r="B365" s="51"/>
      <c r="C365" s="52"/>
      <c r="D365" s="51"/>
      <c r="E365" s="53"/>
      <c r="F365" s="54"/>
      <c r="G365" s="54"/>
      <c r="H365" s="51"/>
      <c r="I365" s="55"/>
      <c r="J365" s="56"/>
      <c r="K365" s="46"/>
      <c r="L365" s="46"/>
      <c r="M365" s="47"/>
      <c r="N365" s="46"/>
      <c r="O365" s="57"/>
      <c r="P365" s="46"/>
      <c r="Q365" s="46"/>
      <c r="R365" s="57"/>
      <c r="S365" s="7"/>
      <c r="T365" s="54"/>
      <c r="U365" s="58"/>
      <c r="V365" s="47"/>
      <c r="W365" s="18"/>
      <c r="X365" s="46"/>
      <c r="Y365" s="46"/>
      <c r="Z365" s="46"/>
      <c r="AA365" s="7"/>
      <c r="AB365" s="46"/>
      <c r="AC365" s="46"/>
      <c r="AD365" s="47"/>
      <c r="AE365" s="47"/>
      <c r="AF365" s="7"/>
      <c r="AG365" s="7"/>
      <c r="AH365" s="47"/>
      <c r="AI365" s="47"/>
      <c r="AJ365" s="18"/>
      <c r="AK365" s="26"/>
      <c r="AL365" s="34"/>
      <c r="AM365" s="34"/>
      <c r="AN365" s="18"/>
      <c r="AO365" s="18"/>
      <c r="AP365" s="18"/>
      <c r="AQ365" s="18"/>
      <c r="AR365" s="47"/>
      <c r="AS365" s="47"/>
    </row>
    <row r="366">
      <c r="A366" s="51"/>
      <c r="B366" s="51"/>
      <c r="C366" s="52"/>
      <c r="D366" s="51"/>
      <c r="E366" s="53"/>
      <c r="F366" s="54"/>
      <c r="G366" s="54"/>
      <c r="H366" s="51"/>
      <c r="I366" s="55"/>
      <c r="J366" s="56"/>
      <c r="K366" s="46"/>
      <c r="L366" s="46"/>
      <c r="M366" s="47"/>
      <c r="N366" s="46"/>
      <c r="O366" s="57"/>
      <c r="P366" s="46"/>
      <c r="Q366" s="46"/>
      <c r="R366" s="57"/>
      <c r="S366" s="7"/>
      <c r="T366" s="54"/>
      <c r="U366" s="58"/>
      <c r="V366" s="47"/>
      <c r="W366" s="18"/>
      <c r="X366" s="46"/>
      <c r="Y366" s="46"/>
      <c r="Z366" s="46"/>
      <c r="AA366" s="7"/>
      <c r="AB366" s="46"/>
      <c r="AC366" s="46"/>
      <c r="AD366" s="47"/>
      <c r="AE366" s="47"/>
      <c r="AF366" s="7"/>
      <c r="AG366" s="7"/>
      <c r="AH366" s="47"/>
      <c r="AI366" s="47"/>
      <c r="AJ366" s="18"/>
      <c r="AK366" s="26"/>
      <c r="AL366" s="34"/>
      <c r="AM366" s="34"/>
      <c r="AN366" s="18"/>
      <c r="AO366" s="18"/>
      <c r="AP366" s="18"/>
      <c r="AQ366" s="18"/>
      <c r="AR366" s="47"/>
      <c r="AS366" s="47"/>
    </row>
    <row r="367">
      <c r="A367" s="51"/>
      <c r="B367" s="51"/>
      <c r="C367" s="52"/>
      <c r="D367" s="51"/>
      <c r="E367" s="53"/>
      <c r="F367" s="54"/>
      <c r="G367" s="54"/>
      <c r="H367" s="51"/>
      <c r="I367" s="55"/>
      <c r="J367" s="56"/>
      <c r="K367" s="46"/>
      <c r="L367" s="46"/>
      <c r="M367" s="47"/>
      <c r="N367" s="46"/>
      <c r="O367" s="57"/>
      <c r="P367" s="46"/>
      <c r="Q367" s="46"/>
      <c r="R367" s="57"/>
      <c r="S367" s="7"/>
      <c r="T367" s="54"/>
      <c r="U367" s="58"/>
      <c r="V367" s="47"/>
      <c r="W367" s="18"/>
      <c r="X367" s="46"/>
      <c r="Y367" s="46"/>
      <c r="Z367" s="46"/>
      <c r="AA367" s="7"/>
      <c r="AB367" s="46"/>
      <c r="AC367" s="46"/>
      <c r="AD367" s="47"/>
      <c r="AE367" s="47"/>
      <c r="AF367" s="7"/>
      <c r="AG367" s="7"/>
      <c r="AH367" s="47"/>
      <c r="AI367" s="47"/>
      <c r="AJ367" s="18"/>
      <c r="AK367" s="26"/>
      <c r="AL367" s="34"/>
      <c r="AM367" s="34"/>
      <c r="AN367" s="18"/>
      <c r="AO367" s="18"/>
      <c r="AP367" s="18"/>
      <c r="AQ367" s="18"/>
      <c r="AR367" s="47"/>
      <c r="AS367" s="47"/>
    </row>
    <row r="368">
      <c r="A368" s="51"/>
      <c r="B368" s="51"/>
      <c r="C368" s="52"/>
      <c r="D368" s="51"/>
      <c r="E368" s="53"/>
      <c r="F368" s="54"/>
      <c r="G368" s="54"/>
      <c r="H368" s="51"/>
      <c r="I368" s="55"/>
      <c r="J368" s="56"/>
      <c r="K368" s="46"/>
      <c r="L368" s="46"/>
      <c r="M368" s="47"/>
      <c r="N368" s="46"/>
      <c r="O368" s="57"/>
      <c r="P368" s="46"/>
      <c r="Q368" s="46"/>
      <c r="R368" s="57"/>
      <c r="S368" s="7"/>
      <c r="T368" s="54"/>
      <c r="U368" s="58"/>
      <c r="V368" s="47"/>
      <c r="W368" s="18"/>
      <c r="X368" s="46"/>
      <c r="Y368" s="46"/>
      <c r="Z368" s="46"/>
      <c r="AA368" s="7"/>
      <c r="AB368" s="46"/>
      <c r="AC368" s="46"/>
      <c r="AD368" s="47"/>
      <c r="AE368" s="47"/>
      <c r="AF368" s="7"/>
      <c r="AG368" s="7"/>
      <c r="AH368" s="47"/>
      <c r="AI368" s="47"/>
      <c r="AJ368" s="18"/>
      <c r="AK368" s="26"/>
      <c r="AL368" s="34"/>
      <c r="AM368" s="34"/>
      <c r="AN368" s="18"/>
      <c r="AO368" s="18"/>
      <c r="AP368" s="18"/>
      <c r="AQ368" s="18"/>
      <c r="AR368" s="47"/>
      <c r="AS368" s="47"/>
    </row>
    <row r="369">
      <c r="A369" s="51"/>
      <c r="B369" s="51"/>
      <c r="C369" s="52"/>
      <c r="D369" s="51"/>
      <c r="E369" s="53"/>
      <c r="F369" s="54"/>
      <c r="G369" s="54"/>
      <c r="H369" s="51"/>
      <c r="I369" s="55"/>
      <c r="J369" s="56"/>
      <c r="K369" s="46"/>
      <c r="L369" s="46"/>
      <c r="M369" s="47"/>
      <c r="N369" s="46"/>
      <c r="O369" s="57"/>
      <c r="P369" s="46"/>
      <c r="Q369" s="46"/>
      <c r="R369" s="57"/>
      <c r="S369" s="7"/>
      <c r="T369" s="54"/>
      <c r="U369" s="58"/>
      <c r="V369" s="47"/>
      <c r="W369" s="18"/>
      <c r="X369" s="46"/>
      <c r="Y369" s="46"/>
      <c r="Z369" s="46"/>
      <c r="AA369" s="7"/>
      <c r="AB369" s="46"/>
      <c r="AC369" s="46"/>
      <c r="AD369" s="47"/>
      <c r="AE369" s="47"/>
      <c r="AF369" s="7"/>
      <c r="AG369" s="7"/>
      <c r="AH369" s="47"/>
      <c r="AI369" s="47"/>
      <c r="AJ369" s="18"/>
      <c r="AK369" s="26"/>
      <c r="AL369" s="34"/>
      <c r="AM369" s="34"/>
      <c r="AN369" s="18"/>
      <c r="AO369" s="18"/>
      <c r="AP369" s="18"/>
      <c r="AQ369" s="18"/>
      <c r="AR369" s="47"/>
      <c r="AS369" s="47"/>
    </row>
    <row r="370">
      <c r="A370" s="51"/>
      <c r="B370" s="51"/>
      <c r="C370" s="52"/>
      <c r="D370" s="51"/>
      <c r="E370" s="53"/>
      <c r="F370" s="54"/>
      <c r="G370" s="54"/>
      <c r="H370" s="51"/>
      <c r="I370" s="55"/>
      <c r="J370" s="56"/>
      <c r="K370" s="46"/>
      <c r="L370" s="46"/>
      <c r="M370" s="47"/>
      <c r="N370" s="46"/>
      <c r="O370" s="57"/>
      <c r="P370" s="46"/>
      <c r="Q370" s="46"/>
      <c r="R370" s="57"/>
      <c r="S370" s="7"/>
      <c r="T370" s="54"/>
      <c r="U370" s="58"/>
      <c r="V370" s="47"/>
      <c r="W370" s="18"/>
      <c r="X370" s="46"/>
      <c r="Y370" s="46"/>
      <c r="Z370" s="46"/>
      <c r="AA370" s="7"/>
      <c r="AB370" s="46"/>
      <c r="AC370" s="46"/>
      <c r="AD370" s="47"/>
      <c r="AE370" s="47"/>
      <c r="AF370" s="7"/>
      <c r="AG370" s="7"/>
      <c r="AH370" s="47"/>
      <c r="AI370" s="47"/>
      <c r="AJ370" s="18"/>
      <c r="AK370" s="26"/>
      <c r="AL370" s="34"/>
      <c r="AM370" s="34"/>
      <c r="AN370" s="18"/>
      <c r="AO370" s="18"/>
      <c r="AP370" s="18"/>
      <c r="AQ370" s="18"/>
      <c r="AR370" s="47"/>
      <c r="AS370" s="47"/>
    </row>
    <row r="371">
      <c r="A371" s="51"/>
      <c r="B371" s="51"/>
      <c r="C371" s="52"/>
      <c r="D371" s="51"/>
      <c r="E371" s="53"/>
      <c r="F371" s="54"/>
      <c r="G371" s="54"/>
      <c r="H371" s="51"/>
      <c r="I371" s="55"/>
      <c r="J371" s="56"/>
      <c r="K371" s="46"/>
      <c r="L371" s="46"/>
      <c r="M371" s="47"/>
      <c r="N371" s="46"/>
      <c r="O371" s="57"/>
      <c r="P371" s="46"/>
      <c r="Q371" s="46"/>
      <c r="R371" s="57"/>
      <c r="S371" s="7"/>
      <c r="T371" s="54"/>
      <c r="U371" s="58"/>
      <c r="V371" s="47"/>
      <c r="W371" s="18"/>
      <c r="X371" s="46"/>
      <c r="Y371" s="46"/>
      <c r="Z371" s="46"/>
      <c r="AA371" s="7"/>
      <c r="AB371" s="46"/>
      <c r="AC371" s="46"/>
      <c r="AD371" s="47"/>
      <c r="AE371" s="47"/>
      <c r="AF371" s="7"/>
      <c r="AG371" s="7"/>
      <c r="AH371" s="47"/>
      <c r="AI371" s="47"/>
      <c r="AJ371" s="18"/>
      <c r="AK371" s="26"/>
      <c r="AL371" s="34"/>
      <c r="AM371" s="34"/>
      <c r="AN371" s="18"/>
      <c r="AO371" s="18"/>
      <c r="AP371" s="18"/>
      <c r="AQ371" s="18"/>
      <c r="AR371" s="47"/>
      <c r="AS371" s="47"/>
    </row>
    <row r="372">
      <c r="A372" s="51"/>
      <c r="B372" s="51"/>
      <c r="C372" s="52"/>
      <c r="D372" s="51"/>
      <c r="E372" s="53"/>
      <c r="F372" s="54"/>
      <c r="G372" s="54"/>
      <c r="H372" s="51"/>
      <c r="I372" s="55"/>
      <c r="J372" s="56"/>
      <c r="K372" s="46"/>
      <c r="L372" s="46"/>
      <c r="M372" s="47"/>
      <c r="N372" s="46"/>
      <c r="O372" s="57"/>
      <c r="P372" s="46"/>
      <c r="Q372" s="46"/>
      <c r="R372" s="57"/>
      <c r="S372" s="7"/>
      <c r="T372" s="54"/>
      <c r="U372" s="58"/>
      <c r="V372" s="47"/>
      <c r="W372" s="18"/>
      <c r="X372" s="46"/>
      <c r="Y372" s="46"/>
      <c r="Z372" s="46"/>
      <c r="AA372" s="7"/>
      <c r="AB372" s="46"/>
      <c r="AC372" s="46"/>
      <c r="AD372" s="47"/>
      <c r="AE372" s="47"/>
      <c r="AF372" s="7"/>
      <c r="AG372" s="7"/>
      <c r="AH372" s="47"/>
      <c r="AI372" s="47"/>
      <c r="AJ372" s="18"/>
      <c r="AK372" s="26"/>
      <c r="AL372" s="34"/>
      <c r="AM372" s="34"/>
      <c r="AN372" s="18"/>
      <c r="AO372" s="18"/>
      <c r="AP372" s="18"/>
      <c r="AQ372" s="18"/>
      <c r="AR372" s="47"/>
      <c r="AS372" s="47"/>
    </row>
    <row r="373">
      <c r="A373" s="51"/>
      <c r="B373" s="51"/>
      <c r="C373" s="52"/>
      <c r="D373" s="51"/>
      <c r="E373" s="53"/>
      <c r="F373" s="54"/>
      <c r="G373" s="54"/>
      <c r="H373" s="51"/>
      <c r="I373" s="55"/>
      <c r="J373" s="56"/>
      <c r="K373" s="46"/>
      <c r="L373" s="46"/>
      <c r="M373" s="47"/>
      <c r="N373" s="46"/>
      <c r="O373" s="57"/>
      <c r="P373" s="46"/>
      <c r="Q373" s="46"/>
      <c r="R373" s="57"/>
      <c r="S373" s="7"/>
      <c r="T373" s="54"/>
      <c r="U373" s="58"/>
      <c r="V373" s="47"/>
      <c r="W373" s="18"/>
      <c r="X373" s="46"/>
      <c r="Y373" s="46"/>
      <c r="Z373" s="46"/>
      <c r="AA373" s="7"/>
      <c r="AB373" s="46"/>
      <c r="AC373" s="46"/>
      <c r="AD373" s="47"/>
      <c r="AE373" s="47"/>
      <c r="AF373" s="7"/>
      <c r="AG373" s="7"/>
      <c r="AH373" s="47"/>
      <c r="AI373" s="47"/>
      <c r="AJ373" s="18"/>
      <c r="AK373" s="26"/>
      <c r="AL373" s="34"/>
      <c r="AM373" s="34"/>
      <c r="AN373" s="18"/>
      <c r="AO373" s="18"/>
      <c r="AP373" s="18"/>
      <c r="AQ373" s="18"/>
      <c r="AR373" s="47"/>
      <c r="AS373" s="47"/>
    </row>
    <row r="374">
      <c r="A374" s="51"/>
      <c r="B374" s="51"/>
      <c r="C374" s="52"/>
      <c r="D374" s="51"/>
      <c r="E374" s="53"/>
      <c r="F374" s="54"/>
      <c r="G374" s="54"/>
      <c r="H374" s="51"/>
      <c r="I374" s="55"/>
      <c r="J374" s="56"/>
      <c r="K374" s="46"/>
      <c r="L374" s="46"/>
      <c r="M374" s="47"/>
      <c r="N374" s="46"/>
      <c r="O374" s="57"/>
      <c r="P374" s="46"/>
      <c r="Q374" s="46"/>
      <c r="R374" s="57"/>
      <c r="S374" s="7"/>
      <c r="T374" s="54"/>
      <c r="U374" s="58"/>
      <c r="V374" s="47"/>
      <c r="W374" s="18"/>
      <c r="X374" s="46"/>
      <c r="Y374" s="46"/>
      <c r="Z374" s="46"/>
      <c r="AA374" s="7"/>
      <c r="AB374" s="46"/>
      <c r="AC374" s="46"/>
      <c r="AD374" s="47"/>
      <c r="AE374" s="47"/>
      <c r="AF374" s="7"/>
      <c r="AG374" s="7"/>
      <c r="AH374" s="47"/>
      <c r="AI374" s="47"/>
      <c r="AJ374" s="18"/>
      <c r="AK374" s="26"/>
      <c r="AL374" s="34"/>
      <c r="AM374" s="34"/>
      <c r="AN374" s="18"/>
      <c r="AO374" s="18"/>
      <c r="AP374" s="18"/>
      <c r="AQ374" s="18"/>
      <c r="AR374" s="47"/>
      <c r="AS374" s="47"/>
    </row>
    <row r="375">
      <c r="A375" s="51"/>
      <c r="B375" s="51"/>
      <c r="C375" s="52"/>
      <c r="D375" s="51"/>
      <c r="E375" s="53"/>
      <c r="F375" s="54"/>
      <c r="G375" s="54"/>
      <c r="H375" s="51"/>
      <c r="I375" s="55"/>
      <c r="J375" s="56"/>
      <c r="K375" s="46"/>
      <c r="L375" s="46"/>
      <c r="M375" s="47"/>
      <c r="N375" s="46"/>
      <c r="O375" s="57"/>
      <c r="P375" s="46"/>
      <c r="Q375" s="46"/>
      <c r="R375" s="57"/>
      <c r="S375" s="7"/>
      <c r="T375" s="54"/>
      <c r="U375" s="58"/>
      <c r="V375" s="47"/>
      <c r="W375" s="18"/>
      <c r="X375" s="46"/>
      <c r="Y375" s="46"/>
      <c r="Z375" s="46"/>
      <c r="AA375" s="7"/>
      <c r="AB375" s="46"/>
      <c r="AC375" s="46"/>
      <c r="AD375" s="47"/>
      <c r="AE375" s="47"/>
      <c r="AF375" s="7"/>
      <c r="AG375" s="7"/>
      <c r="AH375" s="47"/>
      <c r="AI375" s="47"/>
      <c r="AJ375" s="18"/>
      <c r="AK375" s="26"/>
      <c r="AL375" s="34"/>
      <c r="AM375" s="34"/>
      <c r="AN375" s="18"/>
      <c r="AO375" s="18"/>
      <c r="AP375" s="18"/>
      <c r="AQ375" s="18"/>
      <c r="AR375" s="47"/>
      <c r="AS375" s="47"/>
    </row>
    <row r="376">
      <c r="A376" s="51"/>
      <c r="B376" s="51"/>
      <c r="C376" s="52"/>
      <c r="D376" s="51"/>
      <c r="E376" s="53"/>
      <c r="F376" s="54"/>
      <c r="G376" s="54"/>
      <c r="H376" s="51"/>
      <c r="I376" s="55"/>
      <c r="J376" s="56"/>
      <c r="K376" s="46"/>
      <c r="L376" s="46"/>
      <c r="M376" s="47"/>
      <c r="N376" s="46"/>
      <c r="O376" s="57"/>
      <c r="P376" s="46"/>
      <c r="Q376" s="46"/>
      <c r="R376" s="57"/>
      <c r="S376" s="7"/>
      <c r="T376" s="54"/>
      <c r="U376" s="58"/>
      <c r="V376" s="47"/>
      <c r="W376" s="18"/>
      <c r="X376" s="46"/>
      <c r="Y376" s="46"/>
      <c r="Z376" s="46"/>
      <c r="AA376" s="7"/>
      <c r="AB376" s="46"/>
      <c r="AC376" s="46"/>
      <c r="AD376" s="47"/>
      <c r="AE376" s="47"/>
      <c r="AF376" s="7"/>
      <c r="AG376" s="7"/>
      <c r="AH376" s="47"/>
      <c r="AI376" s="47"/>
      <c r="AJ376" s="18"/>
      <c r="AK376" s="26"/>
      <c r="AL376" s="34"/>
      <c r="AM376" s="34"/>
      <c r="AN376" s="18"/>
      <c r="AO376" s="18"/>
      <c r="AP376" s="18"/>
      <c r="AQ376" s="18"/>
      <c r="AR376" s="47"/>
      <c r="AS376" s="47"/>
    </row>
    <row r="377">
      <c r="A377" s="51"/>
      <c r="B377" s="51"/>
      <c r="C377" s="52"/>
      <c r="D377" s="51"/>
      <c r="E377" s="53"/>
      <c r="F377" s="54"/>
      <c r="G377" s="54"/>
      <c r="H377" s="51"/>
      <c r="I377" s="55"/>
      <c r="J377" s="56"/>
      <c r="K377" s="46"/>
      <c r="L377" s="46"/>
      <c r="M377" s="47"/>
      <c r="N377" s="46"/>
      <c r="O377" s="57"/>
      <c r="P377" s="46"/>
      <c r="Q377" s="46"/>
      <c r="R377" s="57"/>
      <c r="S377" s="7"/>
      <c r="T377" s="54"/>
      <c r="U377" s="58"/>
      <c r="V377" s="47"/>
      <c r="W377" s="18"/>
      <c r="X377" s="46"/>
      <c r="Y377" s="46"/>
      <c r="Z377" s="46"/>
      <c r="AA377" s="7"/>
      <c r="AB377" s="46"/>
      <c r="AC377" s="46"/>
      <c r="AD377" s="47"/>
      <c r="AE377" s="47"/>
      <c r="AF377" s="7"/>
      <c r="AG377" s="7"/>
      <c r="AH377" s="47"/>
      <c r="AI377" s="47"/>
      <c r="AJ377" s="18"/>
      <c r="AK377" s="26"/>
      <c r="AL377" s="34"/>
      <c r="AM377" s="34"/>
      <c r="AN377" s="18"/>
      <c r="AO377" s="18"/>
      <c r="AP377" s="18"/>
      <c r="AQ377" s="18"/>
      <c r="AR377" s="47"/>
      <c r="AS377" s="47"/>
    </row>
    <row r="378">
      <c r="A378" s="51"/>
      <c r="B378" s="51"/>
      <c r="C378" s="52"/>
      <c r="D378" s="51"/>
      <c r="E378" s="53"/>
      <c r="F378" s="54"/>
      <c r="G378" s="54"/>
      <c r="H378" s="51"/>
      <c r="I378" s="55"/>
      <c r="J378" s="56"/>
      <c r="K378" s="46"/>
      <c r="L378" s="46"/>
      <c r="M378" s="47"/>
      <c r="N378" s="46"/>
      <c r="O378" s="57"/>
      <c r="P378" s="46"/>
      <c r="Q378" s="46"/>
      <c r="R378" s="57"/>
      <c r="S378" s="7"/>
      <c r="T378" s="54"/>
      <c r="U378" s="58"/>
      <c r="V378" s="47"/>
      <c r="W378" s="18"/>
      <c r="X378" s="46"/>
      <c r="Y378" s="46"/>
      <c r="Z378" s="46"/>
      <c r="AA378" s="7"/>
      <c r="AB378" s="46"/>
      <c r="AC378" s="46"/>
      <c r="AD378" s="47"/>
      <c r="AE378" s="47"/>
      <c r="AF378" s="7"/>
      <c r="AG378" s="7"/>
      <c r="AH378" s="47"/>
      <c r="AI378" s="47"/>
      <c r="AJ378" s="18"/>
      <c r="AK378" s="26"/>
      <c r="AL378" s="34"/>
      <c r="AM378" s="34"/>
      <c r="AN378" s="18"/>
      <c r="AO378" s="18"/>
      <c r="AP378" s="18"/>
      <c r="AQ378" s="18"/>
      <c r="AR378" s="47"/>
      <c r="AS378" s="47"/>
    </row>
    <row r="379">
      <c r="A379" s="51"/>
      <c r="B379" s="51"/>
      <c r="C379" s="52"/>
      <c r="D379" s="51"/>
      <c r="E379" s="53"/>
      <c r="F379" s="54"/>
      <c r="G379" s="54"/>
      <c r="H379" s="51"/>
      <c r="I379" s="55"/>
      <c r="J379" s="56"/>
      <c r="K379" s="46"/>
      <c r="L379" s="46"/>
      <c r="M379" s="47"/>
      <c r="N379" s="46"/>
      <c r="O379" s="57"/>
      <c r="P379" s="46"/>
      <c r="Q379" s="46"/>
      <c r="R379" s="57"/>
      <c r="S379" s="7"/>
      <c r="T379" s="54"/>
      <c r="U379" s="58"/>
      <c r="V379" s="47"/>
      <c r="W379" s="18"/>
      <c r="X379" s="46"/>
      <c r="Y379" s="46"/>
      <c r="Z379" s="46"/>
      <c r="AA379" s="7"/>
      <c r="AB379" s="46"/>
      <c r="AC379" s="46"/>
      <c r="AD379" s="47"/>
      <c r="AE379" s="47"/>
      <c r="AF379" s="7"/>
      <c r="AG379" s="7"/>
      <c r="AH379" s="47"/>
      <c r="AI379" s="47"/>
      <c r="AJ379" s="18"/>
      <c r="AK379" s="26"/>
      <c r="AL379" s="34"/>
      <c r="AM379" s="34"/>
      <c r="AN379" s="18"/>
      <c r="AO379" s="18"/>
      <c r="AP379" s="18"/>
      <c r="AQ379" s="18"/>
      <c r="AR379" s="47"/>
      <c r="AS379" s="47"/>
    </row>
    <row r="380">
      <c r="A380" s="51"/>
      <c r="B380" s="51"/>
      <c r="C380" s="52"/>
      <c r="D380" s="51"/>
      <c r="E380" s="53"/>
      <c r="F380" s="54"/>
      <c r="G380" s="54"/>
      <c r="H380" s="51"/>
      <c r="I380" s="55"/>
      <c r="J380" s="56"/>
      <c r="K380" s="46"/>
      <c r="L380" s="46"/>
      <c r="M380" s="47"/>
      <c r="N380" s="46"/>
      <c r="O380" s="57"/>
      <c r="P380" s="46"/>
      <c r="Q380" s="46"/>
      <c r="R380" s="57"/>
      <c r="S380" s="7"/>
      <c r="T380" s="54"/>
      <c r="U380" s="58"/>
      <c r="V380" s="47"/>
      <c r="W380" s="18"/>
      <c r="X380" s="46"/>
      <c r="Y380" s="46"/>
      <c r="Z380" s="46"/>
      <c r="AA380" s="7"/>
      <c r="AB380" s="46"/>
      <c r="AC380" s="46"/>
      <c r="AD380" s="47"/>
      <c r="AE380" s="47"/>
      <c r="AF380" s="7"/>
      <c r="AG380" s="7"/>
      <c r="AH380" s="47"/>
      <c r="AI380" s="47"/>
      <c r="AJ380" s="18"/>
      <c r="AK380" s="26"/>
      <c r="AL380" s="34"/>
      <c r="AM380" s="34"/>
      <c r="AN380" s="18"/>
      <c r="AO380" s="18"/>
      <c r="AP380" s="18"/>
      <c r="AQ380" s="18"/>
      <c r="AR380" s="47"/>
      <c r="AS380" s="47"/>
    </row>
    <row r="381">
      <c r="A381" s="51"/>
      <c r="B381" s="51"/>
      <c r="C381" s="52"/>
      <c r="D381" s="51"/>
      <c r="E381" s="53"/>
      <c r="F381" s="54"/>
      <c r="G381" s="54"/>
      <c r="H381" s="51"/>
      <c r="I381" s="55"/>
      <c r="J381" s="56"/>
      <c r="K381" s="46"/>
      <c r="L381" s="46"/>
      <c r="M381" s="47"/>
      <c r="N381" s="46"/>
      <c r="O381" s="57"/>
      <c r="P381" s="46"/>
      <c r="Q381" s="46"/>
      <c r="R381" s="57"/>
      <c r="S381" s="7"/>
      <c r="T381" s="54"/>
      <c r="U381" s="58"/>
      <c r="V381" s="47"/>
      <c r="W381" s="18"/>
      <c r="X381" s="46"/>
      <c r="Y381" s="46"/>
      <c r="Z381" s="46"/>
      <c r="AA381" s="7"/>
      <c r="AB381" s="46"/>
      <c r="AC381" s="46"/>
      <c r="AD381" s="47"/>
      <c r="AE381" s="47"/>
      <c r="AF381" s="7"/>
      <c r="AG381" s="7"/>
      <c r="AH381" s="47"/>
      <c r="AI381" s="47"/>
      <c r="AJ381" s="18"/>
      <c r="AK381" s="26"/>
      <c r="AL381" s="34"/>
      <c r="AM381" s="34"/>
      <c r="AN381" s="18"/>
      <c r="AO381" s="18"/>
      <c r="AP381" s="18"/>
      <c r="AQ381" s="18"/>
      <c r="AR381" s="47"/>
      <c r="AS381" s="47"/>
    </row>
    <row r="382">
      <c r="A382" s="51"/>
      <c r="B382" s="51"/>
      <c r="C382" s="52"/>
      <c r="D382" s="51"/>
      <c r="E382" s="53"/>
      <c r="F382" s="54"/>
      <c r="G382" s="54"/>
      <c r="H382" s="51"/>
      <c r="I382" s="55"/>
      <c r="J382" s="56"/>
      <c r="K382" s="46"/>
      <c r="L382" s="46"/>
      <c r="M382" s="47"/>
      <c r="N382" s="46"/>
      <c r="O382" s="57"/>
      <c r="P382" s="46"/>
      <c r="Q382" s="46"/>
      <c r="R382" s="57"/>
      <c r="S382" s="7"/>
      <c r="T382" s="54"/>
      <c r="U382" s="58"/>
      <c r="V382" s="47"/>
      <c r="W382" s="18"/>
      <c r="X382" s="46"/>
      <c r="Y382" s="46"/>
      <c r="Z382" s="46"/>
      <c r="AA382" s="7"/>
      <c r="AB382" s="46"/>
      <c r="AC382" s="46"/>
      <c r="AD382" s="47"/>
      <c r="AE382" s="47"/>
      <c r="AF382" s="7"/>
      <c r="AG382" s="7"/>
      <c r="AH382" s="47"/>
      <c r="AI382" s="47"/>
      <c r="AJ382" s="18"/>
      <c r="AK382" s="26"/>
      <c r="AL382" s="34"/>
      <c r="AM382" s="34"/>
      <c r="AN382" s="18"/>
      <c r="AO382" s="18"/>
      <c r="AP382" s="18"/>
      <c r="AQ382" s="18"/>
      <c r="AR382" s="47"/>
      <c r="AS382" s="47"/>
    </row>
    <row r="383">
      <c r="A383" s="51"/>
      <c r="B383" s="51"/>
      <c r="C383" s="52"/>
      <c r="D383" s="51"/>
      <c r="E383" s="53"/>
      <c r="F383" s="54"/>
      <c r="G383" s="54"/>
      <c r="H383" s="51"/>
      <c r="I383" s="55"/>
      <c r="J383" s="56"/>
      <c r="K383" s="46"/>
      <c r="L383" s="46"/>
      <c r="M383" s="47"/>
      <c r="N383" s="46"/>
      <c r="O383" s="57"/>
      <c r="P383" s="46"/>
      <c r="Q383" s="46"/>
      <c r="R383" s="57"/>
      <c r="S383" s="7"/>
      <c r="T383" s="54"/>
      <c r="U383" s="58"/>
      <c r="V383" s="47"/>
      <c r="W383" s="18"/>
      <c r="X383" s="46"/>
      <c r="Y383" s="46"/>
      <c r="Z383" s="46"/>
      <c r="AA383" s="7"/>
      <c r="AB383" s="46"/>
      <c r="AC383" s="46"/>
      <c r="AD383" s="47"/>
      <c r="AE383" s="47"/>
      <c r="AF383" s="7"/>
      <c r="AG383" s="7"/>
      <c r="AH383" s="47"/>
      <c r="AI383" s="47"/>
      <c r="AJ383" s="18"/>
      <c r="AK383" s="26"/>
      <c r="AL383" s="34"/>
      <c r="AM383" s="34"/>
      <c r="AN383" s="18"/>
      <c r="AO383" s="18"/>
      <c r="AP383" s="18"/>
      <c r="AQ383" s="18"/>
      <c r="AR383" s="47"/>
      <c r="AS383" s="47"/>
    </row>
    <row r="384">
      <c r="A384" s="51"/>
      <c r="B384" s="51"/>
      <c r="C384" s="52"/>
      <c r="D384" s="51"/>
      <c r="E384" s="53"/>
      <c r="F384" s="54"/>
      <c r="G384" s="54"/>
      <c r="H384" s="51"/>
      <c r="I384" s="55"/>
      <c r="J384" s="56"/>
      <c r="K384" s="46"/>
      <c r="L384" s="46"/>
      <c r="M384" s="47"/>
      <c r="N384" s="46"/>
      <c r="O384" s="57"/>
      <c r="P384" s="46"/>
      <c r="Q384" s="46"/>
      <c r="R384" s="57"/>
      <c r="S384" s="7"/>
      <c r="T384" s="54"/>
      <c r="U384" s="58"/>
      <c r="V384" s="47"/>
      <c r="W384" s="18"/>
      <c r="X384" s="46"/>
      <c r="Y384" s="46"/>
      <c r="Z384" s="46"/>
      <c r="AA384" s="7"/>
      <c r="AB384" s="46"/>
      <c r="AC384" s="46"/>
      <c r="AD384" s="47"/>
      <c r="AE384" s="47"/>
      <c r="AF384" s="7"/>
      <c r="AG384" s="7"/>
      <c r="AH384" s="47"/>
      <c r="AI384" s="47"/>
      <c r="AJ384" s="18"/>
      <c r="AK384" s="26"/>
      <c r="AL384" s="34"/>
      <c r="AM384" s="34"/>
      <c r="AN384" s="18"/>
      <c r="AO384" s="18"/>
      <c r="AP384" s="18"/>
      <c r="AQ384" s="18"/>
      <c r="AR384" s="47"/>
      <c r="AS384" s="47"/>
    </row>
    <row r="385">
      <c r="A385" s="51"/>
      <c r="B385" s="51"/>
      <c r="C385" s="52"/>
      <c r="D385" s="51"/>
      <c r="E385" s="53"/>
      <c r="F385" s="54"/>
      <c r="G385" s="54"/>
      <c r="H385" s="51"/>
      <c r="I385" s="55"/>
      <c r="J385" s="56"/>
      <c r="K385" s="46"/>
      <c r="L385" s="46"/>
      <c r="M385" s="47"/>
      <c r="N385" s="46"/>
      <c r="O385" s="57"/>
      <c r="P385" s="46"/>
      <c r="Q385" s="46"/>
      <c r="R385" s="57"/>
      <c r="S385" s="7"/>
      <c r="T385" s="54"/>
      <c r="U385" s="58"/>
      <c r="V385" s="47"/>
      <c r="W385" s="18"/>
      <c r="X385" s="46"/>
      <c r="Y385" s="46"/>
      <c r="Z385" s="46"/>
      <c r="AA385" s="7"/>
      <c r="AB385" s="46"/>
      <c r="AC385" s="46"/>
      <c r="AD385" s="47"/>
      <c r="AE385" s="47"/>
      <c r="AF385" s="7"/>
      <c r="AG385" s="7"/>
      <c r="AH385" s="47"/>
      <c r="AI385" s="47"/>
      <c r="AJ385" s="18"/>
      <c r="AK385" s="26"/>
      <c r="AL385" s="34"/>
      <c r="AM385" s="34"/>
      <c r="AN385" s="18"/>
      <c r="AO385" s="18"/>
      <c r="AP385" s="18"/>
      <c r="AQ385" s="18"/>
      <c r="AR385" s="47"/>
      <c r="AS385" s="47"/>
    </row>
    <row r="386">
      <c r="A386" s="51"/>
      <c r="B386" s="51"/>
      <c r="C386" s="52"/>
      <c r="D386" s="51"/>
      <c r="E386" s="53"/>
      <c r="F386" s="54"/>
      <c r="G386" s="54"/>
      <c r="H386" s="51"/>
      <c r="I386" s="55"/>
      <c r="J386" s="56"/>
      <c r="K386" s="46"/>
      <c r="L386" s="46"/>
      <c r="M386" s="47"/>
      <c r="N386" s="46"/>
      <c r="O386" s="57"/>
      <c r="P386" s="46"/>
      <c r="Q386" s="46"/>
      <c r="R386" s="57"/>
      <c r="S386" s="7"/>
      <c r="T386" s="54"/>
      <c r="U386" s="58"/>
      <c r="V386" s="47"/>
      <c r="W386" s="18"/>
      <c r="X386" s="46"/>
      <c r="Y386" s="46"/>
      <c r="Z386" s="46"/>
      <c r="AA386" s="7"/>
      <c r="AB386" s="46"/>
      <c r="AC386" s="46"/>
      <c r="AD386" s="47"/>
      <c r="AE386" s="47"/>
      <c r="AF386" s="7"/>
      <c r="AG386" s="7"/>
      <c r="AH386" s="47"/>
      <c r="AI386" s="47"/>
      <c r="AJ386" s="18"/>
      <c r="AK386" s="26"/>
      <c r="AL386" s="34"/>
      <c r="AM386" s="34"/>
      <c r="AN386" s="18"/>
      <c r="AO386" s="18"/>
      <c r="AP386" s="18"/>
      <c r="AQ386" s="18"/>
      <c r="AR386" s="47"/>
      <c r="AS386" s="47"/>
    </row>
    <row r="387">
      <c r="A387" s="51"/>
      <c r="B387" s="51"/>
      <c r="C387" s="52"/>
      <c r="D387" s="51"/>
      <c r="E387" s="53"/>
      <c r="F387" s="54"/>
      <c r="G387" s="54"/>
      <c r="H387" s="51"/>
      <c r="I387" s="55"/>
      <c r="J387" s="56"/>
      <c r="K387" s="46"/>
      <c r="L387" s="46"/>
      <c r="M387" s="47"/>
      <c r="N387" s="46"/>
      <c r="O387" s="57"/>
      <c r="P387" s="46"/>
      <c r="Q387" s="46"/>
      <c r="R387" s="57"/>
      <c r="S387" s="7"/>
      <c r="T387" s="54"/>
      <c r="U387" s="58"/>
      <c r="V387" s="47"/>
      <c r="W387" s="18"/>
      <c r="X387" s="46"/>
      <c r="Y387" s="46"/>
      <c r="Z387" s="46"/>
      <c r="AA387" s="7"/>
      <c r="AB387" s="46"/>
      <c r="AC387" s="46"/>
      <c r="AD387" s="47"/>
      <c r="AE387" s="47"/>
      <c r="AF387" s="7"/>
      <c r="AG387" s="7"/>
      <c r="AH387" s="47"/>
      <c r="AI387" s="47"/>
      <c r="AJ387" s="18"/>
      <c r="AK387" s="26"/>
      <c r="AL387" s="34"/>
      <c r="AM387" s="34"/>
      <c r="AN387" s="18"/>
      <c r="AO387" s="18"/>
      <c r="AP387" s="18"/>
      <c r="AQ387" s="18"/>
      <c r="AR387" s="47"/>
      <c r="AS387" s="47"/>
    </row>
    <row r="388">
      <c r="A388" s="51"/>
      <c r="B388" s="51"/>
      <c r="C388" s="52"/>
      <c r="D388" s="51"/>
      <c r="E388" s="53"/>
      <c r="F388" s="54"/>
      <c r="G388" s="54"/>
      <c r="H388" s="51"/>
      <c r="I388" s="55"/>
      <c r="J388" s="56"/>
      <c r="K388" s="46"/>
      <c r="L388" s="46"/>
      <c r="M388" s="47"/>
      <c r="N388" s="46"/>
      <c r="O388" s="57"/>
      <c r="P388" s="46"/>
      <c r="Q388" s="46"/>
      <c r="R388" s="57"/>
      <c r="S388" s="7"/>
      <c r="T388" s="54"/>
      <c r="U388" s="58"/>
      <c r="V388" s="47"/>
      <c r="W388" s="18"/>
      <c r="X388" s="46"/>
      <c r="Y388" s="46"/>
      <c r="Z388" s="46"/>
      <c r="AA388" s="7"/>
      <c r="AB388" s="46"/>
      <c r="AC388" s="46"/>
      <c r="AD388" s="47"/>
      <c r="AE388" s="47"/>
      <c r="AF388" s="7"/>
      <c r="AG388" s="7"/>
      <c r="AH388" s="47"/>
      <c r="AI388" s="47"/>
      <c r="AJ388" s="18"/>
      <c r="AK388" s="26"/>
      <c r="AL388" s="34"/>
      <c r="AM388" s="34"/>
      <c r="AN388" s="18"/>
      <c r="AO388" s="18"/>
      <c r="AP388" s="18"/>
      <c r="AQ388" s="18"/>
      <c r="AR388" s="47"/>
      <c r="AS388" s="47"/>
    </row>
    <row r="389">
      <c r="A389" s="51"/>
      <c r="B389" s="51"/>
      <c r="C389" s="52"/>
      <c r="D389" s="51"/>
      <c r="E389" s="53"/>
      <c r="F389" s="54"/>
      <c r="G389" s="54"/>
      <c r="H389" s="51"/>
      <c r="I389" s="55"/>
      <c r="J389" s="56"/>
      <c r="K389" s="46"/>
      <c r="L389" s="46"/>
      <c r="M389" s="47"/>
      <c r="N389" s="46"/>
      <c r="O389" s="57"/>
      <c r="P389" s="46"/>
      <c r="Q389" s="46"/>
      <c r="R389" s="57"/>
      <c r="S389" s="7"/>
      <c r="T389" s="54"/>
      <c r="U389" s="58"/>
      <c r="V389" s="47"/>
      <c r="W389" s="18"/>
      <c r="X389" s="46"/>
      <c r="Y389" s="46"/>
      <c r="Z389" s="46"/>
      <c r="AA389" s="7"/>
      <c r="AB389" s="46"/>
      <c r="AC389" s="46"/>
      <c r="AD389" s="47"/>
      <c r="AE389" s="47"/>
      <c r="AF389" s="7"/>
      <c r="AG389" s="7"/>
      <c r="AH389" s="47"/>
      <c r="AI389" s="47"/>
      <c r="AJ389" s="18"/>
      <c r="AK389" s="26"/>
      <c r="AL389" s="34"/>
      <c r="AM389" s="34"/>
      <c r="AN389" s="18"/>
      <c r="AO389" s="18"/>
      <c r="AP389" s="18"/>
      <c r="AQ389" s="18"/>
      <c r="AR389" s="47"/>
      <c r="AS389" s="47"/>
    </row>
    <row r="390">
      <c r="A390" s="51"/>
      <c r="B390" s="51"/>
      <c r="C390" s="52"/>
      <c r="D390" s="51"/>
      <c r="E390" s="53"/>
      <c r="F390" s="54"/>
      <c r="G390" s="54"/>
      <c r="H390" s="51"/>
      <c r="I390" s="55"/>
      <c r="J390" s="56"/>
      <c r="K390" s="46"/>
      <c r="L390" s="46"/>
      <c r="M390" s="47"/>
      <c r="N390" s="46"/>
      <c r="O390" s="57"/>
      <c r="P390" s="46"/>
      <c r="Q390" s="46"/>
      <c r="R390" s="57"/>
      <c r="S390" s="7"/>
      <c r="T390" s="54"/>
      <c r="U390" s="58"/>
      <c r="V390" s="47"/>
      <c r="W390" s="18"/>
      <c r="X390" s="46"/>
      <c r="Y390" s="46"/>
      <c r="Z390" s="46"/>
      <c r="AA390" s="7"/>
      <c r="AB390" s="46"/>
      <c r="AC390" s="46"/>
      <c r="AD390" s="47"/>
      <c r="AE390" s="47"/>
      <c r="AF390" s="7"/>
      <c r="AG390" s="7"/>
      <c r="AH390" s="47"/>
      <c r="AI390" s="47"/>
      <c r="AJ390" s="18"/>
      <c r="AK390" s="26"/>
      <c r="AL390" s="34"/>
      <c r="AM390" s="34"/>
      <c r="AN390" s="18"/>
      <c r="AO390" s="18"/>
      <c r="AP390" s="18"/>
      <c r="AQ390" s="18"/>
      <c r="AR390" s="47"/>
      <c r="AS390" s="47"/>
    </row>
    <row r="391">
      <c r="A391" s="51"/>
      <c r="B391" s="51"/>
      <c r="C391" s="52"/>
      <c r="D391" s="51"/>
      <c r="E391" s="53"/>
      <c r="F391" s="54"/>
      <c r="G391" s="54"/>
      <c r="H391" s="51"/>
      <c r="I391" s="55"/>
      <c r="J391" s="56"/>
      <c r="K391" s="46"/>
      <c r="L391" s="46"/>
      <c r="M391" s="47"/>
      <c r="N391" s="46"/>
      <c r="O391" s="57"/>
      <c r="P391" s="46"/>
      <c r="Q391" s="46"/>
      <c r="R391" s="57"/>
      <c r="S391" s="7"/>
      <c r="T391" s="54"/>
      <c r="U391" s="58"/>
      <c r="V391" s="47"/>
      <c r="W391" s="18"/>
      <c r="X391" s="46"/>
      <c r="Y391" s="46"/>
      <c r="Z391" s="46"/>
      <c r="AA391" s="7"/>
      <c r="AB391" s="46"/>
      <c r="AC391" s="46"/>
      <c r="AD391" s="47"/>
      <c r="AE391" s="47"/>
      <c r="AF391" s="7"/>
      <c r="AG391" s="7"/>
      <c r="AH391" s="47"/>
      <c r="AI391" s="47"/>
      <c r="AJ391" s="18"/>
      <c r="AK391" s="26"/>
      <c r="AL391" s="34"/>
      <c r="AM391" s="34"/>
      <c r="AN391" s="18"/>
      <c r="AO391" s="18"/>
      <c r="AP391" s="18"/>
      <c r="AQ391" s="18"/>
      <c r="AR391" s="47"/>
      <c r="AS391" s="47"/>
    </row>
    <row r="392">
      <c r="A392" s="51"/>
      <c r="B392" s="51"/>
      <c r="C392" s="52"/>
      <c r="D392" s="51"/>
      <c r="E392" s="53"/>
      <c r="F392" s="54"/>
      <c r="G392" s="54"/>
      <c r="H392" s="51"/>
      <c r="I392" s="55"/>
      <c r="J392" s="56"/>
      <c r="K392" s="46"/>
      <c r="L392" s="46"/>
      <c r="M392" s="47"/>
      <c r="N392" s="46"/>
      <c r="O392" s="57"/>
      <c r="P392" s="46"/>
      <c r="Q392" s="46"/>
      <c r="R392" s="57"/>
      <c r="S392" s="7"/>
      <c r="T392" s="54"/>
      <c r="U392" s="58"/>
      <c r="V392" s="47"/>
      <c r="W392" s="18"/>
      <c r="X392" s="46"/>
      <c r="Y392" s="46"/>
      <c r="Z392" s="46"/>
      <c r="AA392" s="7"/>
      <c r="AB392" s="46"/>
      <c r="AC392" s="46"/>
      <c r="AD392" s="47"/>
      <c r="AE392" s="47"/>
      <c r="AF392" s="7"/>
      <c r="AG392" s="7"/>
      <c r="AH392" s="47"/>
      <c r="AI392" s="47"/>
      <c r="AJ392" s="18"/>
      <c r="AK392" s="26"/>
      <c r="AL392" s="34"/>
      <c r="AM392" s="34"/>
      <c r="AN392" s="18"/>
      <c r="AO392" s="18"/>
      <c r="AP392" s="18"/>
      <c r="AQ392" s="18"/>
      <c r="AR392" s="47"/>
      <c r="AS392" s="47"/>
    </row>
    <row r="393">
      <c r="A393" s="51"/>
      <c r="B393" s="51"/>
      <c r="C393" s="52"/>
      <c r="D393" s="51"/>
      <c r="E393" s="53"/>
      <c r="F393" s="54"/>
      <c r="G393" s="54"/>
      <c r="H393" s="51"/>
      <c r="I393" s="55"/>
      <c r="J393" s="56"/>
      <c r="K393" s="46"/>
      <c r="L393" s="46"/>
      <c r="M393" s="47"/>
      <c r="N393" s="46"/>
      <c r="O393" s="57"/>
      <c r="P393" s="46"/>
      <c r="Q393" s="46"/>
      <c r="R393" s="57"/>
      <c r="S393" s="7"/>
      <c r="T393" s="54"/>
      <c r="U393" s="58"/>
      <c r="V393" s="47"/>
      <c r="W393" s="18"/>
      <c r="X393" s="46"/>
      <c r="Y393" s="46"/>
      <c r="Z393" s="46"/>
      <c r="AA393" s="7"/>
      <c r="AB393" s="46"/>
      <c r="AC393" s="46"/>
      <c r="AD393" s="47"/>
      <c r="AE393" s="47"/>
      <c r="AF393" s="7"/>
      <c r="AG393" s="7"/>
      <c r="AH393" s="47"/>
      <c r="AI393" s="47"/>
      <c r="AJ393" s="18"/>
      <c r="AK393" s="26"/>
      <c r="AL393" s="34"/>
      <c r="AM393" s="34"/>
      <c r="AN393" s="18"/>
      <c r="AO393" s="18"/>
      <c r="AP393" s="18"/>
      <c r="AQ393" s="18"/>
      <c r="AR393" s="47"/>
      <c r="AS393" s="47"/>
    </row>
    <row r="394">
      <c r="A394" s="51"/>
      <c r="B394" s="51"/>
      <c r="C394" s="52"/>
      <c r="D394" s="51"/>
      <c r="E394" s="53"/>
      <c r="F394" s="54"/>
      <c r="G394" s="54"/>
      <c r="H394" s="51"/>
      <c r="I394" s="55"/>
      <c r="J394" s="56"/>
      <c r="K394" s="46"/>
      <c r="L394" s="46"/>
      <c r="M394" s="47"/>
      <c r="N394" s="46"/>
      <c r="O394" s="57"/>
      <c r="P394" s="46"/>
      <c r="Q394" s="46"/>
      <c r="R394" s="57"/>
      <c r="S394" s="7"/>
      <c r="T394" s="54"/>
      <c r="U394" s="58"/>
      <c r="V394" s="47"/>
      <c r="W394" s="18"/>
      <c r="X394" s="46"/>
      <c r="Y394" s="46"/>
      <c r="Z394" s="46"/>
      <c r="AA394" s="7"/>
      <c r="AB394" s="46"/>
      <c r="AC394" s="46"/>
      <c r="AD394" s="47"/>
      <c r="AE394" s="47"/>
      <c r="AF394" s="7"/>
      <c r="AG394" s="7"/>
      <c r="AH394" s="47"/>
      <c r="AI394" s="47"/>
      <c r="AJ394" s="18"/>
      <c r="AK394" s="26"/>
      <c r="AL394" s="34"/>
      <c r="AM394" s="34"/>
      <c r="AN394" s="18"/>
      <c r="AO394" s="18"/>
      <c r="AP394" s="18"/>
      <c r="AQ394" s="18"/>
      <c r="AR394" s="47"/>
      <c r="AS394" s="47"/>
    </row>
    <row r="395">
      <c r="A395" s="51"/>
      <c r="B395" s="51"/>
      <c r="C395" s="52"/>
      <c r="D395" s="51"/>
      <c r="E395" s="53"/>
      <c r="F395" s="54"/>
      <c r="G395" s="54"/>
      <c r="H395" s="51"/>
      <c r="I395" s="55"/>
      <c r="J395" s="56"/>
      <c r="K395" s="46"/>
      <c r="L395" s="46"/>
      <c r="M395" s="47"/>
      <c r="N395" s="46"/>
      <c r="O395" s="57"/>
      <c r="P395" s="46"/>
      <c r="Q395" s="46"/>
      <c r="R395" s="57"/>
      <c r="S395" s="7"/>
      <c r="T395" s="54"/>
      <c r="U395" s="58"/>
      <c r="V395" s="47"/>
      <c r="W395" s="18"/>
      <c r="X395" s="46"/>
      <c r="Y395" s="46"/>
      <c r="Z395" s="46"/>
      <c r="AA395" s="7"/>
      <c r="AB395" s="46"/>
      <c r="AC395" s="46"/>
      <c r="AD395" s="47"/>
      <c r="AE395" s="47"/>
      <c r="AF395" s="7"/>
      <c r="AG395" s="7"/>
      <c r="AH395" s="47"/>
      <c r="AI395" s="47"/>
      <c r="AJ395" s="18"/>
      <c r="AK395" s="26"/>
      <c r="AL395" s="34"/>
      <c r="AM395" s="34"/>
      <c r="AN395" s="18"/>
      <c r="AO395" s="18"/>
      <c r="AP395" s="18"/>
      <c r="AQ395" s="18"/>
      <c r="AR395" s="47"/>
      <c r="AS395" s="47"/>
    </row>
    <row r="396">
      <c r="A396" s="51"/>
      <c r="B396" s="51"/>
      <c r="C396" s="52"/>
      <c r="D396" s="51"/>
      <c r="E396" s="53"/>
      <c r="F396" s="54"/>
      <c r="G396" s="54"/>
      <c r="H396" s="51"/>
      <c r="I396" s="55"/>
      <c r="J396" s="56"/>
      <c r="K396" s="46"/>
      <c r="L396" s="46"/>
      <c r="M396" s="47"/>
      <c r="N396" s="46"/>
      <c r="O396" s="57"/>
      <c r="P396" s="46"/>
      <c r="Q396" s="46"/>
      <c r="R396" s="57"/>
      <c r="S396" s="7"/>
      <c r="T396" s="54"/>
      <c r="U396" s="58"/>
      <c r="V396" s="47"/>
      <c r="W396" s="18"/>
      <c r="X396" s="46"/>
      <c r="Y396" s="46"/>
      <c r="Z396" s="46"/>
      <c r="AA396" s="7"/>
      <c r="AB396" s="46"/>
      <c r="AC396" s="46"/>
      <c r="AD396" s="47"/>
      <c r="AE396" s="47"/>
      <c r="AF396" s="7"/>
      <c r="AG396" s="7"/>
      <c r="AH396" s="47"/>
      <c r="AI396" s="47"/>
      <c r="AJ396" s="18"/>
      <c r="AK396" s="26"/>
      <c r="AL396" s="34"/>
      <c r="AM396" s="34"/>
      <c r="AN396" s="18"/>
      <c r="AO396" s="18"/>
      <c r="AP396" s="18"/>
      <c r="AQ396" s="18"/>
      <c r="AR396" s="47"/>
      <c r="AS396" s="47"/>
    </row>
    <row r="397">
      <c r="A397" s="51"/>
      <c r="B397" s="51"/>
      <c r="C397" s="52"/>
      <c r="D397" s="51"/>
      <c r="E397" s="53"/>
      <c r="F397" s="54"/>
      <c r="G397" s="54"/>
      <c r="H397" s="51"/>
      <c r="I397" s="55"/>
      <c r="J397" s="56"/>
      <c r="K397" s="46"/>
      <c r="L397" s="46"/>
      <c r="M397" s="47"/>
      <c r="N397" s="46"/>
      <c r="O397" s="57"/>
      <c r="P397" s="46"/>
      <c r="Q397" s="46"/>
      <c r="R397" s="57"/>
      <c r="S397" s="7"/>
      <c r="T397" s="54"/>
      <c r="U397" s="58"/>
      <c r="V397" s="47"/>
      <c r="W397" s="18"/>
      <c r="X397" s="46"/>
      <c r="Y397" s="46"/>
      <c r="Z397" s="46"/>
      <c r="AA397" s="7"/>
      <c r="AB397" s="46"/>
      <c r="AC397" s="46"/>
      <c r="AD397" s="47"/>
      <c r="AE397" s="47"/>
      <c r="AF397" s="7"/>
      <c r="AG397" s="7"/>
      <c r="AH397" s="47"/>
      <c r="AI397" s="47"/>
      <c r="AJ397" s="18"/>
      <c r="AK397" s="26"/>
      <c r="AL397" s="34"/>
      <c r="AM397" s="34"/>
      <c r="AN397" s="18"/>
      <c r="AO397" s="18"/>
      <c r="AP397" s="18"/>
      <c r="AQ397" s="18"/>
      <c r="AR397" s="47"/>
      <c r="AS397" s="47"/>
    </row>
    <row r="398">
      <c r="A398" s="51"/>
      <c r="B398" s="51"/>
      <c r="C398" s="52"/>
      <c r="D398" s="51"/>
      <c r="E398" s="53"/>
      <c r="F398" s="54"/>
      <c r="G398" s="54"/>
      <c r="H398" s="51"/>
      <c r="I398" s="55"/>
      <c r="J398" s="56"/>
      <c r="K398" s="46"/>
      <c r="L398" s="46"/>
      <c r="M398" s="47"/>
      <c r="N398" s="46"/>
      <c r="O398" s="57"/>
      <c r="P398" s="46"/>
      <c r="Q398" s="46"/>
      <c r="R398" s="57"/>
      <c r="S398" s="7"/>
      <c r="T398" s="54"/>
      <c r="U398" s="58"/>
      <c r="V398" s="47"/>
      <c r="W398" s="18"/>
      <c r="X398" s="46"/>
      <c r="Y398" s="46"/>
      <c r="Z398" s="46"/>
      <c r="AA398" s="7"/>
      <c r="AB398" s="46"/>
      <c r="AC398" s="46"/>
      <c r="AD398" s="47"/>
      <c r="AE398" s="47"/>
      <c r="AF398" s="7"/>
      <c r="AG398" s="7"/>
      <c r="AH398" s="47"/>
      <c r="AI398" s="47"/>
      <c r="AJ398" s="18"/>
      <c r="AK398" s="26"/>
      <c r="AL398" s="34"/>
      <c r="AM398" s="34"/>
      <c r="AN398" s="18"/>
      <c r="AO398" s="18"/>
      <c r="AP398" s="18"/>
      <c r="AQ398" s="18"/>
      <c r="AR398" s="47"/>
      <c r="AS398" s="47"/>
    </row>
    <row r="399">
      <c r="A399" s="51"/>
      <c r="B399" s="51"/>
      <c r="C399" s="52"/>
      <c r="D399" s="51"/>
      <c r="E399" s="53"/>
      <c r="F399" s="54"/>
      <c r="G399" s="54"/>
      <c r="H399" s="51"/>
      <c r="I399" s="55"/>
      <c r="J399" s="56"/>
      <c r="K399" s="46"/>
      <c r="L399" s="46"/>
      <c r="M399" s="47"/>
      <c r="N399" s="46"/>
      <c r="O399" s="57"/>
      <c r="P399" s="46"/>
      <c r="Q399" s="46"/>
      <c r="R399" s="57"/>
      <c r="S399" s="7"/>
      <c r="T399" s="54"/>
      <c r="U399" s="58"/>
      <c r="V399" s="47"/>
      <c r="W399" s="18"/>
      <c r="X399" s="46"/>
      <c r="Y399" s="46"/>
      <c r="Z399" s="46"/>
      <c r="AA399" s="7"/>
      <c r="AB399" s="46"/>
      <c r="AC399" s="46"/>
      <c r="AD399" s="47"/>
      <c r="AE399" s="47"/>
      <c r="AF399" s="7"/>
      <c r="AG399" s="7"/>
      <c r="AH399" s="47"/>
      <c r="AI399" s="47"/>
      <c r="AJ399" s="18"/>
      <c r="AK399" s="26"/>
      <c r="AL399" s="34"/>
      <c r="AM399" s="34"/>
      <c r="AN399" s="18"/>
      <c r="AO399" s="18"/>
      <c r="AP399" s="18"/>
      <c r="AQ399" s="18"/>
      <c r="AR399" s="47"/>
      <c r="AS399" s="47"/>
    </row>
    <row r="400">
      <c r="A400" s="51"/>
      <c r="B400" s="51"/>
      <c r="C400" s="52"/>
      <c r="D400" s="51"/>
      <c r="E400" s="53"/>
      <c r="F400" s="54"/>
      <c r="G400" s="54"/>
      <c r="H400" s="51"/>
      <c r="I400" s="55"/>
      <c r="J400" s="56"/>
      <c r="K400" s="46"/>
      <c r="L400" s="46"/>
      <c r="M400" s="47"/>
      <c r="N400" s="46"/>
      <c r="O400" s="57"/>
      <c r="P400" s="46"/>
      <c r="Q400" s="46"/>
      <c r="R400" s="57"/>
      <c r="S400" s="7"/>
      <c r="T400" s="54"/>
      <c r="U400" s="58"/>
      <c r="V400" s="47"/>
      <c r="W400" s="18"/>
      <c r="X400" s="46"/>
      <c r="Y400" s="46"/>
      <c r="Z400" s="46"/>
      <c r="AA400" s="7"/>
      <c r="AB400" s="46"/>
      <c r="AC400" s="46"/>
      <c r="AD400" s="47"/>
      <c r="AE400" s="47"/>
      <c r="AF400" s="7"/>
      <c r="AG400" s="7"/>
      <c r="AH400" s="47"/>
      <c r="AI400" s="47"/>
      <c r="AJ400" s="18"/>
      <c r="AK400" s="26"/>
      <c r="AL400" s="34"/>
      <c r="AM400" s="34"/>
      <c r="AN400" s="18"/>
      <c r="AO400" s="18"/>
      <c r="AP400" s="18"/>
      <c r="AQ400" s="18"/>
      <c r="AR400" s="47"/>
      <c r="AS400" s="47"/>
    </row>
    <row r="401">
      <c r="A401" s="51"/>
      <c r="B401" s="51"/>
      <c r="C401" s="52"/>
      <c r="D401" s="51"/>
      <c r="E401" s="53"/>
      <c r="F401" s="54"/>
      <c r="G401" s="54"/>
      <c r="H401" s="51"/>
      <c r="I401" s="55"/>
      <c r="J401" s="56"/>
      <c r="K401" s="46"/>
      <c r="L401" s="46"/>
      <c r="M401" s="47"/>
      <c r="N401" s="46"/>
      <c r="O401" s="57"/>
      <c r="P401" s="46"/>
      <c r="Q401" s="46"/>
      <c r="R401" s="57"/>
      <c r="S401" s="7"/>
      <c r="T401" s="54"/>
      <c r="U401" s="58"/>
      <c r="V401" s="47"/>
      <c r="W401" s="18"/>
      <c r="X401" s="46"/>
      <c r="Y401" s="46"/>
      <c r="Z401" s="46"/>
      <c r="AA401" s="7"/>
      <c r="AB401" s="46"/>
      <c r="AC401" s="46"/>
      <c r="AD401" s="47"/>
      <c r="AE401" s="47"/>
      <c r="AF401" s="7"/>
      <c r="AG401" s="7"/>
      <c r="AH401" s="47"/>
      <c r="AI401" s="47"/>
      <c r="AJ401" s="18"/>
      <c r="AK401" s="26"/>
      <c r="AL401" s="34"/>
      <c r="AM401" s="34"/>
      <c r="AN401" s="18"/>
      <c r="AO401" s="18"/>
      <c r="AP401" s="18"/>
      <c r="AQ401" s="18"/>
      <c r="AR401" s="47"/>
      <c r="AS401" s="47"/>
    </row>
    <row r="402">
      <c r="A402" s="51"/>
      <c r="B402" s="51"/>
      <c r="C402" s="52"/>
      <c r="D402" s="51"/>
      <c r="E402" s="53"/>
      <c r="F402" s="54"/>
      <c r="G402" s="54"/>
      <c r="H402" s="51"/>
      <c r="I402" s="55"/>
      <c r="J402" s="56"/>
      <c r="K402" s="46"/>
      <c r="L402" s="46"/>
      <c r="M402" s="47"/>
      <c r="N402" s="46"/>
      <c r="O402" s="57"/>
      <c r="P402" s="46"/>
      <c r="Q402" s="46"/>
      <c r="R402" s="57"/>
      <c r="S402" s="7"/>
      <c r="T402" s="54"/>
      <c r="U402" s="58"/>
      <c r="V402" s="47"/>
      <c r="W402" s="18"/>
      <c r="X402" s="46"/>
      <c r="Y402" s="46"/>
      <c r="Z402" s="46"/>
      <c r="AA402" s="7"/>
      <c r="AB402" s="46"/>
      <c r="AC402" s="46"/>
      <c r="AD402" s="47"/>
      <c r="AE402" s="47"/>
      <c r="AF402" s="7"/>
      <c r="AG402" s="7"/>
      <c r="AH402" s="47"/>
      <c r="AI402" s="47"/>
      <c r="AJ402" s="18"/>
      <c r="AK402" s="26"/>
      <c r="AL402" s="34"/>
      <c r="AM402" s="34"/>
      <c r="AN402" s="18"/>
      <c r="AO402" s="18"/>
      <c r="AP402" s="18"/>
      <c r="AQ402" s="18"/>
      <c r="AR402" s="47"/>
      <c r="AS402" s="47"/>
    </row>
    <row r="403">
      <c r="A403" s="51"/>
      <c r="B403" s="51"/>
      <c r="C403" s="52"/>
      <c r="D403" s="51"/>
      <c r="E403" s="53"/>
      <c r="F403" s="54"/>
      <c r="G403" s="54"/>
      <c r="H403" s="51"/>
      <c r="I403" s="55"/>
      <c r="J403" s="56"/>
      <c r="K403" s="46"/>
      <c r="L403" s="46"/>
      <c r="M403" s="47"/>
      <c r="N403" s="46"/>
      <c r="O403" s="57"/>
      <c r="P403" s="46"/>
      <c r="Q403" s="46"/>
      <c r="R403" s="57"/>
      <c r="S403" s="7"/>
      <c r="T403" s="54"/>
      <c r="U403" s="58"/>
      <c r="V403" s="47"/>
      <c r="W403" s="18"/>
      <c r="X403" s="46"/>
      <c r="Y403" s="46"/>
      <c r="Z403" s="46"/>
      <c r="AA403" s="7"/>
      <c r="AB403" s="46"/>
      <c r="AC403" s="46"/>
      <c r="AD403" s="47"/>
      <c r="AE403" s="47"/>
      <c r="AF403" s="7"/>
      <c r="AG403" s="7"/>
      <c r="AH403" s="47"/>
      <c r="AI403" s="47"/>
      <c r="AJ403" s="18"/>
      <c r="AK403" s="26"/>
      <c r="AL403" s="34"/>
      <c r="AM403" s="34"/>
      <c r="AN403" s="18"/>
      <c r="AO403" s="18"/>
      <c r="AP403" s="18"/>
      <c r="AQ403" s="18"/>
      <c r="AR403" s="47"/>
      <c r="AS403" s="47"/>
    </row>
    <row r="404">
      <c r="A404" s="51"/>
      <c r="B404" s="51"/>
      <c r="C404" s="52"/>
      <c r="D404" s="51"/>
      <c r="E404" s="53"/>
      <c r="F404" s="54"/>
      <c r="G404" s="54"/>
      <c r="H404" s="51"/>
      <c r="I404" s="55"/>
      <c r="J404" s="56"/>
      <c r="K404" s="46"/>
      <c r="L404" s="46"/>
      <c r="M404" s="47"/>
      <c r="N404" s="46"/>
      <c r="O404" s="57"/>
      <c r="P404" s="46"/>
      <c r="Q404" s="46"/>
      <c r="R404" s="57"/>
      <c r="S404" s="7"/>
      <c r="T404" s="54"/>
      <c r="U404" s="58"/>
      <c r="V404" s="47"/>
      <c r="W404" s="18"/>
      <c r="X404" s="46"/>
      <c r="Y404" s="46"/>
      <c r="Z404" s="46"/>
      <c r="AA404" s="7"/>
      <c r="AB404" s="46"/>
      <c r="AC404" s="46"/>
      <c r="AD404" s="47"/>
      <c r="AE404" s="47"/>
      <c r="AF404" s="7"/>
      <c r="AG404" s="7"/>
      <c r="AH404" s="47"/>
      <c r="AI404" s="47"/>
      <c r="AJ404" s="18"/>
      <c r="AK404" s="26"/>
      <c r="AL404" s="34"/>
      <c r="AM404" s="34"/>
      <c r="AN404" s="18"/>
      <c r="AO404" s="18"/>
      <c r="AP404" s="18"/>
      <c r="AQ404" s="18"/>
      <c r="AR404" s="47"/>
      <c r="AS404" s="47"/>
    </row>
    <row r="405">
      <c r="A405" s="51"/>
      <c r="B405" s="51"/>
      <c r="C405" s="52"/>
      <c r="D405" s="51"/>
      <c r="E405" s="53"/>
      <c r="F405" s="54"/>
      <c r="G405" s="54"/>
      <c r="H405" s="51"/>
      <c r="I405" s="55"/>
      <c r="J405" s="56"/>
      <c r="K405" s="46"/>
      <c r="L405" s="46"/>
      <c r="M405" s="47"/>
      <c r="N405" s="46"/>
      <c r="O405" s="57"/>
      <c r="P405" s="46"/>
      <c r="Q405" s="46"/>
      <c r="R405" s="57"/>
      <c r="S405" s="7"/>
      <c r="T405" s="54"/>
      <c r="U405" s="58"/>
      <c r="V405" s="47"/>
      <c r="W405" s="18"/>
      <c r="X405" s="46"/>
      <c r="Y405" s="46"/>
      <c r="Z405" s="46"/>
      <c r="AA405" s="7"/>
      <c r="AB405" s="46"/>
      <c r="AC405" s="46"/>
      <c r="AD405" s="47"/>
      <c r="AE405" s="47"/>
      <c r="AF405" s="7"/>
      <c r="AG405" s="7"/>
      <c r="AH405" s="47"/>
      <c r="AI405" s="47"/>
      <c r="AJ405" s="18"/>
      <c r="AK405" s="26"/>
      <c r="AL405" s="34"/>
      <c r="AM405" s="34"/>
      <c r="AN405" s="18"/>
      <c r="AO405" s="18"/>
      <c r="AP405" s="18"/>
      <c r="AQ405" s="18"/>
      <c r="AR405" s="47"/>
      <c r="AS405" s="47"/>
    </row>
    <row r="406">
      <c r="A406" s="51"/>
      <c r="B406" s="51"/>
      <c r="C406" s="52"/>
      <c r="D406" s="51"/>
      <c r="E406" s="53"/>
      <c r="F406" s="54"/>
      <c r="G406" s="54"/>
      <c r="H406" s="51"/>
      <c r="I406" s="55"/>
      <c r="J406" s="56"/>
      <c r="K406" s="46"/>
      <c r="L406" s="46"/>
      <c r="M406" s="47"/>
      <c r="N406" s="46"/>
      <c r="O406" s="57"/>
      <c r="P406" s="46"/>
      <c r="Q406" s="46"/>
      <c r="R406" s="57"/>
      <c r="S406" s="7"/>
      <c r="T406" s="54"/>
      <c r="U406" s="58"/>
      <c r="V406" s="47"/>
      <c r="W406" s="18"/>
      <c r="X406" s="46"/>
      <c r="Y406" s="46"/>
      <c r="Z406" s="46"/>
      <c r="AA406" s="7"/>
      <c r="AB406" s="46"/>
      <c r="AC406" s="46"/>
      <c r="AD406" s="47"/>
      <c r="AE406" s="47"/>
      <c r="AF406" s="7"/>
      <c r="AG406" s="7"/>
      <c r="AH406" s="47"/>
      <c r="AI406" s="47"/>
      <c r="AJ406" s="18"/>
      <c r="AK406" s="26"/>
      <c r="AL406" s="34"/>
      <c r="AM406" s="34"/>
      <c r="AN406" s="18"/>
      <c r="AO406" s="18"/>
      <c r="AP406" s="18"/>
      <c r="AQ406" s="18"/>
      <c r="AR406" s="47"/>
      <c r="AS406" s="47"/>
    </row>
    <row r="407">
      <c r="A407" s="51"/>
      <c r="B407" s="51"/>
      <c r="C407" s="52"/>
      <c r="D407" s="51"/>
      <c r="E407" s="53"/>
      <c r="F407" s="54"/>
      <c r="G407" s="54"/>
      <c r="H407" s="51"/>
      <c r="I407" s="55"/>
      <c r="J407" s="56"/>
      <c r="K407" s="46"/>
      <c r="L407" s="46"/>
      <c r="M407" s="47"/>
      <c r="N407" s="46"/>
      <c r="O407" s="57"/>
      <c r="P407" s="46"/>
      <c r="Q407" s="46"/>
      <c r="R407" s="57"/>
      <c r="S407" s="7"/>
      <c r="T407" s="54"/>
      <c r="U407" s="58"/>
      <c r="V407" s="47"/>
      <c r="W407" s="18"/>
      <c r="X407" s="46"/>
      <c r="Y407" s="46"/>
      <c r="Z407" s="46"/>
      <c r="AA407" s="7"/>
      <c r="AB407" s="46"/>
      <c r="AC407" s="46"/>
      <c r="AD407" s="47"/>
      <c r="AE407" s="47"/>
      <c r="AF407" s="7"/>
      <c r="AG407" s="7"/>
      <c r="AH407" s="47"/>
      <c r="AI407" s="47"/>
      <c r="AJ407" s="18"/>
      <c r="AK407" s="26"/>
      <c r="AL407" s="34"/>
      <c r="AM407" s="34"/>
      <c r="AN407" s="18"/>
      <c r="AO407" s="18"/>
      <c r="AP407" s="18"/>
      <c r="AQ407" s="18"/>
      <c r="AR407" s="47"/>
      <c r="AS407" s="47"/>
    </row>
    <row r="408">
      <c r="A408" s="51"/>
      <c r="B408" s="51"/>
      <c r="C408" s="52"/>
      <c r="D408" s="51"/>
      <c r="E408" s="53"/>
      <c r="F408" s="54"/>
      <c r="G408" s="54"/>
      <c r="H408" s="51"/>
      <c r="I408" s="55"/>
      <c r="J408" s="56"/>
      <c r="K408" s="46"/>
      <c r="L408" s="46"/>
      <c r="M408" s="47"/>
      <c r="N408" s="46"/>
      <c r="O408" s="57"/>
      <c r="P408" s="46"/>
      <c r="Q408" s="46"/>
      <c r="R408" s="57"/>
      <c r="S408" s="7"/>
      <c r="T408" s="54"/>
      <c r="U408" s="58"/>
      <c r="V408" s="47"/>
      <c r="W408" s="18"/>
      <c r="X408" s="46"/>
      <c r="Y408" s="46"/>
      <c r="Z408" s="46"/>
      <c r="AA408" s="7"/>
      <c r="AB408" s="46"/>
      <c r="AC408" s="46"/>
      <c r="AD408" s="47"/>
      <c r="AE408" s="47"/>
      <c r="AF408" s="7"/>
      <c r="AG408" s="7"/>
      <c r="AH408" s="47"/>
      <c r="AI408" s="47"/>
      <c r="AJ408" s="18"/>
      <c r="AK408" s="26"/>
      <c r="AL408" s="34"/>
      <c r="AM408" s="34"/>
      <c r="AN408" s="18"/>
      <c r="AO408" s="18"/>
      <c r="AP408" s="18"/>
      <c r="AQ408" s="18"/>
      <c r="AR408" s="47"/>
      <c r="AS408" s="47"/>
    </row>
    <row r="409">
      <c r="A409" s="51"/>
      <c r="B409" s="51"/>
      <c r="C409" s="52"/>
      <c r="D409" s="51"/>
      <c r="E409" s="53"/>
      <c r="F409" s="54"/>
      <c r="G409" s="54"/>
      <c r="H409" s="51"/>
      <c r="I409" s="55"/>
      <c r="J409" s="56"/>
      <c r="K409" s="46"/>
      <c r="L409" s="46"/>
      <c r="M409" s="47"/>
      <c r="N409" s="46"/>
      <c r="O409" s="57"/>
      <c r="P409" s="46"/>
      <c r="Q409" s="46"/>
      <c r="R409" s="57"/>
      <c r="S409" s="7"/>
      <c r="T409" s="54"/>
      <c r="U409" s="58"/>
      <c r="V409" s="47"/>
      <c r="W409" s="18"/>
      <c r="X409" s="46"/>
      <c r="Y409" s="46"/>
      <c r="Z409" s="46"/>
      <c r="AA409" s="7"/>
      <c r="AB409" s="46"/>
      <c r="AC409" s="46"/>
      <c r="AD409" s="47"/>
      <c r="AE409" s="47"/>
      <c r="AF409" s="7"/>
      <c r="AG409" s="7"/>
      <c r="AH409" s="47"/>
      <c r="AI409" s="47"/>
      <c r="AJ409" s="18"/>
      <c r="AK409" s="26"/>
      <c r="AL409" s="34"/>
      <c r="AM409" s="34"/>
      <c r="AN409" s="18"/>
      <c r="AO409" s="18"/>
      <c r="AP409" s="18"/>
      <c r="AQ409" s="18"/>
      <c r="AR409" s="47"/>
      <c r="AS409" s="47"/>
    </row>
    <row r="410">
      <c r="A410" s="51"/>
      <c r="B410" s="51"/>
      <c r="C410" s="52"/>
      <c r="D410" s="51"/>
      <c r="E410" s="53"/>
      <c r="F410" s="54"/>
      <c r="G410" s="54"/>
      <c r="H410" s="51"/>
      <c r="I410" s="55"/>
      <c r="J410" s="56"/>
      <c r="K410" s="46"/>
      <c r="L410" s="46"/>
      <c r="M410" s="47"/>
      <c r="N410" s="46"/>
      <c r="O410" s="57"/>
      <c r="P410" s="46"/>
      <c r="Q410" s="46"/>
      <c r="R410" s="57"/>
      <c r="S410" s="7"/>
      <c r="T410" s="54"/>
      <c r="U410" s="58"/>
      <c r="V410" s="47"/>
      <c r="W410" s="18"/>
      <c r="X410" s="46"/>
      <c r="Y410" s="46"/>
      <c r="Z410" s="46"/>
      <c r="AA410" s="7"/>
      <c r="AB410" s="46"/>
      <c r="AC410" s="46"/>
      <c r="AD410" s="47"/>
      <c r="AE410" s="47"/>
      <c r="AF410" s="7"/>
      <c r="AG410" s="7"/>
      <c r="AH410" s="47"/>
      <c r="AI410" s="47"/>
      <c r="AJ410" s="18"/>
      <c r="AK410" s="26"/>
      <c r="AL410" s="34"/>
      <c r="AM410" s="34"/>
      <c r="AN410" s="18"/>
      <c r="AO410" s="18"/>
      <c r="AP410" s="18"/>
      <c r="AQ410" s="18"/>
      <c r="AR410" s="47"/>
      <c r="AS410" s="47"/>
    </row>
    <row r="411">
      <c r="A411" s="51"/>
      <c r="B411" s="51"/>
      <c r="C411" s="52"/>
      <c r="D411" s="51"/>
      <c r="E411" s="53"/>
      <c r="F411" s="54"/>
      <c r="G411" s="54"/>
      <c r="H411" s="51"/>
      <c r="I411" s="55"/>
      <c r="J411" s="56"/>
      <c r="K411" s="46"/>
      <c r="L411" s="46"/>
      <c r="M411" s="47"/>
      <c r="N411" s="46"/>
      <c r="O411" s="57"/>
      <c r="P411" s="46"/>
      <c r="Q411" s="46"/>
      <c r="R411" s="57"/>
      <c r="S411" s="7"/>
      <c r="T411" s="54"/>
      <c r="U411" s="58"/>
      <c r="V411" s="47"/>
      <c r="W411" s="18"/>
      <c r="X411" s="46"/>
      <c r="Y411" s="46"/>
      <c r="Z411" s="46"/>
      <c r="AA411" s="7"/>
      <c r="AB411" s="46"/>
      <c r="AC411" s="46"/>
      <c r="AD411" s="47"/>
      <c r="AE411" s="47"/>
      <c r="AF411" s="7"/>
      <c r="AG411" s="7"/>
      <c r="AH411" s="47"/>
      <c r="AI411" s="47"/>
      <c r="AJ411" s="18"/>
      <c r="AK411" s="26"/>
      <c r="AL411" s="34"/>
      <c r="AM411" s="34"/>
      <c r="AN411" s="18"/>
      <c r="AO411" s="18"/>
      <c r="AP411" s="18"/>
      <c r="AQ411" s="18"/>
      <c r="AR411" s="47"/>
      <c r="AS411" s="47"/>
    </row>
    <row r="412">
      <c r="A412" s="51"/>
      <c r="B412" s="51"/>
      <c r="C412" s="52"/>
      <c r="D412" s="51"/>
      <c r="E412" s="53"/>
      <c r="F412" s="54"/>
      <c r="G412" s="54"/>
      <c r="H412" s="51"/>
      <c r="I412" s="55"/>
      <c r="J412" s="56"/>
      <c r="K412" s="46"/>
      <c r="L412" s="46"/>
      <c r="M412" s="47"/>
      <c r="N412" s="46"/>
      <c r="O412" s="57"/>
      <c r="P412" s="46"/>
      <c r="Q412" s="46"/>
      <c r="R412" s="57"/>
      <c r="S412" s="7"/>
      <c r="T412" s="54"/>
      <c r="U412" s="58"/>
      <c r="V412" s="47"/>
      <c r="W412" s="18"/>
      <c r="X412" s="46"/>
      <c r="Y412" s="46"/>
      <c r="Z412" s="46"/>
      <c r="AA412" s="7"/>
      <c r="AB412" s="46"/>
      <c r="AC412" s="46"/>
      <c r="AD412" s="47"/>
      <c r="AE412" s="47"/>
      <c r="AF412" s="7"/>
      <c r="AG412" s="7"/>
      <c r="AH412" s="47"/>
      <c r="AI412" s="47"/>
      <c r="AJ412" s="18"/>
      <c r="AK412" s="26"/>
      <c r="AL412" s="34"/>
      <c r="AM412" s="34"/>
      <c r="AN412" s="18"/>
      <c r="AO412" s="18"/>
      <c r="AP412" s="18"/>
      <c r="AQ412" s="18"/>
      <c r="AR412" s="47"/>
      <c r="AS412" s="47"/>
    </row>
    <row r="413">
      <c r="A413" s="51"/>
      <c r="B413" s="51"/>
      <c r="C413" s="52"/>
      <c r="D413" s="51"/>
      <c r="E413" s="53"/>
      <c r="F413" s="54"/>
      <c r="G413" s="54"/>
      <c r="H413" s="51"/>
      <c r="I413" s="55"/>
      <c r="J413" s="56"/>
      <c r="K413" s="46"/>
      <c r="L413" s="46"/>
      <c r="M413" s="47"/>
      <c r="N413" s="46"/>
      <c r="O413" s="57"/>
      <c r="P413" s="46"/>
      <c r="Q413" s="46"/>
      <c r="R413" s="57"/>
      <c r="S413" s="7"/>
      <c r="T413" s="54"/>
      <c r="U413" s="58"/>
      <c r="V413" s="47"/>
      <c r="W413" s="18"/>
      <c r="X413" s="46"/>
      <c r="Y413" s="46"/>
      <c r="Z413" s="46"/>
      <c r="AA413" s="7"/>
      <c r="AB413" s="46"/>
      <c r="AC413" s="46"/>
      <c r="AD413" s="47"/>
      <c r="AE413" s="47"/>
      <c r="AF413" s="7"/>
      <c r="AG413" s="7"/>
      <c r="AH413" s="47"/>
      <c r="AI413" s="47"/>
      <c r="AJ413" s="18"/>
      <c r="AK413" s="26"/>
      <c r="AL413" s="34"/>
      <c r="AM413" s="34"/>
      <c r="AN413" s="18"/>
      <c r="AO413" s="18"/>
      <c r="AP413" s="18"/>
      <c r="AQ413" s="18"/>
      <c r="AR413" s="47"/>
      <c r="AS413" s="47"/>
    </row>
    <row r="414">
      <c r="A414" s="51"/>
      <c r="B414" s="51"/>
      <c r="C414" s="52"/>
      <c r="D414" s="51"/>
      <c r="E414" s="53"/>
      <c r="F414" s="54"/>
      <c r="G414" s="54"/>
      <c r="H414" s="51"/>
      <c r="I414" s="55"/>
      <c r="J414" s="56"/>
      <c r="K414" s="46"/>
      <c r="L414" s="46"/>
      <c r="M414" s="47"/>
      <c r="N414" s="46"/>
      <c r="O414" s="57"/>
      <c r="P414" s="46"/>
      <c r="Q414" s="46"/>
      <c r="R414" s="57"/>
      <c r="S414" s="7"/>
      <c r="T414" s="54"/>
      <c r="U414" s="58"/>
      <c r="V414" s="47"/>
      <c r="W414" s="18"/>
      <c r="X414" s="46"/>
      <c r="Y414" s="46"/>
      <c r="Z414" s="46"/>
      <c r="AA414" s="7"/>
      <c r="AB414" s="46"/>
      <c r="AC414" s="46"/>
      <c r="AD414" s="47"/>
      <c r="AE414" s="47"/>
      <c r="AF414" s="7"/>
      <c r="AG414" s="7"/>
      <c r="AH414" s="47"/>
      <c r="AI414" s="47"/>
      <c r="AJ414" s="18"/>
      <c r="AK414" s="26"/>
      <c r="AL414" s="34"/>
      <c r="AM414" s="34"/>
      <c r="AN414" s="18"/>
      <c r="AO414" s="18"/>
      <c r="AP414" s="18"/>
      <c r="AQ414" s="18"/>
      <c r="AR414" s="47"/>
      <c r="AS414" s="47"/>
    </row>
    <row r="415">
      <c r="A415" s="51"/>
      <c r="B415" s="51"/>
      <c r="C415" s="52"/>
      <c r="D415" s="51"/>
      <c r="E415" s="53"/>
      <c r="F415" s="54"/>
      <c r="G415" s="54"/>
      <c r="H415" s="51"/>
      <c r="I415" s="55"/>
      <c r="J415" s="56"/>
      <c r="K415" s="46"/>
      <c r="L415" s="46"/>
      <c r="M415" s="47"/>
      <c r="N415" s="46"/>
      <c r="O415" s="57"/>
      <c r="P415" s="46"/>
      <c r="Q415" s="46"/>
      <c r="R415" s="57"/>
      <c r="S415" s="7"/>
      <c r="T415" s="54"/>
      <c r="U415" s="58"/>
      <c r="V415" s="47"/>
      <c r="W415" s="18"/>
      <c r="X415" s="46"/>
      <c r="Y415" s="46"/>
      <c r="Z415" s="46"/>
      <c r="AA415" s="7"/>
      <c r="AB415" s="46"/>
      <c r="AC415" s="46"/>
      <c r="AD415" s="47"/>
      <c r="AE415" s="47"/>
      <c r="AF415" s="7"/>
      <c r="AG415" s="7"/>
      <c r="AH415" s="47"/>
      <c r="AI415" s="47"/>
      <c r="AJ415" s="18"/>
      <c r="AK415" s="26"/>
      <c r="AL415" s="34"/>
      <c r="AM415" s="34"/>
      <c r="AN415" s="18"/>
      <c r="AO415" s="18"/>
      <c r="AP415" s="18"/>
      <c r="AQ415" s="18"/>
      <c r="AR415" s="47"/>
      <c r="AS415" s="47"/>
    </row>
    <row r="416">
      <c r="A416" s="51"/>
      <c r="B416" s="51"/>
      <c r="C416" s="52"/>
      <c r="D416" s="51"/>
      <c r="E416" s="53"/>
      <c r="F416" s="54"/>
      <c r="G416" s="54"/>
      <c r="H416" s="51"/>
      <c r="I416" s="55"/>
      <c r="J416" s="56"/>
      <c r="K416" s="46"/>
      <c r="L416" s="46"/>
      <c r="M416" s="47"/>
      <c r="N416" s="46"/>
      <c r="O416" s="57"/>
      <c r="P416" s="46"/>
      <c r="Q416" s="46"/>
      <c r="R416" s="57"/>
      <c r="S416" s="7"/>
      <c r="T416" s="54"/>
      <c r="U416" s="58"/>
      <c r="V416" s="47"/>
      <c r="W416" s="18"/>
      <c r="X416" s="46"/>
      <c r="Y416" s="46"/>
      <c r="Z416" s="46"/>
      <c r="AA416" s="7"/>
      <c r="AB416" s="46"/>
      <c r="AC416" s="46"/>
      <c r="AD416" s="47"/>
      <c r="AE416" s="47"/>
      <c r="AF416" s="7"/>
      <c r="AG416" s="7"/>
      <c r="AH416" s="47"/>
      <c r="AI416" s="47"/>
      <c r="AJ416" s="18"/>
      <c r="AK416" s="26"/>
      <c r="AL416" s="34"/>
      <c r="AM416" s="34"/>
      <c r="AN416" s="18"/>
      <c r="AO416" s="18"/>
      <c r="AP416" s="18"/>
      <c r="AQ416" s="18"/>
      <c r="AR416" s="47"/>
      <c r="AS416" s="47"/>
    </row>
    <row r="417">
      <c r="A417" s="51"/>
      <c r="B417" s="51"/>
      <c r="C417" s="52"/>
      <c r="D417" s="51"/>
      <c r="E417" s="53"/>
      <c r="F417" s="54"/>
      <c r="G417" s="54"/>
      <c r="H417" s="51"/>
      <c r="I417" s="55"/>
      <c r="J417" s="56"/>
      <c r="K417" s="46"/>
      <c r="L417" s="46"/>
      <c r="M417" s="47"/>
      <c r="N417" s="46"/>
      <c r="O417" s="57"/>
      <c r="P417" s="46"/>
      <c r="Q417" s="46"/>
      <c r="R417" s="57"/>
      <c r="S417" s="7"/>
      <c r="T417" s="54"/>
      <c r="U417" s="58"/>
      <c r="V417" s="47"/>
      <c r="W417" s="18"/>
      <c r="X417" s="46"/>
      <c r="Y417" s="46"/>
      <c r="Z417" s="46"/>
      <c r="AA417" s="7"/>
      <c r="AB417" s="46"/>
      <c r="AC417" s="46"/>
      <c r="AD417" s="47"/>
      <c r="AE417" s="47"/>
      <c r="AF417" s="7"/>
      <c r="AG417" s="7"/>
      <c r="AH417" s="47"/>
      <c r="AI417" s="47"/>
      <c r="AJ417" s="18"/>
      <c r="AK417" s="26"/>
      <c r="AL417" s="34"/>
      <c r="AM417" s="34"/>
      <c r="AN417" s="18"/>
      <c r="AO417" s="18"/>
      <c r="AP417" s="18"/>
      <c r="AQ417" s="18"/>
      <c r="AR417" s="47"/>
      <c r="AS417" s="47"/>
    </row>
    <row r="418">
      <c r="A418" s="51"/>
      <c r="B418" s="51"/>
      <c r="C418" s="52"/>
      <c r="D418" s="51"/>
      <c r="E418" s="53"/>
      <c r="F418" s="54"/>
      <c r="G418" s="54"/>
      <c r="H418" s="51"/>
      <c r="I418" s="55"/>
      <c r="J418" s="56"/>
      <c r="K418" s="46"/>
      <c r="L418" s="46"/>
      <c r="M418" s="47"/>
      <c r="N418" s="46"/>
      <c r="O418" s="57"/>
      <c r="P418" s="46"/>
      <c r="Q418" s="46"/>
      <c r="R418" s="57"/>
      <c r="S418" s="7"/>
      <c r="T418" s="54"/>
      <c r="U418" s="58"/>
      <c r="V418" s="47"/>
      <c r="W418" s="18"/>
      <c r="X418" s="46"/>
      <c r="Y418" s="46"/>
      <c r="Z418" s="46"/>
      <c r="AA418" s="7"/>
      <c r="AB418" s="46"/>
      <c r="AC418" s="46"/>
      <c r="AD418" s="47"/>
      <c r="AE418" s="47"/>
      <c r="AF418" s="7"/>
      <c r="AG418" s="7"/>
      <c r="AH418" s="47"/>
      <c r="AI418" s="47"/>
      <c r="AJ418" s="18"/>
      <c r="AK418" s="26"/>
      <c r="AL418" s="34"/>
      <c r="AM418" s="34"/>
      <c r="AN418" s="18"/>
      <c r="AO418" s="18"/>
      <c r="AP418" s="18"/>
      <c r="AQ418" s="18"/>
      <c r="AR418" s="47"/>
      <c r="AS418" s="47"/>
    </row>
    <row r="419">
      <c r="A419" s="51"/>
      <c r="B419" s="51"/>
      <c r="C419" s="52"/>
      <c r="D419" s="51"/>
      <c r="E419" s="53"/>
      <c r="F419" s="54"/>
      <c r="G419" s="54"/>
      <c r="H419" s="51"/>
      <c r="I419" s="55"/>
      <c r="J419" s="56"/>
      <c r="K419" s="46"/>
      <c r="L419" s="46"/>
      <c r="M419" s="47"/>
      <c r="N419" s="46"/>
      <c r="O419" s="57"/>
      <c r="P419" s="46"/>
      <c r="Q419" s="46"/>
      <c r="R419" s="57"/>
      <c r="S419" s="7"/>
      <c r="T419" s="54"/>
      <c r="U419" s="58"/>
      <c r="V419" s="47"/>
      <c r="W419" s="18"/>
      <c r="X419" s="46"/>
      <c r="Y419" s="46"/>
      <c r="Z419" s="46"/>
      <c r="AA419" s="7"/>
      <c r="AB419" s="46"/>
      <c r="AC419" s="46"/>
      <c r="AD419" s="47"/>
      <c r="AE419" s="47"/>
      <c r="AF419" s="7"/>
      <c r="AG419" s="7"/>
      <c r="AH419" s="47"/>
      <c r="AI419" s="47"/>
      <c r="AJ419" s="18"/>
      <c r="AK419" s="26"/>
      <c r="AL419" s="34"/>
      <c r="AM419" s="34"/>
      <c r="AN419" s="18"/>
      <c r="AO419" s="18"/>
      <c r="AP419" s="18"/>
      <c r="AQ419" s="18"/>
      <c r="AR419" s="47"/>
      <c r="AS419" s="47"/>
    </row>
    <row r="420">
      <c r="A420" s="51"/>
      <c r="B420" s="51"/>
      <c r="C420" s="52"/>
      <c r="D420" s="51"/>
      <c r="E420" s="53"/>
      <c r="F420" s="54"/>
      <c r="G420" s="54"/>
      <c r="H420" s="51"/>
      <c r="I420" s="55"/>
      <c r="J420" s="56"/>
      <c r="K420" s="46"/>
      <c r="L420" s="46"/>
      <c r="M420" s="47"/>
      <c r="N420" s="46"/>
      <c r="O420" s="57"/>
      <c r="P420" s="46"/>
      <c r="Q420" s="46"/>
      <c r="R420" s="57"/>
      <c r="S420" s="7"/>
      <c r="T420" s="54"/>
      <c r="U420" s="58"/>
      <c r="V420" s="47"/>
      <c r="W420" s="18"/>
      <c r="X420" s="46"/>
      <c r="Y420" s="46"/>
      <c r="Z420" s="46"/>
      <c r="AA420" s="7"/>
      <c r="AB420" s="46"/>
      <c r="AC420" s="46"/>
      <c r="AD420" s="47"/>
      <c r="AE420" s="47"/>
      <c r="AF420" s="7"/>
      <c r="AG420" s="7"/>
      <c r="AH420" s="47"/>
      <c r="AI420" s="47"/>
      <c r="AJ420" s="18"/>
      <c r="AK420" s="26"/>
      <c r="AL420" s="34"/>
      <c r="AM420" s="34"/>
      <c r="AN420" s="18"/>
      <c r="AO420" s="18"/>
      <c r="AP420" s="18"/>
      <c r="AQ420" s="18"/>
      <c r="AR420" s="47"/>
      <c r="AS420" s="47"/>
    </row>
    <row r="421">
      <c r="A421" s="51"/>
      <c r="B421" s="51"/>
      <c r="C421" s="52"/>
      <c r="D421" s="51"/>
      <c r="E421" s="53"/>
      <c r="F421" s="54"/>
      <c r="G421" s="54"/>
      <c r="H421" s="51"/>
      <c r="I421" s="55"/>
      <c r="J421" s="56"/>
      <c r="K421" s="46"/>
      <c r="L421" s="46"/>
      <c r="M421" s="47"/>
      <c r="N421" s="46"/>
      <c r="O421" s="57"/>
      <c r="P421" s="46"/>
      <c r="Q421" s="46"/>
      <c r="R421" s="57"/>
      <c r="S421" s="7"/>
      <c r="T421" s="54"/>
      <c r="U421" s="58"/>
      <c r="V421" s="47"/>
      <c r="W421" s="18"/>
      <c r="X421" s="46"/>
      <c r="Y421" s="46"/>
      <c r="Z421" s="46"/>
      <c r="AA421" s="7"/>
      <c r="AB421" s="46"/>
      <c r="AC421" s="46"/>
      <c r="AD421" s="47"/>
      <c r="AE421" s="47"/>
      <c r="AF421" s="7"/>
      <c r="AG421" s="7"/>
      <c r="AH421" s="47"/>
      <c r="AI421" s="47"/>
      <c r="AJ421" s="18"/>
      <c r="AK421" s="26"/>
      <c r="AL421" s="34"/>
      <c r="AM421" s="34"/>
      <c r="AN421" s="18"/>
      <c r="AO421" s="18"/>
      <c r="AP421" s="18"/>
      <c r="AQ421" s="18"/>
      <c r="AR421" s="47"/>
      <c r="AS421" s="47"/>
    </row>
    <row r="422">
      <c r="A422" s="51"/>
      <c r="B422" s="51"/>
      <c r="C422" s="52"/>
      <c r="D422" s="51"/>
      <c r="E422" s="53"/>
      <c r="F422" s="54"/>
      <c r="G422" s="54"/>
      <c r="H422" s="51"/>
      <c r="I422" s="55"/>
      <c r="J422" s="56"/>
      <c r="K422" s="46"/>
      <c r="L422" s="46"/>
      <c r="M422" s="47"/>
      <c r="N422" s="46"/>
      <c r="O422" s="57"/>
      <c r="P422" s="46"/>
      <c r="Q422" s="46"/>
      <c r="R422" s="57"/>
      <c r="S422" s="7"/>
      <c r="T422" s="54"/>
      <c r="U422" s="58"/>
      <c r="V422" s="47"/>
      <c r="W422" s="18"/>
      <c r="X422" s="46"/>
      <c r="Y422" s="46"/>
      <c r="Z422" s="46"/>
      <c r="AA422" s="7"/>
      <c r="AB422" s="46"/>
      <c r="AC422" s="46"/>
      <c r="AD422" s="47"/>
      <c r="AE422" s="47"/>
      <c r="AF422" s="7"/>
      <c r="AG422" s="7"/>
      <c r="AH422" s="47"/>
      <c r="AI422" s="47"/>
      <c r="AJ422" s="18"/>
      <c r="AK422" s="26"/>
      <c r="AL422" s="34"/>
      <c r="AM422" s="34"/>
      <c r="AN422" s="18"/>
      <c r="AO422" s="18"/>
      <c r="AP422" s="18"/>
      <c r="AQ422" s="18"/>
      <c r="AR422" s="47"/>
      <c r="AS422" s="47"/>
    </row>
    <row r="423">
      <c r="A423" s="51"/>
      <c r="B423" s="51"/>
      <c r="C423" s="52"/>
      <c r="D423" s="51"/>
      <c r="E423" s="53"/>
      <c r="F423" s="54"/>
      <c r="G423" s="54"/>
      <c r="H423" s="51"/>
      <c r="I423" s="55"/>
      <c r="J423" s="56"/>
      <c r="K423" s="46"/>
      <c r="L423" s="46"/>
      <c r="M423" s="47"/>
      <c r="N423" s="46"/>
      <c r="O423" s="57"/>
      <c r="P423" s="46"/>
      <c r="Q423" s="46"/>
      <c r="R423" s="57"/>
      <c r="S423" s="7"/>
      <c r="T423" s="54"/>
      <c r="U423" s="58"/>
      <c r="V423" s="47"/>
      <c r="W423" s="18"/>
      <c r="X423" s="46"/>
      <c r="Y423" s="46"/>
      <c r="Z423" s="46"/>
      <c r="AA423" s="7"/>
      <c r="AB423" s="46"/>
      <c r="AC423" s="46"/>
      <c r="AD423" s="47"/>
      <c r="AE423" s="47"/>
      <c r="AF423" s="7"/>
      <c r="AG423" s="7"/>
      <c r="AH423" s="47"/>
      <c r="AI423" s="47"/>
      <c r="AJ423" s="18"/>
      <c r="AK423" s="26"/>
      <c r="AL423" s="34"/>
      <c r="AM423" s="34"/>
      <c r="AN423" s="18"/>
      <c r="AO423" s="18"/>
      <c r="AP423" s="18"/>
      <c r="AQ423" s="18"/>
      <c r="AR423" s="47"/>
      <c r="AS423" s="47"/>
    </row>
    <row r="424">
      <c r="A424" s="51"/>
      <c r="B424" s="51"/>
      <c r="C424" s="52"/>
      <c r="D424" s="51"/>
      <c r="E424" s="53"/>
      <c r="F424" s="54"/>
      <c r="G424" s="54"/>
      <c r="H424" s="51"/>
      <c r="I424" s="55"/>
      <c r="J424" s="56"/>
      <c r="K424" s="46"/>
      <c r="L424" s="46"/>
      <c r="M424" s="47"/>
      <c r="N424" s="46"/>
      <c r="O424" s="57"/>
      <c r="P424" s="46"/>
      <c r="Q424" s="46"/>
      <c r="R424" s="57"/>
      <c r="S424" s="7"/>
      <c r="T424" s="54"/>
      <c r="U424" s="58"/>
      <c r="V424" s="47"/>
      <c r="W424" s="18"/>
      <c r="X424" s="46"/>
      <c r="Y424" s="46"/>
      <c r="Z424" s="46"/>
      <c r="AA424" s="7"/>
      <c r="AB424" s="46"/>
      <c r="AC424" s="46"/>
      <c r="AD424" s="47"/>
      <c r="AE424" s="47"/>
      <c r="AF424" s="7"/>
      <c r="AG424" s="7"/>
      <c r="AH424" s="47"/>
      <c r="AI424" s="47"/>
      <c r="AJ424" s="18"/>
      <c r="AK424" s="26"/>
      <c r="AL424" s="34"/>
      <c r="AM424" s="34"/>
      <c r="AN424" s="18"/>
      <c r="AO424" s="18"/>
      <c r="AP424" s="18"/>
      <c r="AQ424" s="18"/>
      <c r="AR424" s="47"/>
      <c r="AS424" s="47"/>
    </row>
    <row r="425">
      <c r="A425" s="51"/>
      <c r="B425" s="51"/>
      <c r="C425" s="52"/>
      <c r="D425" s="51"/>
      <c r="E425" s="53"/>
      <c r="F425" s="54"/>
      <c r="G425" s="54"/>
      <c r="H425" s="51"/>
      <c r="I425" s="55"/>
      <c r="J425" s="56"/>
      <c r="K425" s="46"/>
      <c r="L425" s="46"/>
      <c r="M425" s="47"/>
      <c r="N425" s="46"/>
      <c r="O425" s="57"/>
      <c r="P425" s="46"/>
      <c r="Q425" s="46"/>
      <c r="R425" s="57"/>
      <c r="S425" s="7"/>
      <c r="T425" s="54"/>
      <c r="U425" s="58"/>
      <c r="V425" s="47"/>
      <c r="W425" s="18"/>
      <c r="X425" s="46"/>
      <c r="Y425" s="46"/>
      <c r="Z425" s="46"/>
      <c r="AA425" s="7"/>
      <c r="AB425" s="46"/>
      <c r="AC425" s="46"/>
      <c r="AD425" s="47"/>
      <c r="AE425" s="47"/>
      <c r="AF425" s="7"/>
      <c r="AG425" s="7"/>
      <c r="AH425" s="47"/>
      <c r="AI425" s="47"/>
      <c r="AJ425" s="18"/>
      <c r="AK425" s="26"/>
      <c r="AL425" s="34"/>
      <c r="AM425" s="34"/>
      <c r="AN425" s="18"/>
      <c r="AO425" s="18"/>
      <c r="AP425" s="18"/>
      <c r="AQ425" s="18"/>
      <c r="AR425" s="47"/>
      <c r="AS425" s="47"/>
    </row>
    <row r="426">
      <c r="A426" s="51"/>
      <c r="B426" s="51"/>
      <c r="C426" s="52"/>
      <c r="D426" s="51"/>
      <c r="E426" s="53"/>
      <c r="F426" s="54"/>
      <c r="G426" s="54"/>
      <c r="H426" s="51"/>
      <c r="I426" s="55"/>
      <c r="J426" s="56"/>
      <c r="K426" s="46"/>
      <c r="L426" s="46"/>
      <c r="M426" s="47"/>
      <c r="N426" s="46"/>
      <c r="O426" s="57"/>
      <c r="P426" s="46"/>
      <c r="Q426" s="46"/>
      <c r="R426" s="57"/>
      <c r="S426" s="7"/>
      <c r="T426" s="54"/>
      <c r="U426" s="58"/>
      <c r="V426" s="47"/>
      <c r="W426" s="18"/>
      <c r="X426" s="46"/>
      <c r="Y426" s="46"/>
      <c r="Z426" s="46"/>
      <c r="AA426" s="7"/>
      <c r="AB426" s="46"/>
      <c r="AC426" s="46"/>
      <c r="AD426" s="47"/>
      <c r="AE426" s="47"/>
      <c r="AF426" s="7"/>
      <c r="AG426" s="7"/>
      <c r="AH426" s="47"/>
      <c r="AI426" s="47"/>
      <c r="AJ426" s="18"/>
      <c r="AK426" s="26"/>
      <c r="AL426" s="34"/>
      <c r="AM426" s="34"/>
      <c r="AN426" s="18"/>
      <c r="AO426" s="18"/>
      <c r="AP426" s="18"/>
      <c r="AQ426" s="18"/>
      <c r="AR426" s="47"/>
      <c r="AS426" s="47"/>
    </row>
    <row r="427">
      <c r="A427" s="51"/>
      <c r="B427" s="51"/>
      <c r="C427" s="52"/>
      <c r="D427" s="51"/>
      <c r="E427" s="53"/>
      <c r="F427" s="54"/>
      <c r="G427" s="54"/>
      <c r="H427" s="51"/>
      <c r="I427" s="55"/>
      <c r="J427" s="56"/>
      <c r="K427" s="46"/>
      <c r="L427" s="46"/>
      <c r="M427" s="47"/>
      <c r="N427" s="46"/>
      <c r="O427" s="57"/>
      <c r="P427" s="46"/>
      <c r="Q427" s="46"/>
      <c r="R427" s="57"/>
      <c r="S427" s="7"/>
      <c r="T427" s="54"/>
      <c r="U427" s="58"/>
      <c r="V427" s="47"/>
      <c r="W427" s="18"/>
      <c r="X427" s="46"/>
      <c r="Y427" s="46"/>
      <c r="Z427" s="46"/>
      <c r="AA427" s="7"/>
      <c r="AB427" s="46"/>
      <c r="AC427" s="46"/>
      <c r="AD427" s="47"/>
      <c r="AE427" s="47"/>
      <c r="AF427" s="7"/>
      <c r="AG427" s="7"/>
      <c r="AH427" s="47"/>
      <c r="AI427" s="47"/>
      <c r="AJ427" s="18"/>
      <c r="AK427" s="26"/>
      <c r="AL427" s="34"/>
      <c r="AM427" s="34"/>
      <c r="AN427" s="18"/>
      <c r="AO427" s="18"/>
      <c r="AP427" s="18"/>
      <c r="AQ427" s="18"/>
      <c r="AR427" s="47"/>
      <c r="AS427" s="47"/>
    </row>
    <row r="428">
      <c r="A428" s="51"/>
      <c r="B428" s="51"/>
      <c r="C428" s="52"/>
      <c r="D428" s="51"/>
      <c r="E428" s="53"/>
      <c r="F428" s="54"/>
      <c r="G428" s="54"/>
      <c r="H428" s="51"/>
      <c r="I428" s="55"/>
      <c r="J428" s="56"/>
      <c r="K428" s="46"/>
      <c r="L428" s="46"/>
      <c r="M428" s="47"/>
      <c r="N428" s="46"/>
      <c r="O428" s="57"/>
      <c r="P428" s="46"/>
      <c r="Q428" s="46"/>
      <c r="R428" s="57"/>
      <c r="S428" s="7"/>
      <c r="T428" s="54"/>
      <c r="U428" s="58"/>
      <c r="V428" s="47"/>
      <c r="W428" s="18"/>
      <c r="X428" s="46"/>
      <c r="Y428" s="46"/>
      <c r="Z428" s="46"/>
      <c r="AA428" s="7"/>
      <c r="AB428" s="46"/>
      <c r="AC428" s="46"/>
      <c r="AD428" s="47"/>
      <c r="AE428" s="47"/>
      <c r="AF428" s="7"/>
      <c r="AG428" s="7"/>
      <c r="AH428" s="47"/>
      <c r="AI428" s="47"/>
      <c r="AJ428" s="18"/>
      <c r="AK428" s="26"/>
      <c r="AL428" s="34"/>
      <c r="AM428" s="34"/>
      <c r="AN428" s="18"/>
      <c r="AO428" s="18"/>
      <c r="AP428" s="18"/>
      <c r="AQ428" s="18"/>
      <c r="AR428" s="47"/>
      <c r="AS428" s="47"/>
    </row>
    <row r="429">
      <c r="A429" s="51"/>
      <c r="B429" s="51"/>
      <c r="C429" s="52"/>
      <c r="D429" s="51"/>
      <c r="E429" s="53"/>
      <c r="F429" s="54"/>
      <c r="G429" s="54"/>
      <c r="H429" s="51"/>
      <c r="I429" s="55"/>
      <c r="J429" s="56"/>
      <c r="K429" s="46"/>
      <c r="L429" s="46"/>
      <c r="M429" s="47"/>
      <c r="N429" s="46"/>
      <c r="O429" s="57"/>
      <c r="P429" s="46"/>
      <c r="Q429" s="46"/>
      <c r="R429" s="57"/>
      <c r="S429" s="7"/>
      <c r="T429" s="54"/>
      <c r="U429" s="58"/>
      <c r="V429" s="47"/>
      <c r="W429" s="18"/>
      <c r="X429" s="46"/>
      <c r="Y429" s="46"/>
      <c r="Z429" s="46"/>
      <c r="AA429" s="7"/>
      <c r="AB429" s="46"/>
      <c r="AC429" s="46"/>
      <c r="AD429" s="47"/>
      <c r="AE429" s="47"/>
      <c r="AF429" s="7"/>
      <c r="AG429" s="7"/>
      <c r="AH429" s="47"/>
      <c r="AI429" s="47"/>
      <c r="AJ429" s="18"/>
      <c r="AK429" s="26"/>
      <c r="AL429" s="34"/>
      <c r="AM429" s="34"/>
      <c r="AN429" s="18"/>
      <c r="AO429" s="18"/>
      <c r="AP429" s="18"/>
      <c r="AQ429" s="18"/>
      <c r="AR429" s="47"/>
      <c r="AS429" s="47"/>
    </row>
    <row r="430">
      <c r="A430" s="51"/>
      <c r="B430" s="51"/>
      <c r="C430" s="52"/>
      <c r="D430" s="51"/>
      <c r="E430" s="53"/>
      <c r="F430" s="54"/>
      <c r="G430" s="54"/>
      <c r="H430" s="51"/>
      <c r="I430" s="55"/>
      <c r="J430" s="56"/>
      <c r="K430" s="46"/>
      <c r="L430" s="46"/>
      <c r="M430" s="47"/>
      <c r="N430" s="46"/>
      <c r="O430" s="57"/>
      <c r="P430" s="46"/>
      <c r="Q430" s="46"/>
      <c r="R430" s="57"/>
      <c r="S430" s="7"/>
      <c r="T430" s="54"/>
      <c r="U430" s="58"/>
      <c r="V430" s="47"/>
      <c r="W430" s="18"/>
      <c r="X430" s="46"/>
      <c r="Y430" s="46"/>
      <c r="Z430" s="46"/>
      <c r="AA430" s="7"/>
      <c r="AB430" s="46"/>
      <c r="AC430" s="46"/>
      <c r="AD430" s="47"/>
      <c r="AE430" s="47"/>
      <c r="AF430" s="7"/>
      <c r="AG430" s="7"/>
      <c r="AH430" s="47"/>
      <c r="AI430" s="47"/>
      <c r="AJ430" s="18"/>
      <c r="AK430" s="26"/>
      <c r="AL430" s="34"/>
      <c r="AM430" s="34"/>
      <c r="AN430" s="18"/>
      <c r="AO430" s="18"/>
      <c r="AP430" s="18"/>
      <c r="AQ430" s="18"/>
      <c r="AR430" s="47"/>
      <c r="AS430" s="47"/>
    </row>
    <row r="431">
      <c r="A431" s="51"/>
      <c r="B431" s="51"/>
      <c r="C431" s="52"/>
      <c r="D431" s="51"/>
      <c r="E431" s="53"/>
      <c r="F431" s="54"/>
      <c r="G431" s="54"/>
      <c r="H431" s="51"/>
      <c r="I431" s="55"/>
      <c r="J431" s="56"/>
      <c r="K431" s="46"/>
      <c r="L431" s="46"/>
      <c r="M431" s="47"/>
      <c r="N431" s="46"/>
      <c r="O431" s="57"/>
      <c r="P431" s="46"/>
      <c r="Q431" s="46"/>
      <c r="R431" s="57"/>
      <c r="S431" s="7"/>
      <c r="T431" s="54"/>
      <c r="U431" s="58"/>
      <c r="V431" s="47"/>
      <c r="W431" s="18"/>
      <c r="X431" s="46"/>
      <c r="Y431" s="46"/>
      <c r="Z431" s="46"/>
      <c r="AA431" s="7"/>
      <c r="AB431" s="46"/>
      <c r="AC431" s="46"/>
      <c r="AD431" s="47"/>
      <c r="AE431" s="47"/>
      <c r="AF431" s="7"/>
      <c r="AG431" s="7"/>
      <c r="AH431" s="47"/>
      <c r="AI431" s="47"/>
      <c r="AJ431" s="18"/>
      <c r="AK431" s="26"/>
      <c r="AL431" s="34"/>
      <c r="AM431" s="34"/>
      <c r="AN431" s="18"/>
      <c r="AO431" s="18"/>
      <c r="AP431" s="18"/>
      <c r="AQ431" s="18"/>
      <c r="AR431" s="47"/>
      <c r="AS431" s="47"/>
    </row>
    <row r="432">
      <c r="A432" s="51"/>
      <c r="B432" s="51"/>
      <c r="C432" s="52"/>
      <c r="D432" s="51"/>
      <c r="E432" s="53"/>
      <c r="F432" s="54"/>
      <c r="G432" s="54"/>
      <c r="H432" s="51"/>
      <c r="I432" s="55"/>
      <c r="J432" s="56"/>
      <c r="K432" s="46"/>
      <c r="L432" s="46"/>
      <c r="M432" s="47"/>
      <c r="N432" s="46"/>
      <c r="O432" s="57"/>
      <c r="P432" s="46"/>
      <c r="Q432" s="46"/>
      <c r="R432" s="57"/>
      <c r="S432" s="7"/>
      <c r="T432" s="54"/>
      <c r="U432" s="58"/>
      <c r="V432" s="47"/>
      <c r="W432" s="18"/>
      <c r="X432" s="46"/>
      <c r="Y432" s="46"/>
      <c r="Z432" s="46"/>
      <c r="AA432" s="7"/>
      <c r="AB432" s="46"/>
      <c r="AC432" s="46"/>
      <c r="AD432" s="47"/>
      <c r="AE432" s="47"/>
      <c r="AF432" s="7"/>
      <c r="AG432" s="7"/>
      <c r="AH432" s="47"/>
      <c r="AI432" s="47"/>
      <c r="AJ432" s="18"/>
      <c r="AK432" s="26"/>
      <c r="AL432" s="34"/>
      <c r="AM432" s="34"/>
      <c r="AN432" s="18"/>
      <c r="AO432" s="18"/>
      <c r="AP432" s="18"/>
      <c r="AQ432" s="18"/>
      <c r="AR432" s="47"/>
      <c r="AS432" s="47"/>
    </row>
    <row r="433">
      <c r="A433" s="51"/>
      <c r="B433" s="51"/>
      <c r="C433" s="52"/>
      <c r="D433" s="51"/>
      <c r="E433" s="53"/>
      <c r="F433" s="54"/>
      <c r="G433" s="54"/>
      <c r="H433" s="51"/>
      <c r="I433" s="55"/>
      <c r="J433" s="56"/>
      <c r="K433" s="46"/>
      <c r="L433" s="46"/>
      <c r="M433" s="47"/>
      <c r="N433" s="46"/>
      <c r="O433" s="57"/>
      <c r="P433" s="46"/>
      <c r="Q433" s="46"/>
      <c r="R433" s="57"/>
      <c r="S433" s="7"/>
      <c r="T433" s="54"/>
      <c r="U433" s="58"/>
      <c r="V433" s="47"/>
      <c r="W433" s="18"/>
      <c r="X433" s="46"/>
      <c r="Y433" s="46"/>
      <c r="Z433" s="46"/>
      <c r="AA433" s="7"/>
      <c r="AB433" s="46"/>
      <c r="AC433" s="46"/>
      <c r="AD433" s="47"/>
      <c r="AE433" s="47"/>
      <c r="AF433" s="7"/>
      <c r="AG433" s="7"/>
      <c r="AH433" s="47"/>
      <c r="AI433" s="47"/>
      <c r="AJ433" s="18"/>
      <c r="AK433" s="26"/>
      <c r="AL433" s="34"/>
      <c r="AM433" s="34"/>
      <c r="AN433" s="18"/>
      <c r="AO433" s="18"/>
      <c r="AP433" s="18"/>
      <c r="AQ433" s="18"/>
      <c r="AR433" s="47"/>
      <c r="AS433" s="47"/>
    </row>
    <row r="434">
      <c r="A434" s="51"/>
      <c r="B434" s="51"/>
      <c r="C434" s="52"/>
      <c r="D434" s="51"/>
      <c r="E434" s="53"/>
      <c r="F434" s="54"/>
      <c r="G434" s="54"/>
      <c r="H434" s="51"/>
      <c r="I434" s="55"/>
      <c r="J434" s="56"/>
      <c r="K434" s="46"/>
      <c r="L434" s="46"/>
      <c r="M434" s="47"/>
      <c r="N434" s="46"/>
      <c r="O434" s="57"/>
      <c r="P434" s="46"/>
      <c r="Q434" s="46"/>
      <c r="R434" s="57"/>
      <c r="S434" s="7"/>
      <c r="T434" s="54"/>
      <c r="U434" s="58"/>
      <c r="V434" s="47"/>
      <c r="W434" s="18"/>
      <c r="X434" s="46"/>
      <c r="Y434" s="46"/>
      <c r="Z434" s="46"/>
      <c r="AA434" s="7"/>
      <c r="AB434" s="46"/>
      <c r="AC434" s="46"/>
      <c r="AD434" s="47"/>
      <c r="AE434" s="47"/>
      <c r="AF434" s="7"/>
      <c r="AG434" s="7"/>
      <c r="AH434" s="47"/>
      <c r="AI434" s="47"/>
      <c r="AJ434" s="18"/>
      <c r="AK434" s="26"/>
      <c r="AL434" s="34"/>
      <c r="AM434" s="34"/>
      <c r="AN434" s="18"/>
      <c r="AO434" s="18"/>
      <c r="AP434" s="18"/>
      <c r="AQ434" s="18"/>
      <c r="AR434" s="47"/>
      <c r="AS434" s="47"/>
    </row>
    <row r="435">
      <c r="A435" s="51"/>
      <c r="B435" s="51"/>
      <c r="C435" s="52"/>
      <c r="D435" s="51"/>
      <c r="E435" s="53"/>
      <c r="F435" s="54"/>
      <c r="G435" s="54"/>
      <c r="H435" s="51"/>
      <c r="I435" s="55"/>
      <c r="J435" s="56"/>
      <c r="K435" s="46"/>
      <c r="L435" s="46"/>
      <c r="M435" s="47"/>
      <c r="N435" s="46"/>
      <c r="O435" s="57"/>
      <c r="P435" s="46"/>
      <c r="Q435" s="46"/>
      <c r="R435" s="57"/>
      <c r="S435" s="7"/>
      <c r="T435" s="54"/>
      <c r="U435" s="58"/>
      <c r="V435" s="47"/>
      <c r="W435" s="18"/>
      <c r="X435" s="46"/>
      <c r="Y435" s="46"/>
      <c r="Z435" s="46"/>
      <c r="AA435" s="7"/>
      <c r="AB435" s="46"/>
      <c r="AC435" s="46"/>
      <c r="AD435" s="47"/>
      <c r="AE435" s="47"/>
      <c r="AF435" s="7"/>
      <c r="AG435" s="7"/>
      <c r="AH435" s="47"/>
      <c r="AI435" s="47"/>
      <c r="AJ435" s="18"/>
      <c r="AK435" s="26"/>
      <c r="AL435" s="34"/>
      <c r="AM435" s="34"/>
      <c r="AN435" s="18"/>
      <c r="AO435" s="18"/>
      <c r="AP435" s="18"/>
      <c r="AQ435" s="18"/>
      <c r="AR435" s="47"/>
      <c r="AS435" s="47"/>
    </row>
    <row r="436">
      <c r="A436" s="51"/>
      <c r="B436" s="51"/>
      <c r="C436" s="52"/>
      <c r="D436" s="51"/>
      <c r="E436" s="53"/>
      <c r="F436" s="54"/>
      <c r="G436" s="54"/>
      <c r="H436" s="51"/>
      <c r="I436" s="55"/>
      <c r="J436" s="56"/>
      <c r="K436" s="46"/>
      <c r="L436" s="46"/>
      <c r="M436" s="47"/>
      <c r="N436" s="46"/>
      <c r="O436" s="57"/>
      <c r="P436" s="46"/>
      <c r="Q436" s="46"/>
      <c r="R436" s="57"/>
      <c r="S436" s="7"/>
      <c r="T436" s="54"/>
      <c r="U436" s="58"/>
      <c r="V436" s="47"/>
      <c r="W436" s="18"/>
      <c r="X436" s="46"/>
      <c r="Y436" s="46"/>
      <c r="Z436" s="46"/>
      <c r="AA436" s="7"/>
      <c r="AB436" s="46"/>
      <c r="AC436" s="46"/>
      <c r="AD436" s="47"/>
      <c r="AE436" s="47"/>
      <c r="AF436" s="7"/>
      <c r="AG436" s="7"/>
      <c r="AH436" s="47"/>
      <c r="AI436" s="47"/>
      <c r="AJ436" s="18"/>
      <c r="AK436" s="26"/>
      <c r="AL436" s="34"/>
      <c r="AM436" s="34"/>
      <c r="AN436" s="18"/>
      <c r="AO436" s="18"/>
      <c r="AP436" s="18"/>
      <c r="AQ436" s="18"/>
      <c r="AR436" s="47"/>
      <c r="AS436" s="47"/>
    </row>
    <row r="437">
      <c r="A437" s="51"/>
      <c r="B437" s="51"/>
      <c r="C437" s="52"/>
      <c r="D437" s="51"/>
      <c r="E437" s="53"/>
      <c r="F437" s="54"/>
      <c r="G437" s="54"/>
      <c r="H437" s="51"/>
      <c r="I437" s="55"/>
      <c r="J437" s="56"/>
      <c r="K437" s="46"/>
      <c r="L437" s="46"/>
      <c r="M437" s="47"/>
      <c r="N437" s="46"/>
      <c r="O437" s="57"/>
      <c r="P437" s="46"/>
      <c r="Q437" s="46"/>
      <c r="R437" s="57"/>
      <c r="S437" s="7"/>
      <c r="T437" s="54"/>
      <c r="U437" s="58"/>
      <c r="V437" s="47"/>
      <c r="W437" s="18"/>
      <c r="X437" s="46"/>
      <c r="Y437" s="46"/>
      <c r="Z437" s="46"/>
      <c r="AA437" s="7"/>
      <c r="AB437" s="46"/>
      <c r="AC437" s="46"/>
      <c r="AD437" s="47"/>
      <c r="AE437" s="47"/>
      <c r="AF437" s="7"/>
      <c r="AG437" s="7"/>
      <c r="AH437" s="47"/>
      <c r="AI437" s="47"/>
      <c r="AJ437" s="18"/>
      <c r="AK437" s="26"/>
      <c r="AL437" s="34"/>
      <c r="AM437" s="34"/>
      <c r="AN437" s="18"/>
      <c r="AO437" s="18"/>
      <c r="AP437" s="18"/>
      <c r="AQ437" s="18"/>
      <c r="AR437" s="47"/>
      <c r="AS437" s="47"/>
    </row>
    <row r="438">
      <c r="A438" s="51"/>
      <c r="B438" s="51"/>
      <c r="C438" s="52"/>
      <c r="D438" s="51"/>
      <c r="E438" s="53"/>
      <c r="F438" s="54"/>
      <c r="G438" s="54"/>
      <c r="H438" s="51"/>
      <c r="I438" s="55"/>
      <c r="J438" s="56"/>
      <c r="K438" s="46"/>
      <c r="L438" s="46"/>
      <c r="M438" s="47"/>
      <c r="N438" s="46"/>
      <c r="O438" s="57"/>
      <c r="P438" s="46"/>
      <c r="Q438" s="46"/>
      <c r="R438" s="57"/>
      <c r="S438" s="7"/>
      <c r="T438" s="54"/>
      <c r="U438" s="58"/>
      <c r="V438" s="47"/>
      <c r="W438" s="18"/>
      <c r="X438" s="46"/>
      <c r="Y438" s="46"/>
      <c r="Z438" s="46"/>
      <c r="AA438" s="7"/>
      <c r="AB438" s="46"/>
      <c r="AC438" s="46"/>
      <c r="AD438" s="47"/>
      <c r="AE438" s="47"/>
      <c r="AF438" s="7"/>
      <c r="AG438" s="7"/>
      <c r="AH438" s="47"/>
      <c r="AI438" s="47"/>
      <c r="AJ438" s="18"/>
      <c r="AK438" s="26"/>
      <c r="AL438" s="34"/>
      <c r="AM438" s="34"/>
      <c r="AN438" s="18"/>
      <c r="AO438" s="18"/>
      <c r="AP438" s="18"/>
      <c r="AQ438" s="18"/>
      <c r="AR438" s="47"/>
      <c r="AS438" s="47"/>
    </row>
    <row r="439">
      <c r="A439" s="51"/>
      <c r="B439" s="51"/>
      <c r="C439" s="52"/>
      <c r="D439" s="51"/>
      <c r="E439" s="53"/>
      <c r="F439" s="54"/>
      <c r="G439" s="54"/>
      <c r="H439" s="51"/>
      <c r="I439" s="55"/>
      <c r="J439" s="56"/>
      <c r="K439" s="46"/>
      <c r="L439" s="46"/>
      <c r="M439" s="47"/>
      <c r="N439" s="46"/>
      <c r="O439" s="57"/>
      <c r="P439" s="46"/>
      <c r="Q439" s="46"/>
      <c r="R439" s="57"/>
      <c r="S439" s="7"/>
      <c r="T439" s="54"/>
      <c r="U439" s="58"/>
      <c r="V439" s="47"/>
      <c r="W439" s="18"/>
      <c r="X439" s="46"/>
      <c r="Y439" s="46"/>
      <c r="Z439" s="46"/>
      <c r="AA439" s="7"/>
      <c r="AB439" s="46"/>
      <c r="AC439" s="46"/>
      <c r="AD439" s="47"/>
      <c r="AE439" s="47"/>
      <c r="AF439" s="7"/>
      <c r="AG439" s="7"/>
      <c r="AH439" s="47"/>
      <c r="AI439" s="47"/>
      <c r="AJ439" s="18"/>
      <c r="AK439" s="26"/>
      <c r="AL439" s="34"/>
      <c r="AM439" s="34"/>
      <c r="AN439" s="18"/>
      <c r="AO439" s="18"/>
      <c r="AP439" s="18"/>
      <c r="AQ439" s="18"/>
      <c r="AR439" s="47"/>
      <c r="AS439" s="47"/>
    </row>
    <row r="440">
      <c r="A440" s="51"/>
      <c r="B440" s="51"/>
      <c r="C440" s="52"/>
      <c r="D440" s="51"/>
      <c r="E440" s="53"/>
      <c r="F440" s="54"/>
      <c r="G440" s="54"/>
      <c r="H440" s="51"/>
      <c r="I440" s="55"/>
      <c r="J440" s="56"/>
      <c r="K440" s="46"/>
      <c r="L440" s="46"/>
      <c r="M440" s="47"/>
      <c r="N440" s="46"/>
      <c r="O440" s="57"/>
      <c r="P440" s="46"/>
      <c r="Q440" s="46"/>
      <c r="R440" s="57"/>
      <c r="S440" s="7"/>
      <c r="T440" s="54"/>
      <c r="U440" s="58"/>
      <c r="V440" s="47"/>
      <c r="W440" s="18"/>
      <c r="X440" s="46"/>
      <c r="Y440" s="46"/>
      <c r="Z440" s="46"/>
      <c r="AA440" s="7"/>
      <c r="AB440" s="46"/>
      <c r="AC440" s="46"/>
      <c r="AD440" s="47"/>
      <c r="AE440" s="47"/>
      <c r="AF440" s="7"/>
      <c r="AG440" s="7"/>
      <c r="AH440" s="47"/>
      <c r="AI440" s="47"/>
      <c r="AJ440" s="18"/>
      <c r="AK440" s="26"/>
      <c r="AL440" s="34"/>
      <c r="AM440" s="34"/>
      <c r="AN440" s="18"/>
      <c r="AO440" s="18"/>
      <c r="AP440" s="18"/>
      <c r="AQ440" s="18"/>
      <c r="AR440" s="47"/>
      <c r="AS440" s="47"/>
    </row>
    <row r="441">
      <c r="A441" s="51"/>
      <c r="B441" s="51"/>
      <c r="C441" s="52"/>
      <c r="D441" s="51"/>
      <c r="E441" s="53"/>
      <c r="F441" s="54"/>
      <c r="G441" s="54"/>
      <c r="H441" s="51"/>
      <c r="I441" s="55"/>
      <c r="J441" s="56"/>
      <c r="K441" s="46"/>
      <c r="L441" s="46"/>
      <c r="M441" s="47"/>
      <c r="N441" s="46"/>
      <c r="O441" s="57"/>
      <c r="P441" s="46"/>
      <c r="Q441" s="46"/>
      <c r="R441" s="57"/>
      <c r="S441" s="7"/>
      <c r="T441" s="54"/>
      <c r="U441" s="58"/>
      <c r="V441" s="47"/>
      <c r="W441" s="18"/>
      <c r="X441" s="46"/>
      <c r="Y441" s="46"/>
      <c r="Z441" s="46"/>
      <c r="AA441" s="7"/>
      <c r="AB441" s="46"/>
      <c r="AC441" s="46"/>
      <c r="AD441" s="47"/>
      <c r="AE441" s="47"/>
      <c r="AF441" s="7"/>
      <c r="AG441" s="7"/>
      <c r="AH441" s="47"/>
      <c r="AI441" s="47"/>
      <c r="AJ441" s="18"/>
      <c r="AK441" s="26"/>
      <c r="AL441" s="34"/>
      <c r="AM441" s="34"/>
      <c r="AN441" s="18"/>
      <c r="AO441" s="18"/>
      <c r="AP441" s="18"/>
      <c r="AQ441" s="18"/>
      <c r="AR441" s="47"/>
      <c r="AS441" s="47"/>
    </row>
    <row r="442">
      <c r="A442" s="51"/>
      <c r="B442" s="51"/>
      <c r="C442" s="52"/>
      <c r="D442" s="51"/>
      <c r="E442" s="53"/>
      <c r="F442" s="54"/>
      <c r="G442" s="54"/>
      <c r="H442" s="51"/>
      <c r="I442" s="55"/>
      <c r="J442" s="56"/>
      <c r="K442" s="46"/>
      <c r="L442" s="46"/>
      <c r="M442" s="47"/>
      <c r="N442" s="46"/>
      <c r="O442" s="57"/>
      <c r="P442" s="46"/>
      <c r="Q442" s="46"/>
      <c r="R442" s="57"/>
      <c r="S442" s="7"/>
      <c r="T442" s="54"/>
      <c r="U442" s="58"/>
      <c r="V442" s="47"/>
      <c r="W442" s="18"/>
      <c r="X442" s="46"/>
      <c r="Y442" s="46"/>
      <c r="Z442" s="46"/>
      <c r="AA442" s="7"/>
      <c r="AB442" s="46"/>
      <c r="AC442" s="46"/>
      <c r="AD442" s="47"/>
      <c r="AE442" s="47"/>
      <c r="AF442" s="7"/>
      <c r="AG442" s="7"/>
      <c r="AH442" s="47"/>
      <c r="AI442" s="47"/>
      <c r="AJ442" s="18"/>
      <c r="AK442" s="26"/>
      <c r="AL442" s="34"/>
      <c r="AM442" s="34"/>
      <c r="AN442" s="18"/>
      <c r="AO442" s="18"/>
      <c r="AP442" s="18"/>
      <c r="AQ442" s="18"/>
      <c r="AR442" s="47"/>
      <c r="AS442" s="47"/>
    </row>
    <row r="443">
      <c r="A443" s="51"/>
      <c r="B443" s="51"/>
      <c r="C443" s="52"/>
      <c r="D443" s="51"/>
      <c r="E443" s="53"/>
      <c r="F443" s="54"/>
      <c r="G443" s="54"/>
      <c r="H443" s="51"/>
      <c r="I443" s="55"/>
      <c r="J443" s="56"/>
      <c r="K443" s="46"/>
      <c r="L443" s="46"/>
      <c r="M443" s="47"/>
      <c r="N443" s="46"/>
      <c r="O443" s="57"/>
      <c r="P443" s="46"/>
      <c r="Q443" s="46"/>
      <c r="R443" s="57"/>
      <c r="S443" s="7"/>
      <c r="T443" s="54"/>
      <c r="U443" s="58"/>
      <c r="V443" s="47"/>
      <c r="W443" s="18"/>
      <c r="X443" s="46"/>
      <c r="Y443" s="46"/>
      <c r="Z443" s="46"/>
      <c r="AA443" s="7"/>
      <c r="AB443" s="46"/>
      <c r="AC443" s="46"/>
      <c r="AD443" s="47"/>
      <c r="AE443" s="47"/>
      <c r="AF443" s="7"/>
      <c r="AG443" s="7"/>
      <c r="AH443" s="47"/>
      <c r="AI443" s="47"/>
      <c r="AJ443" s="18"/>
      <c r="AK443" s="26"/>
      <c r="AL443" s="34"/>
      <c r="AM443" s="34"/>
      <c r="AN443" s="18"/>
      <c r="AO443" s="18"/>
      <c r="AP443" s="18"/>
      <c r="AQ443" s="18"/>
      <c r="AR443" s="47"/>
      <c r="AS443" s="47"/>
    </row>
    <row r="444">
      <c r="A444" s="51"/>
      <c r="B444" s="51"/>
      <c r="C444" s="52"/>
      <c r="D444" s="51"/>
      <c r="E444" s="53"/>
      <c r="F444" s="54"/>
      <c r="G444" s="54"/>
      <c r="H444" s="51"/>
      <c r="I444" s="55"/>
      <c r="J444" s="56"/>
      <c r="K444" s="46"/>
      <c r="L444" s="46"/>
      <c r="M444" s="47"/>
      <c r="N444" s="46"/>
      <c r="O444" s="57"/>
      <c r="P444" s="46"/>
      <c r="Q444" s="46"/>
      <c r="R444" s="57"/>
      <c r="S444" s="7"/>
      <c r="T444" s="54"/>
      <c r="U444" s="58"/>
      <c r="V444" s="47"/>
      <c r="W444" s="18"/>
      <c r="X444" s="46"/>
      <c r="Y444" s="46"/>
      <c r="Z444" s="46"/>
      <c r="AA444" s="7"/>
      <c r="AB444" s="46"/>
      <c r="AC444" s="46"/>
      <c r="AD444" s="47"/>
      <c r="AE444" s="47"/>
      <c r="AF444" s="7"/>
      <c r="AG444" s="7"/>
      <c r="AH444" s="47"/>
      <c r="AI444" s="47"/>
      <c r="AJ444" s="18"/>
      <c r="AK444" s="26"/>
      <c r="AL444" s="34"/>
      <c r="AM444" s="34"/>
      <c r="AN444" s="18"/>
      <c r="AO444" s="18"/>
      <c r="AP444" s="18"/>
      <c r="AQ444" s="18"/>
      <c r="AR444" s="47"/>
      <c r="AS444" s="47"/>
    </row>
    <row r="445">
      <c r="A445" s="51"/>
      <c r="B445" s="51"/>
      <c r="C445" s="52"/>
      <c r="D445" s="51"/>
      <c r="E445" s="53"/>
      <c r="F445" s="54"/>
      <c r="G445" s="54"/>
      <c r="H445" s="51"/>
      <c r="I445" s="55"/>
      <c r="J445" s="56"/>
      <c r="K445" s="46"/>
      <c r="L445" s="46"/>
      <c r="M445" s="47"/>
      <c r="N445" s="46"/>
      <c r="O445" s="57"/>
      <c r="P445" s="46"/>
      <c r="Q445" s="46"/>
      <c r="R445" s="57"/>
      <c r="S445" s="7"/>
      <c r="T445" s="54"/>
      <c r="U445" s="58"/>
      <c r="V445" s="47"/>
      <c r="W445" s="18"/>
      <c r="X445" s="46"/>
      <c r="Y445" s="46"/>
      <c r="Z445" s="46"/>
      <c r="AA445" s="7"/>
      <c r="AB445" s="46"/>
      <c r="AC445" s="46"/>
      <c r="AD445" s="47"/>
      <c r="AE445" s="47"/>
      <c r="AF445" s="7"/>
      <c r="AG445" s="7"/>
      <c r="AH445" s="47"/>
      <c r="AI445" s="47"/>
      <c r="AJ445" s="18"/>
      <c r="AK445" s="26"/>
      <c r="AL445" s="34"/>
      <c r="AM445" s="34"/>
      <c r="AN445" s="18"/>
      <c r="AO445" s="18"/>
      <c r="AP445" s="18"/>
      <c r="AQ445" s="18"/>
      <c r="AR445" s="47"/>
      <c r="AS445" s="47"/>
    </row>
    <row r="446">
      <c r="A446" s="51"/>
      <c r="B446" s="51"/>
      <c r="C446" s="52"/>
      <c r="D446" s="51"/>
      <c r="E446" s="53"/>
      <c r="F446" s="54"/>
      <c r="G446" s="54"/>
      <c r="H446" s="51"/>
      <c r="I446" s="55"/>
      <c r="J446" s="56"/>
      <c r="K446" s="46"/>
      <c r="L446" s="46"/>
      <c r="M446" s="47"/>
      <c r="N446" s="46"/>
      <c r="O446" s="57"/>
      <c r="P446" s="46"/>
      <c r="Q446" s="46"/>
      <c r="R446" s="57"/>
      <c r="S446" s="7"/>
      <c r="T446" s="54"/>
      <c r="U446" s="58"/>
      <c r="V446" s="47"/>
      <c r="W446" s="18"/>
      <c r="X446" s="46"/>
      <c r="Y446" s="46"/>
      <c r="Z446" s="46"/>
      <c r="AA446" s="7"/>
      <c r="AB446" s="46"/>
      <c r="AC446" s="46"/>
      <c r="AD446" s="47"/>
      <c r="AE446" s="47"/>
      <c r="AF446" s="7"/>
      <c r="AG446" s="7"/>
      <c r="AH446" s="47"/>
      <c r="AI446" s="47"/>
      <c r="AJ446" s="18"/>
      <c r="AK446" s="26"/>
      <c r="AL446" s="34"/>
      <c r="AM446" s="34"/>
      <c r="AN446" s="18"/>
      <c r="AO446" s="18"/>
      <c r="AP446" s="18"/>
      <c r="AQ446" s="18"/>
      <c r="AR446" s="47"/>
      <c r="AS446" s="47"/>
    </row>
    <row r="447">
      <c r="A447" s="51"/>
      <c r="B447" s="51"/>
      <c r="C447" s="52"/>
      <c r="D447" s="51"/>
      <c r="E447" s="53"/>
      <c r="F447" s="54"/>
      <c r="G447" s="54"/>
      <c r="H447" s="51"/>
      <c r="I447" s="55"/>
      <c r="J447" s="56"/>
      <c r="K447" s="46"/>
      <c r="L447" s="46"/>
      <c r="M447" s="47"/>
      <c r="N447" s="46"/>
      <c r="O447" s="57"/>
      <c r="P447" s="46"/>
      <c r="Q447" s="46"/>
      <c r="R447" s="57"/>
      <c r="S447" s="7"/>
      <c r="T447" s="54"/>
      <c r="U447" s="58"/>
      <c r="V447" s="47"/>
      <c r="W447" s="18"/>
      <c r="X447" s="46"/>
      <c r="Y447" s="46"/>
      <c r="Z447" s="46"/>
      <c r="AA447" s="7"/>
      <c r="AB447" s="46"/>
      <c r="AC447" s="46"/>
      <c r="AD447" s="47"/>
      <c r="AE447" s="47"/>
      <c r="AF447" s="7"/>
      <c r="AG447" s="7"/>
      <c r="AH447" s="47"/>
      <c r="AI447" s="47"/>
      <c r="AJ447" s="18"/>
      <c r="AK447" s="26"/>
      <c r="AL447" s="34"/>
      <c r="AM447" s="34"/>
      <c r="AN447" s="18"/>
      <c r="AO447" s="18"/>
      <c r="AP447" s="18"/>
      <c r="AQ447" s="18"/>
      <c r="AR447" s="47"/>
      <c r="AS447" s="47"/>
    </row>
    <row r="448">
      <c r="A448" s="51"/>
      <c r="B448" s="51"/>
      <c r="C448" s="52"/>
      <c r="D448" s="51"/>
      <c r="E448" s="53"/>
      <c r="F448" s="54"/>
      <c r="G448" s="54"/>
      <c r="H448" s="51"/>
      <c r="I448" s="55"/>
      <c r="J448" s="56"/>
      <c r="K448" s="46"/>
      <c r="L448" s="46"/>
      <c r="M448" s="47"/>
      <c r="N448" s="46"/>
      <c r="O448" s="57"/>
      <c r="P448" s="46"/>
      <c r="Q448" s="46"/>
      <c r="R448" s="57"/>
      <c r="S448" s="7"/>
      <c r="T448" s="54"/>
      <c r="U448" s="58"/>
      <c r="V448" s="47"/>
      <c r="W448" s="18"/>
      <c r="X448" s="46"/>
      <c r="Y448" s="46"/>
      <c r="Z448" s="46"/>
      <c r="AA448" s="7"/>
      <c r="AB448" s="46"/>
      <c r="AC448" s="46"/>
      <c r="AD448" s="47"/>
      <c r="AE448" s="47"/>
      <c r="AF448" s="7"/>
      <c r="AG448" s="7"/>
      <c r="AH448" s="47"/>
      <c r="AI448" s="47"/>
      <c r="AJ448" s="18"/>
      <c r="AK448" s="26"/>
      <c r="AL448" s="34"/>
      <c r="AM448" s="34"/>
      <c r="AN448" s="18"/>
      <c r="AO448" s="18"/>
      <c r="AP448" s="18"/>
      <c r="AQ448" s="18"/>
      <c r="AR448" s="47"/>
      <c r="AS448" s="47"/>
    </row>
    <row r="449">
      <c r="A449" s="51"/>
      <c r="B449" s="51"/>
      <c r="C449" s="52"/>
      <c r="D449" s="51"/>
      <c r="E449" s="53"/>
      <c r="F449" s="54"/>
      <c r="G449" s="54"/>
      <c r="H449" s="51"/>
      <c r="I449" s="55"/>
      <c r="J449" s="56"/>
      <c r="K449" s="46"/>
      <c r="L449" s="46"/>
      <c r="M449" s="47"/>
      <c r="N449" s="46"/>
      <c r="O449" s="57"/>
      <c r="P449" s="46"/>
      <c r="Q449" s="46"/>
      <c r="R449" s="57"/>
      <c r="S449" s="7"/>
      <c r="T449" s="54"/>
      <c r="U449" s="58"/>
      <c r="V449" s="47"/>
      <c r="W449" s="18"/>
      <c r="X449" s="46"/>
      <c r="Y449" s="46"/>
      <c r="Z449" s="46"/>
      <c r="AA449" s="7"/>
      <c r="AB449" s="46"/>
      <c r="AC449" s="46"/>
      <c r="AD449" s="47"/>
      <c r="AE449" s="47"/>
      <c r="AF449" s="7"/>
      <c r="AG449" s="7"/>
      <c r="AH449" s="47"/>
      <c r="AI449" s="47"/>
      <c r="AJ449" s="18"/>
      <c r="AK449" s="26"/>
      <c r="AL449" s="34"/>
      <c r="AM449" s="34"/>
      <c r="AN449" s="18"/>
      <c r="AO449" s="18"/>
      <c r="AP449" s="18"/>
      <c r="AQ449" s="18"/>
      <c r="AR449" s="47"/>
      <c r="AS449" s="47"/>
    </row>
    <row r="450">
      <c r="A450" s="51"/>
      <c r="B450" s="51"/>
      <c r="C450" s="52"/>
      <c r="D450" s="51"/>
      <c r="E450" s="53"/>
      <c r="F450" s="54"/>
      <c r="G450" s="54"/>
      <c r="H450" s="51"/>
      <c r="I450" s="55"/>
      <c r="J450" s="56"/>
      <c r="K450" s="46"/>
      <c r="L450" s="46"/>
      <c r="M450" s="47"/>
      <c r="N450" s="46"/>
      <c r="O450" s="57"/>
      <c r="P450" s="46"/>
      <c r="Q450" s="46"/>
      <c r="R450" s="57"/>
      <c r="S450" s="7"/>
      <c r="T450" s="54"/>
      <c r="U450" s="58"/>
      <c r="V450" s="47"/>
      <c r="W450" s="18"/>
      <c r="X450" s="46"/>
      <c r="Y450" s="46"/>
      <c r="Z450" s="46"/>
      <c r="AA450" s="7"/>
      <c r="AB450" s="46"/>
      <c r="AC450" s="46"/>
      <c r="AD450" s="47"/>
      <c r="AE450" s="47"/>
      <c r="AF450" s="7"/>
      <c r="AG450" s="7"/>
      <c r="AH450" s="47"/>
      <c r="AI450" s="47"/>
      <c r="AJ450" s="18"/>
      <c r="AK450" s="26"/>
      <c r="AL450" s="34"/>
      <c r="AM450" s="34"/>
      <c r="AN450" s="18"/>
      <c r="AO450" s="18"/>
      <c r="AP450" s="18"/>
      <c r="AQ450" s="18"/>
      <c r="AR450" s="47"/>
      <c r="AS450" s="47"/>
    </row>
    <row r="451">
      <c r="A451" s="51"/>
      <c r="B451" s="51"/>
      <c r="C451" s="52"/>
      <c r="D451" s="51"/>
      <c r="E451" s="53"/>
      <c r="F451" s="54"/>
      <c r="G451" s="54"/>
      <c r="H451" s="51"/>
      <c r="I451" s="55"/>
      <c r="J451" s="56"/>
      <c r="K451" s="46"/>
      <c r="L451" s="46"/>
      <c r="M451" s="47"/>
      <c r="N451" s="46"/>
      <c r="O451" s="57"/>
      <c r="P451" s="46"/>
      <c r="Q451" s="46"/>
      <c r="R451" s="57"/>
      <c r="S451" s="7"/>
      <c r="T451" s="54"/>
      <c r="U451" s="58"/>
      <c r="V451" s="47"/>
      <c r="W451" s="18"/>
      <c r="X451" s="46"/>
      <c r="Y451" s="46"/>
      <c r="Z451" s="46"/>
      <c r="AA451" s="7"/>
      <c r="AB451" s="46"/>
      <c r="AC451" s="46"/>
      <c r="AD451" s="47"/>
      <c r="AE451" s="47"/>
      <c r="AF451" s="7"/>
      <c r="AG451" s="7"/>
      <c r="AH451" s="47"/>
      <c r="AI451" s="47"/>
      <c r="AJ451" s="18"/>
      <c r="AK451" s="26"/>
      <c r="AL451" s="34"/>
      <c r="AM451" s="34"/>
      <c r="AN451" s="18"/>
      <c r="AO451" s="18"/>
      <c r="AP451" s="18"/>
      <c r="AQ451" s="18"/>
      <c r="AR451" s="47"/>
      <c r="AS451" s="47"/>
    </row>
    <row r="452">
      <c r="A452" s="51"/>
      <c r="B452" s="51"/>
      <c r="C452" s="52"/>
      <c r="D452" s="51"/>
      <c r="E452" s="53"/>
      <c r="F452" s="54"/>
      <c r="G452" s="54"/>
      <c r="H452" s="51"/>
      <c r="I452" s="55"/>
      <c r="J452" s="56"/>
      <c r="K452" s="46"/>
      <c r="L452" s="46"/>
      <c r="M452" s="47"/>
      <c r="N452" s="46"/>
      <c r="O452" s="57"/>
      <c r="P452" s="46"/>
      <c r="Q452" s="46"/>
      <c r="R452" s="57"/>
      <c r="S452" s="7"/>
      <c r="T452" s="54"/>
      <c r="U452" s="58"/>
      <c r="V452" s="47"/>
      <c r="W452" s="18"/>
      <c r="X452" s="46"/>
      <c r="Y452" s="46"/>
      <c r="Z452" s="46"/>
      <c r="AA452" s="7"/>
      <c r="AB452" s="46"/>
      <c r="AC452" s="46"/>
      <c r="AD452" s="47"/>
      <c r="AE452" s="47"/>
      <c r="AF452" s="7"/>
      <c r="AG452" s="7"/>
      <c r="AH452" s="47"/>
      <c r="AI452" s="47"/>
      <c r="AJ452" s="18"/>
      <c r="AK452" s="26"/>
      <c r="AL452" s="34"/>
      <c r="AM452" s="34"/>
      <c r="AN452" s="18"/>
      <c r="AO452" s="18"/>
      <c r="AP452" s="18"/>
      <c r="AQ452" s="18"/>
      <c r="AR452" s="47"/>
      <c r="AS452" s="47"/>
    </row>
    <row r="453">
      <c r="A453" s="51"/>
      <c r="B453" s="51"/>
      <c r="C453" s="52"/>
      <c r="D453" s="51"/>
      <c r="E453" s="53"/>
      <c r="F453" s="54"/>
      <c r="G453" s="54"/>
      <c r="H453" s="51"/>
      <c r="I453" s="55"/>
      <c r="J453" s="56"/>
      <c r="K453" s="46"/>
      <c r="L453" s="46"/>
      <c r="M453" s="47"/>
      <c r="N453" s="46"/>
      <c r="O453" s="57"/>
      <c r="P453" s="46"/>
      <c r="Q453" s="46"/>
      <c r="R453" s="57"/>
      <c r="S453" s="7"/>
      <c r="T453" s="54"/>
      <c r="U453" s="58"/>
      <c r="V453" s="47"/>
      <c r="W453" s="18"/>
      <c r="X453" s="46"/>
      <c r="Y453" s="46"/>
      <c r="Z453" s="46"/>
      <c r="AA453" s="7"/>
      <c r="AB453" s="46"/>
      <c r="AC453" s="46"/>
      <c r="AD453" s="47"/>
      <c r="AE453" s="47"/>
      <c r="AF453" s="7"/>
      <c r="AG453" s="7"/>
      <c r="AH453" s="47"/>
      <c r="AI453" s="47"/>
      <c r="AJ453" s="18"/>
      <c r="AK453" s="26"/>
      <c r="AL453" s="34"/>
      <c r="AM453" s="34"/>
      <c r="AN453" s="18"/>
      <c r="AO453" s="18"/>
      <c r="AP453" s="18"/>
      <c r="AQ453" s="18"/>
      <c r="AR453" s="47"/>
      <c r="AS453" s="47"/>
    </row>
    <row r="454">
      <c r="A454" s="51"/>
      <c r="B454" s="51"/>
      <c r="C454" s="52"/>
      <c r="D454" s="51"/>
      <c r="E454" s="53"/>
      <c r="F454" s="54"/>
      <c r="G454" s="54"/>
      <c r="H454" s="51"/>
      <c r="I454" s="55"/>
      <c r="J454" s="56"/>
      <c r="K454" s="46"/>
      <c r="L454" s="46"/>
      <c r="M454" s="47"/>
      <c r="N454" s="46"/>
      <c r="O454" s="57"/>
      <c r="P454" s="46"/>
      <c r="Q454" s="46"/>
      <c r="R454" s="57"/>
      <c r="S454" s="7"/>
      <c r="T454" s="54"/>
      <c r="U454" s="58"/>
      <c r="V454" s="47"/>
      <c r="W454" s="18"/>
      <c r="X454" s="46"/>
      <c r="Y454" s="46"/>
      <c r="Z454" s="46"/>
      <c r="AA454" s="7"/>
      <c r="AB454" s="46"/>
      <c r="AC454" s="46"/>
      <c r="AD454" s="47"/>
      <c r="AE454" s="47"/>
      <c r="AF454" s="7"/>
      <c r="AG454" s="7"/>
      <c r="AH454" s="47"/>
      <c r="AI454" s="47"/>
      <c r="AJ454" s="18"/>
      <c r="AK454" s="26"/>
      <c r="AL454" s="34"/>
      <c r="AM454" s="34"/>
      <c r="AN454" s="18"/>
      <c r="AO454" s="18"/>
      <c r="AP454" s="18"/>
      <c r="AQ454" s="18"/>
      <c r="AR454" s="47"/>
      <c r="AS454" s="47"/>
    </row>
    <row r="455">
      <c r="A455" s="51"/>
      <c r="B455" s="51"/>
      <c r="C455" s="52"/>
      <c r="D455" s="51"/>
      <c r="E455" s="53"/>
      <c r="F455" s="54"/>
      <c r="G455" s="54"/>
      <c r="H455" s="51"/>
      <c r="I455" s="55"/>
      <c r="J455" s="56"/>
      <c r="K455" s="46"/>
      <c r="L455" s="46"/>
      <c r="M455" s="47"/>
      <c r="N455" s="46"/>
      <c r="O455" s="57"/>
      <c r="P455" s="46"/>
      <c r="Q455" s="46"/>
      <c r="R455" s="57"/>
      <c r="S455" s="7"/>
      <c r="T455" s="54"/>
      <c r="U455" s="58"/>
      <c r="V455" s="47"/>
      <c r="W455" s="18"/>
      <c r="X455" s="46"/>
      <c r="Y455" s="46"/>
      <c r="Z455" s="46"/>
      <c r="AA455" s="7"/>
      <c r="AB455" s="46"/>
      <c r="AC455" s="46"/>
      <c r="AD455" s="47"/>
      <c r="AE455" s="47"/>
      <c r="AF455" s="7"/>
      <c r="AG455" s="7"/>
      <c r="AH455" s="47"/>
      <c r="AI455" s="47"/>
      <c r="AJ455" s="18"/>
      <c r="AK455" s="26"/>
      <c r="AL455" s="34"/>
      <c r="AM455" s="34"/>
      <c r="AN455" s="18"/>
      <c r="AO455" s="18"/>
      <c r="AP455" s="18"/>
      <c r="AQ455" s="18"/>
      <c r="AR455" s="47"/>
      <c r="AS455" s="47"/>
    </row>
    <row r="456">
      <c r="A456" s="51"/>
      <c r="B456" s="51"/>
      <c r="C456" s="52"/>
      <c r="D456" s="51"/>
      <c r="E456" s="53"/>
      <c r="F456" s="54"/>
      <c r="G456" s="54"/>
      <c r="H456" s="51"/>
      <c r="I456" s="55"/>
      <c r="J456" s="56"/>
      <c r="K456" s="46"/>
      <c r="L456" s="46"/>
      <c r="M456" s="47"/>
      <c r="N456" s="46"/>
      <c r="O456" s="57"/>
      <c r="P456" s="46"/>
      <c r="Q456" s="46"/>
      <c r="R456" s="57"/>
      <c r="S456" s="7"/>
      <c r="T456" s="54"/>
      <c r="U456" s="58"/>
      <c r="V456" s="47"/>
      <c r="W456" s="18"/>
      <c r="X456" s="46"/>
      <c r="Y456" s="46"/>
      <c r="Z456" s="46"/>
      <c r="AA456" s="7"/>
      <c r="AB456" s="46"/>
      <c r="AC456" s="46"/>
      <c r="AD456" s="47"/>
      <c r="AE456" s="47"/>
      <c r="AF456" s="7"/>
      <c r="AG456" s="7"/>
      <c r="AH456" s="47"/>
      <c r="AI456" s="47"/>
      <c r="AJ456" s="18"/>
      <c r="AK456" s="26"/>
      <c r="AL456" s="34"/>
      <c r="AM456" s="34"/>
      <c r="AN456" s="18"/>
      <c r="AO456" s="18"/>
      <c r="AP456" s="18"/>
      <c r="AQ456" s="18"/>
      <c r="AR456" s="47"/>
      <c r="AS456" s="47"/>
    </row>
    <row r="457">
      <c r="A457" s="51"/>
      <c r="B457" s="51"/>
      <c r="C457" s="52"/>
      <c r="D457" s="51"/>
      <c r="E457" s="53"/>
      <c r="F457" s="54"/>
      <c r="G457" s="54"/>
      <c r="H457" s="51"/>
      <c r="I457" s="55"/>
      <c r="J457" s="56"/>
      <c r="K457" s="46"/>
      <c r="L457" s="46"/>
      <c r="M457" s="47"/>
      <c r="N457" s="46"/>
      <c r="O457" s="57"/>
      <c r="P457" s="46"/>
      <c r="Q457" s="46"/>
      <c r="R457" s="57"/>
      <c r="S457" s="7"/>
      <c r="T457" s="54"/>
      <c r="U457" s="58"/>
      <c r="V457" s="47"/>
      <c r="W457" s="18"/>
      <c r="X457" s="46"/>
      <c r="Y457" s="46"/>
      <c r="Z457" s="46"/>
      <c r="AA457" s="7"/>
      <c r="AB457" s="46"/>
      <c r="AC457" s="46"/>
      <c r="AD457" s="47"/>
      <c r="AE457" s="47"/>
      <c r="AF457" s="7"/>
      <c r="AG457" s="7"/>
      <c r="AH457" s="47"/>
      <c r="AI457" s="47"/>
      <c r="AJ457" s="18"/>
      <c r="AK457" s="26"/>
      <c r="AL457" s="34"/>
      <c r="AM457" s="34"/>
      <c r="AN457" s="18"/>
      <c r="AO457" s="18"/>
      <c r="AP457" s="18"/>
      <c r="AQ457" s="18"/>
      <c r="AR457" s="47"/>
      <c r="AS457" s="47"/>
    </row>
    <row r="458">
      <c r="A458" s="51"/>
      <c r="B458" s="51"/>
      <c r="C458" s="52"/>
      <c r="D458" s="51"/>
      <c r="E458" s="53"/>
      <c r="F458" s="54"/>
      <c r="G458" s="54"/>
      <c r="H458" s="51"/>
      <c r="I458" s="55"/>
      <c r="J458" s="56"/>
      <c r="K458" s="46"/>
      <c r="L458" s="46"/>
      <c r="M458" s="47"/>
      <c r="N458" s="46"/>
      <c r="O458" s="57"/>
      <c r="P458" s="46"/>
      <c r="Q458" s="46"/>
      <c r="R458" s="57"/>
      <c r="S458" s="7"/>
      <c r="T458" s="54"/>
      <c r="U458" s="58"/>
      <c r="V458" s="47"/>
      <c r="W458" s="18"/>
      <c r="X458" s="46"/>
      <c r="Y458" s="46"/>
      <c r="Z458" s="46"/>
      <c r="AA458" s="7"/>
      <c r="AB458" s="46"/>
      <c r="AC458" s="46"/>
      <c r="AD458" s="47"/>
      <c r="AE458" s="47"/>
      <c r="AF458" s="7"/>
      <c r="AG458" s="7"/>
      <c r="AH458" s="47"/>
      <c r="AI458" s="47"/>
      <c r="AJ458" s="18"/>
      <c r="AK458" s="26"/>
      <c r="AL458" s="34"/>
      <c r="AM458" s="34"/>
      <c r="AN458" s="18"/>
      <c r="AO458" s="18"/>
      <c r="AP458" s="18"/>
      <c r="AQ458" s="18"/>
      <c r="AR458" s="47"/>
      <c r="AS458" s="47"/>
    </row>
    <row r="459">
      <c r="A459" s="51"/>
      <c r="B459" s="51"/>
      <c r="C459" s="52"/>
      <c r="D459" s="51"/>
      <c r="E459" s="53"/>
      <c r="F459" s="54"/>
      <c r="G459" s="54"/>
      <c r="H459" s="51"/>
      <c r="I459" s="55"/>
      <c r="J459" s="56"/>
      <c r="K459" s="46"/>
      <c r="L459" s="46"/>
      <c r="M459" s="47"/>
      <c r="N459" s="46"/>
      <c r="O459" s="57"/>
      <c r="P459" s="46"/>
      <c r="Q459" s="46"/>
      <c r="R459" s="57"/>
      <c r="S459" s="7"/>
      <c r="T459" s="54"/>
      <c r="U459" s="58"/>
      <c r="V459" s="47"/>
      <c r="W459" s="18"/>
      <c r="X459" s="46"/>
      <c r="Y459" s="46"/>
      <c r="Z459" s="46"/>
      <c r="AA459" s="7"/>
      <c r="AB459" s="46"/>
      <c r="AC459" s="46"/>
      <c r="AD459" s="47"/>
      <c r="AE459" s="47"/>
      <c r="AF459" s="7"/>
      <c r="AG459" s="7"/>
      <c r="AH459" s="47"/>
      <c r="AI459" s="47"/>
      <c r="AJ459" s="18"/>
      <c r="AK459" s="26"/>
      <c r="AL459" s="34"/>
      <c r="AM459" s="34"/>
      <c r="AN459" s="18"/>
      <c r="AO459" s="18"/>
      <c r="AP459" s="18"/>
      <c r="AQ459" s="18"/>
      <c r="AR459" s="47"/>
      <c r="AS459" s="47"/>
    </row>
    <row r="460">
      <c r="A460" s="51"/>
      <c r="B460" s="51"/>
      <c r="C460" s="52"/>
      <c r="D460" s="51"/>
      <c r="E460" s="53"/>
      <c r="F460" s="54"/>
      <c r="G460" s="54"/>
      <c r="H460" s="51"/>
      <c r="I460" s="55"/>
      <c r="J460" s="56"/>
      <c r="K460" s="46"/>
      <c r="L460" s="46"/>
      <c r="M460" s="47"/>
      <c r="N460" s="46"/>
      <c r="O460" s="57"/>
      <c r="P460" s="46"/>
      <c r="Q460" s="46"/>
      <c r="R460" s="57"/>
      <c r="S460" s="7"/>
      <c r="T460" s="54"/>
      <c r="U460" s="58"/>
      <c r="V460" s="47"/>
      <c r="W460" s="18"/>
      <c r="X460" s="46"/>
      <c r="Y460" s="46"/>
      <c r="Z460" s="46"/>
      <c r="AA460" s="7"/>
      <c r="AB460" s="46"/>
      <c r="AC460" s="46"/>
      <c r="AD460" s="47"/>
      <c r="AE460" s="47"/>
      <c r="AF460" s="7"/>
      <c r="AG460" s="7"/>
      <c r="AH460" s="47"/>
      <c r="AI460" s="47"/>
      <c r="AJ460" s="18"/>
      <c r="AK460" s="26"/>
      <c r="AL460" s="34"/>
      <c r="AM460" s="34"/>
      <c r="AN460" s="18"/>
      <c r="AO460" s="18"/>
      <c r="AP460" s="18"/>
      <c r="AQ460" s="18"/>
      <c r="AR460" s="47"/>
      <c r="AS460" s="47"/>
    </row>
    <row r="461">
      <c r="A461" s="51"/>
      <c r="B461" s="51"/>
      <c r="C461" s="52"/>
      <c r="D461" s="51"/>
      <c r="E461" s="53"/>
      <c r="F461" s="54"/>
      <c r="G461" s="54"/>
      <c r="H461" s="51"/>
      <c r="I461" s="55"/>
      <c r="J461" s="56"/>
      <c r="K461" s="46"/>
      <c r="L461" s="46"/>
      <c r="M461" s="47"/>
      <c r="N461" s="46"/>
      <c r="O461" s="57"/>
      <c r="P461" s="46"/>
      <c r="Q461" s="46"/>
      <c r="R461" s="57"/>
      <c r="S461" s="7"/>
      <c r="T461" s="54"/>
      <c r="U461" s="58"/>
      <c r="V461" s="47"/>
      <c r="W461" s="18"/>
      <c r="X461" s="46"/>
      <c r="Y461" s="46"/>
      <c r="Z461" s="46"/>
      <c r="AA461" s="7"/>
      <c r="AB461" s="46"/>
      <c r="AC461" s="46"/>
      <c r="AD461" s="47"/>
      <c r="AE461" s="47"/>
      <c r="AF461" s="7"/>
      <c r="AG461" s="7"/>
      <c r="AH461" s="47"/>
      <c r="AI461" s="47"/>
      <c r="AJ461" s="18"/>
      <c r="AK461" s="26"/>
      <c r="AL461" s="34"/>
      <c r="AM461" s="34"/>
      <c r="AN461" s="18"/>
      <c r="AO461" s="18"/>
      <c r="AP461" s="18"/>
      <c r="AQ461" s="18"/>
      <c r="AR461" s="47"/>
      <c r="AS461" s="47"/>
    </row>
    <row r="462">
      <c r="A462" s="51"/>
      <c r="B462" s="51"/>
      <c r="C462" s="52"/>
      <c r="D462" s="51"/>
      <c r="E462" s="53"/>
      <c r="F462" s="54"/>
      <c r="G462" s="54"/>
      <c r="H462" s="51"/>
      <c r="I462" s="55"/>
      <c r="J462" s="56"/>
      <c r="K462" s="46"/>
      <c r="L462" s="46"/>
      <c r="M462" s="47"/>
      <c r="N462" s="46"/>
      <c r="O462" s="57"/>
      <c r="P462" s="46"/>
      <c r="Q462" s="46"/>
      <c r="R462" s="57"/>
      <c r="S462" s="7"/>
      <c r="T462" s="54"/>
      <c r="U462" s="58"/>
      <c r="V462" s="47"/>
      <c r="W462" s="18"/>
      <c r="X462" s="46"/>
      <c r="Y462" s="46"/>
      <c r="Z462" s="46"/>
      <c r="AA462" s="7"/>
      <c r="AB462" s="46"/>
      <c r="AC462" s="46"/>
      <c r="AD462" s="47"/>
      <c r="AE462" s="47"/>
      <c r="AF462" s="7"/>
      <c r="AG462" s="7"/>
      <c r="AH462" s="47"/>
      <c r="AI462" s="47"/>
      <c r="AJ462" s="18"/>
      <c r="AK462" s="26"/>
      <c r="AL462" s="34"/>
      <c r="AM462" s="34"/>
      <c r="AN462" s="18"/>
      <c r="AO462" s="18"/>
      <c r="AP462" s="18"/>
      <c r="AQ462" s="18"/>
      <c r="AR462" s="47"/>
      <c r="AS462" s="47"/>
    </row>
    <row r="463">
      <c r="A463" s="51"/>
      <c r="B463" s="51"/>
      <c r="C463" s="52"/>
      <c r="D463" s="51"/>
      <c r="E463" s="53"/>
      <c r="F463" s="54"/>
      <c r="G463" s="54"/>
      <c r="H463" s="51"/>
      <c r="I463" s="55"/>
      <c r="J463" s="56"/>
      <c r="K463" s="46"/>
      <c r="L463" s="46"/>
      <c r="M463" s="47"/>
      <c r="N463" s="46"/>
      <c r="O463" s="57"/>
      <c r="P463" s="46"/>
      <c r="Q463" s="46"/>
      <c r="R463" s="57"/>
      <c r="S463" s="7"/>
      <c r="T463" s="54"/>
      <c r="U463" s="58"/>
      <c r="V463" s="47"/>
      <c r="W463" s="18"/>
      <c r="X463" s="46"/>
      <c r="Y463" s="46"/>
      <c r="Z463" s="46"/>
      <c r="AA463" s="7"/>
      <c r="AB463" s="46"/>
      <c r="AC463" s="46"/>
      <c r="AD463" s="47"/>
      <c r="AE463" s="47"/>
      <c r="AF463" s="7"/>
      <c r="AG463" s="7"/>
      <c r="AH463" s="47"/>
      <c r="AI463" s="47"/>
      <c r="AJ463" s="18"/>
      <c r="AK463" s="26"/>
      <c r="AL463" s="34"/>
      <c r="AM463" s="34"/>
      <c r="AN463" s="18"/>
      <c r="AO463" s="18"/>
      <c r="AP463" s="18"/>
      <c r="AQ463" s="18"/>
      <c r="AR463" s="47"/>
      <c r="AS463" s="47"/>
    </row>
    <row r="464">
      <c r="A464" s="51"/>
      <c r="B464" s="51"/>
      <c r="C464" s="52"/>
      <c r="D464" s="51"/>
      <c r="E464" s="53"/>
      <c r="F464" s="54"/>
      <c r="G464" s="54"/>
      <c r="H464" s="51"/>
      <c r="I464" s="55"/>
      <c r="J464" s="56"/>
      <c r="K464" s="46"/>
      <c r="L464" s="46"/>
      <c r="M464" s="47"/>
      <c r="N464" s="46"/>
      <c r="O464" s="57"/>
      <c r="P464" s="46"/>
      <c r="Q464" s="46"/>
      <c r="R464" s="57"/>
      <c r="S464" s="7"/>
      <c r="T464" s="54"/>
      <c r="U464" s="58"/>
      <c r="V464" s="47"/>
      <c r="W464" s="18"/>
      <c r="X464" s="46"/>
      <c r="Y464" s="46"/>
      <c r="Z464" s="46"/>
      <c r="AA464" s="7"/>
      <c r="AB464" s="46"/>
      <c r="AC464" s="46"/>
      <c r="AD464" s="47"/>
      <c r="AE464" s="47"/>
      <c r="AF464" s="7"/>
      <c r="AG464" s="7"/>
      <c r="AH464" s="47"/>
      <c r="AI464" s="47"/>
      <c r="AJ464" s="18"/>
      <c r="AK464" s="26"/>
      <c r="AL464" s="34"/>
      <c r="AM464" s="34"/>
      <c r="AN464" s="18"/>
      <c r="AO464" s="18"/>
      <c r="AP464" s="18"/>
      <c r="AQ464" s="18"/>
      <c r="AR464" s="47"/>
      <c r="AS464" s="47"/>
    </row>
    <row r="465">
      <c r="A465" s="51"/>
      <c r="B465" s="51"/>
      <c r="C465" s="52"/>
      <c r="D465" s="51"/>
      <c r="E465" s="53"/>
      <c r="F465" s="54"/>
      <c r="G465" s="54"/>
      <c r="H465" s="51"/>
      <c r="I465" s="55"/>
      <c r="J465" s="56"/>
      <c r="K465" s="46"/>
      <c r="L465" s="46"/>
      <c r="M465" s="47"/>
      <c r="N465" s="46"/>
      <c r="O465" s="57"/>
      <c r="P465" s="46"/>
      <c r="Q465" s="46"/>
      <c r="R465" s="57"/>
      <c r="S465" s="7"/>
      <c r="T465" s="54"/>
      <c r="U465" s="58"/>
      <c r="V465" s="47"/>
      <c r="W465" s="18"/>
      <c r="X465" s="46"/>
      <c r="Y465" s="46"/>
      <c r="Z465" s="46"/>
      <c r="AA465" s="7"/>
      <c r="AB465" s="46"/>
      <c r="AC465" s="46"/>
      <c r="AD465" s="47"/>
      <c r="AE465" s="47"/>
      <c r="AF465" s="7"/>
      <c r="AG465" s="7"/>
      <c r="AH465" s="47"/>
      <c r="AI465" s="47"/>
      <c r="AJ465" s="18"/>
      <c r="AK465" s="26"/>
      <c r="AL465" s="34"/>
      <c r="AM465" s="34"/>
      <c r="AN465" s="18"/>
      <c r="AO465" s="18"/>
      <c r="AP465" s="18"/>
      <c r="AQ465" s="18"/>
      <c r="AR465" s="47"/>
      <c r="AS465" s="47"/>
    </row>
    <row r="466">
      <c r="A466" s="51"/>
      <c r="B466" s="51"/>
      <c r="C466" s="52"/>
      <c r="D466" s="51"/>
      <c r="E466" s="53"/>
      <c r="F466" s="54"/>
      <c r="G466" s="54"/>
      <c r="H466" s="51"/>
      <c r="I466" s="55"/>
      <c r="J466" s="56"/>
      <c r="K466" s="46"/>
      <c r="L466" s="46"/>
      <c r="M466" s="47"/>
      <c r="N466" s="46"/>
      <c r="O466" s="57"/>
      <c r="P466" s="46"/>
      <c r="Q466" s="46"/>
      <c r="R466" s="57"/>
      <c r="S466" s="7"/>
      <c r="T466" s="54"/>
      <c r="U466" s="58"/>
      <c r="V466" s="47"/>
      <c r="W466" s="18"/>
      <c r="X466" s="46"/>
      <c r="Y466" s="46"/>
      <c r="Z466" s="46"/>
      <c r="AA466" s="7"/>
      <c r="AB466" s="46"/>
      <c r="AC466" s="46"/>
      <c r="AD466" s="47"/>
      <c r="AE466" s="47"/>
      <c r="AF466" s="7"/>
      <c r="AG466" s="7"/>
      <c r="AH466" s="47"/>
      <c r="AI466" s="47"/>
      <c r="AJ466" s="18"/>
      <c r="AK466" s="26"/>
      <c r="AL466" s="34"/>
      <c r="AM466" s="34"/>
      <c r="AN466" s="18"/>
      <c r="AO466" s="18"/>
      <c r="AP466" s="18"/>
      <c r="AQ466" s="18"/>
      <c r="AR466" s="47"/>
      <c r="AS466" s="47"/>
    </row>
    <row r="467">
      <c r="A467" s="51"/>
      <c r="B467" s="51"/>
      <c r="C467" s="52"/>
      <c r="D467" s="51"/>
      <c r="E467" s="53"/>
      <c r="F467" s="54"/>
      <c r="G467" s="54"/>
      <c r="H467" s="51"/>
      <c r="I467" s="55"/>
      <c r="J467" s="56"/>
      <c r="K467" s="46"/>
      <c r="L467" s="46"/>
      <c r="M467" s="47"/>
      <c r="N467" s="46"/>
      <c r="O467" s="57"/>
      <c r="P467" s="46"/>
      <c r="Q467" s="46"/>
      <c r="R467" s="57"/>
      <c r="S467" s="7"/>
      <c r="T467" s="54"/>
      <c r="U467" s="58"/>
      <c r="V467" s="47"/>
      <c r="W467" s="18"/>
      <c r="X467" s="46"/>
      <c r="Y467" s="46"/>
      <c r="Z467" s="46"/>
      <c r="AA467" s="7"/>
      <c r="AB467" s="46"/>
      <c r="AC467" s="46"/>
      <c r="AD467" s="47"/>
      <c r="AE467" s="47"/>
      <c r="AF467" s="7"/>
      <c r="AG467" s="7"/>
      <c r="AH467" s="47"/>
      <c r="AI467" s="47"/>
      <c r="AJ467" s="18"/>
      <c r="AK467" s="26"/>
      <c r="AL467" s="34"/>
      <c r="AM467" s="34"/>
      <c r="AN467" s="18"/>
      <c r="AO467" s="18"/>
      <c r="AP467" s="18"/>
      <c r="AQ467" s="18"/>
      <c r="AR467" s="47"/>
      <c r="AS467" s="47"/>
    </row>
    <row r="468">
      <c r="A468" s="51"/>
      <c r="B468" s="51"/>
      <c r="C468" s="52"/>
      <c r="D468" s="51"/>
      <c r="E468" s="53"/>
      <c r="F468" s="54"/>
      <c r="G468" s="54"/>
      <c r="H468" s="51"/>
      <c r="I468" s="55"/>
      <c r="J468" s="56"/>
      <c r="K468" s="46"/>
      <c r="L468" s="46"/>
      <c r="M468" s="47"/>
      <c r="N468" s="46"/>
      <c r="O468" s="57"/>
      <c r="P468" s="46"/>
      <c r="Q468" s="46"/>
      <c r="R468" s="57"/>
      <c r="S468" s="7"/>
      <c r="T468" s="54"/>
      <c r="U468" s="58"/>
      <c r="V468" s="47"/>
      <c r="W468" s="18"/>
      <c r="X468" s="46"/>
      <c r="Y468" s="46"/>
      <c r="Z468" s="46"/>
      <c r="AA468" s="7"/>
      <c r="AB468" s="46"/>
      <c r="AC468" s="46"/>
      <c r="AD468" s="47"/>
      <c r="AE468" s="47"/>
      <c r="AF468" s="7"/>
      <c r="AG468" s="7"/>
      <c r="AH468" s="47"/>
      <c r="AI468" s="47"/>
      <c r="AJ468" s="18"/>
      <c r="AK468" s="26"/>
      <c r="AL468" s="34"/>
      <c r="AM468" s="34"/>
      <c r="AN468" s="18"/>
      <c r="AO468" s="18"/>
      <c r="AP468" s="18"/>
      <c r="AQ468" s="18"/>
      <c r="AR468" s="47"/>
      <c r="AS468" s="47"/>
    </row>
    <row r="469">
      <c r="A469" s="51"/>
      <c r="B469" s="51"/>
      <c r="C469" s="52"/>
      <c r="D469" s="51"/>
      <c r="E469" s="53"/>
      <c r="F469" s="54"/>
      <c r="G469" s="54"/>
      <c r="H469" s="51"/>
      <c r="I469" s="55"/>
      <c r="J469" s="56"/>
      <c r="K469" s="46"/>
      <c r="L469" s="46"/>
      <c r="M469" s="47"/>
      <c r="N469" s="46"/>
      <c r="O469" s="57"/>
      <c r="P469" s="46"/>
      <c r="Q469" s="46"/>
      <c r="R469" s="57"/>
      <c r="S469" s="7"/>
      <c r="T469" s="54"/>
      <c r="U469" s="58"/>
      <c r="V469" s="47"/>
      <c r="W469" s="18"/>
      <c r="X469" s="46"/>
      <c r="Y469" s="46"/>
      <c r="Z469" s="46"/>
      <c r="AA469" s="7"/>
      <c r="AB469" s="46"/>
      <c r="AC469" s="46"/>
      <c r="AD469" s="47"/>
      <c r="AE469" s="47"/>
      <c r="AF469" s="7"/>
      <c r="AG469" s="7"/>
      <c r="AH469" s="47"/>
      <c r="AI469" s="47"/>
      <c r="AJ469" s="18"/>
      <c r="AK469" s="26"/>
      <c r="AL469" s="34"/>
      <c r="AM469" s="34"/>
      <c r="AN469" s="18"/>
      <c r="AO469" s="18"/>
      <c r="AP469" s="18"/>
      <c r="AQ469" s="18"/>
      <c r="AR469" s="47"/>
      <c r="AS469" s="47"/>
    </row>
    <row r="470">
      <c r="A470" s="51"/>
      <c r="B470" s="51"/>
      <c r="C470" s="52"/>
      <c r="D470" s="51"/>
      <c r="E470" s="53"/>
      <c r="F470" s="54"/>
      <c r="G470" s="54"/>
      <c r="H470" s="51"/>
      <c r="I470" s="55"/>
      <c r="J470" s="56"/>
      <c r="K470" s="46"/>
      <c r="L470" s="46"/>
      <c r="M470" s="47"/>
      <c r="N470" s="46"/>
      <c r="O470" s="57"/>
      <c r="P470" s="46"/>
      <c r="Q470" s="46"/>
      <c r="R470" s="57"/>
      <c r="S470" s="7"/>
      <c r="T470" s="54"/>
      <c r="U470" s="58"/>
      <c r="V470" s="47"/>
      <c r="W470" s="18"/>
      <c r="X470" s="46"/>
      <c r="Y470" s="46"/>
      <c r="Z470" s="46"/>
      <c r="AA470" s="7"/>
      <c r="AB470" s="46"/>
      <c r="AC470" s="46"/>
      <c r="AD470" s="47"/>
      <c r="AE470" s="47"/>
      <c r="AF470" s="7"/>
      <c r="AG470" s="7"/>
      <c r="AH470" s="47"/>
      <c r="AI470" s="47"/>
      <c r="AJ470" s="18"/>
      <c r="AK470" s="26"/>
      <c r="AL470" s="34"/>
      <c r="AM470" s="34"/>
      <c r="AN470" s="18"/>
      <c r="AO470" s="18"/>
      <c r="AP470" s="18"/>
      <c r="AQ470" s="18"/>
      <c r="AR470" s="47"/>
      <c r="AS470" s="47"/>
    </row>
    <row r="471">
      <c r="A471" s="51"/>
      <c r="B471" s="51"/>
      <c r="C471" s="52"/>
      <c r="D471" s="51"/>
      <c r="E471" s="53"/>
      <c r="F471" s="54"/>
      <c r="G471" s="54"/>
      <c r="H471" s="51"/>
      <c r="I471" s="55"/>
      <c r="J471" s="56"/>
      <c r="K471" s="46"/>
      <c r="L471" s="46"/>
      <c r="M471" s="47"/>
      <c r="N471" s="46"/>
      <c r="O471" s="57"/>
      <c r="P471" s="46"/>
      <c r="Q471" s="46"/>
      <c r="R471" s="57"/>
      <c r="S471" s="7"/>
      <c r="T471" s="54"/>
      <c r="U471" s="58"/>
      <c r="V471" s="47"/>
      <c r="W471" s="18"/>
      <c r="X471" s="46"/>
      <c r="Y471" s="46"/>
      <c r="Z471" s="46"/>
      <c r="AA471" s="7"/>
      <c r="AB471" s="46"/>
      <c r="AC471" s="46"/>
      <c r="AD471" s="47"/>
      <c r="AE471" s="47"/>
      <c r="AF471" s="7"/>
      <c r="AG471" s="7"/>
      <c r="AH471" s="47"/>
      <c r="AI471" s="47"/>
      <c r="AJ471" s="18"/>
      <c r="AK471" s="26"/>
      <c r="AL471" s="34"/>
      <c r="AM471" s="34"/>
      <c r="AN471" s="18"/>
      <c r="AO471" s="18"/>
      <c r="AP471" s="18"/>
      <c r="AQ471" s="18"/>
      <c r="AR471" s="47"/>
      <c r="AS471" s="47"/>
    </row>
    <row r="472">
      <c r="A472" s="51"/>
      <c r="B472" s="51"/>
      <c r="C472" s="52"/>
      <c r="D472" s="51"/>
      <c r="E472" s="53"/>
      <c r="F472" s="54"/>
      <c r="G472" s="54"/>
      <c r="H472" s="51"/>
      <c r="I472" s="55"/>
      <c r="J472" s="56"/>
      <c r="K472" s="46"/>
      <c r="L472" s="46"/>
      <c r="M472" s="47"/>
      <c r="N472" s="46"/>
      <c r="O472" s="57"/>
      <c r="P472" s="46"/>
      <c r="Q472" s="46"/>
      <c r="R472" s="57"/>
      <c r="S472" s="7"/>
      <c r="T472" s="54"/>
      <c r="U472" s="58"/>
      <c r="V472" s="47"/>
      <c r="W472" s="18"/>
      <c r="X472" s="46"/>
      <c r="Y472" s="46"/>
      <c r="Z472" s="46"/>
      <c r="AA472" s="7"/>
      <c r="AB472" s="46"/>
      <c r="AC472" s="46"/>
      <c r="AD472" s="47"/>
      <c r="AE472" s="47"/>
      <c r="AF472" s="7"/>
      <c r="AG472" s="7"/>
      <c r="AH472" s="47"/>
      <c r="AI472" s="47"/>
      <c r="AJ472" s="18"/>
      <c r="AK472" s="26"/>
      <c r="AL472" s="34"/>
      <c r="AM472" s="34"/>
      <c r="AN472" s="18"/>
      <c r="AO472" s="18"/>
      <c r="AP472" s="18"/>
      <c r="AQ472" s="18"/>
      <c r="AR472" s="47"/>
      <c r="AS472" s="47"/>
    </row>
    <row r="473">
      <c r="A473" s="51"/>
      <c r="B473" s="51"/>
      <c r="C473" s="52"/>
      <c r="D473" s="51"/>
      <c r="E473" s="53"/>
      <c r="F473" s="54"/>
      <c r="G473" s="54"/>
      <c r="H473" s="51"/>
      <c r="I473" s="55"/>
      <c r="J473" s="56"/>
      <c r="K473" s="46"/>
      <c r="L473" s="46"/>
      <c r="M473" s="47"/>
      <c r="N473" s="46"/>
      <c r="O473" s="57"/>
      <c r="P473" s="46"/>
      <c r="Q473" s="46"/>
      <c r="R473" s="57"/>
      <c r="S473" s="7"/>
      <c r="T473" s="54"/>
      <c r="U473" s="58"/>
      <c r="V473" s="47"/>
      <c r="W473" s="18"/>
      <c r="X473" s="46"/>
      <c r="Y473" s="46"/>
      <c r="Z473" s="46"/>
      <c r="AA473" s="7"/>
      <c r="AB473" s="46"/>
      <c r="AC473" s="46"/>
      <c r="AD473" s="47"/>
      <c r="AE473" s="47"/>
      <c r="AF473" s="7"/>
      <c r="AG473" s="7"/>
      <c r="AH473" s="47"/>
      <c r="AI473" s="47"/>
      <c r="AJ473" s="18"/>
      <c r="AK473" s="26"/>
      <c r="AL473" s="34"/>
      <c r="AM473" s="34"/>
      <c r="AN473" s="18"/>
      <c r="AO473" s="18"/>
      <c r="AP473" s="18"/>
      <c r="AQ473" s="18"/>
      <c r="AR473" s="47"/>
      <c r="AS473" s="47"/>
    </row>
    <row r="474">
      <c r="A474" s="51"/>
      <c r="B474" s="51"/>
      <c r="C474" s="52"/>
      <c r="D474" s="51"/>
      <c r="E474" s="53"/>
      <c r="F474" s="54"/>
      <c r="G474" s="54"/>
      <c r="H474" s="51"/>
      <c r="I474" s="55"/>
      <c r="J474" s="56"/>
      <c r="K474" s="46"/>
      <c r="L474" s="46"/>
      <c r="M474" s="47"/>
      <c r="N474" s="46"/>
      <c r="O474" s="57"/>
      <c r="P474" s="46"/>
      <c r="Q474" s="46"/>
      <c r="R474" s="57"/>
      <c r="S474" s="7"/>
      <c r="T474" s="54"/>
      <c r="U474" s="58"/>
      <c r="V474" s="47"/>
      <c r="W474" s="18"/>
      <c r="X474" s="46"/>
      <c r="Y474" s="46"/>
      <c r="Z474" s="46"/>
      <c r="AA474" s="7"/>
      <c r="AB474" s="46"/>
      <c r="AC474" s="46"/>
      <c r="AD474" s="47"/>
      <c r="AE474" s="47"/>
      <c r="AF474" s="7"/>
      <c r="AG474" s="7"/>
      <c r="AH474" s="47"/>
      <c r="AI474" s="47"/>
      <c r="AJ474" s="18"/>
      <c r="AK474" s="26"/>
      <c r="AL474" s="34"/>
      <c r="AM474" s="34"/>
      <c r="AN474" s="18"/>
      <c r="AO474" s="18"/>
      <c r="AP474" s="18"/>
      <c r="AQ474" s="18"/>
      <c r="AR474" s="47"/>
      <c r="AS474" s="47"/>
    </row>
    <row r="475">
      <c r="A475" s="51"/>
      <c r="B475" s="51"/>
      <c r="C475" s="52"/>
      <c r="D475" s="51"/>
      <c r="E475" s="53"/>
      <c r="F475" s="54"/>
      <c r="G475" s="54"/>
      <c r="H475" s="51"/>
      <c r="I475" s="55"/>
      <c r="J475" s="56"/>
      <c r="K475" s="46"/>
      <c r="L475" s="46"/>
      <c r="M475" s="47"/>
      <c r="N475" s="46"/>
      <c r="O475" s="57"/>
      <c r="P475" s="46"/>
      <c r="Q475" s="46"/>
      <c r="R475" s="57"/>
      <c r="S475" s="7"/>
      <c r="T475" s="54"/>
      <c r="U475" s="58"/>
      <c r="V475" s="47"/>
      <c r="W475" s="18"/>
      <c r="X475" s="46"/>
      <c r="Y475" s="46"/>
      <c r="Z475" s="46"/>
      <c r="AA475" s="7"/>
      <c r="AB475" s="46"/>
      <c r="AC475" s="46"/>
      <c r="AD475" s="47"/>
      <c r="AE475" s="47"/>
      <c r="AF475" s="7"/>
      <c r="AG475" s="7"/>
      <c r="AH475" s="47"/>
      <c r="AI475" s="47"/>
      <c r="AJ475" s="18"/>
      <c r="AK475" s="26"/>
      <c r="AL475" s="34"/>
      <c r="AM475" s="34"/>
      <c r="AN475" s="18"/>
      <c r="AO475" s="18"/>
      <c r="AP475" s="18"/>
      <c r="AQ475" s="18"/>
      <c r="AR475" s="47"/>
      <c r="AS475" s="47"/>
    </row>
    <row r="476">
      <c r="A476" s="51"/>
      <c r="B476" s="51"/>
      <c r="C476" s="52"/>
      <c r="D476" s="51"/>
      <c r="E476" s="53"/>
      <c r="F476" s="54"/>
      <c r="G476" s="54"/>
      <c r="H476" s="51"/>
      <c r="I476" s="55"/>
      <c r="J476" s="56"/>
      <c r="K476" s="46"/>
      <c r="L476" s="46"/>
      <c r="M476" s="47"/>
      <c r="N476" s="46"/>
      <c r="O476" s="57"/>
      <c r="P476" s="46"/>
      <c r="Q476" s="46"/>
      <c r="R476" s="57"/>
      <c r="S476" s="7"/>
      <c r="T476" s="54"/>
      <c r="U476" s="58"/>
      <c r="V476" s="47"/>
      <c r="W476" s="18"/>
      <c r="X476" s="46"/>
      <c r="Y476" s="46"/>
      <c r="Z476" s="46"/>
      <c r="AA476" s="7"/>
      <c r="AB476" s="46"/>
      <c r="AC476" s="46"/>
      <c r="AD476" s="47"/>
      <c r="AE476" s="47"/>
      <c r="AF476" s="7"/>
      <c r="AG476" s="7"/>
      <c r="AH476" s="47"/>
      <c r="AI476" s="47"/>
      <c r="AJ476" s="18"/>
      <c r="AK476" s="26"/>
      <c r="AL476" s="34"/>
      <c r="AM476" s="34"/>
      <c r="AN476" s="18"/>
      <c r="AO476" s="18"/>
      <c r="AP476" s="18"/>
      <c r="AQ476" s="18"/>
      <c r="AR476" s="47"/>
      <c r="AS476" s="47"/>
    </row>
    <row r="477">
      <c r="A477" s="51"/>
      <c r="B477" s="51"/>
      <c r="C477" s="52"/>
      <c r="D477" s="51"/>
      <c r="E477" s="53"/>
      <c r="F477" s="54"/>
      <c r="G477" s="54"/>
      <c r="H477" s="51"/>
      <c r="I477" s="55"/>
      <c r="J477" s="56"/>
      <c r="K477" s="46"/>
      <c r="L477" s="46"/>
      <c r="M477" s="47"/>
      <c r="N477" s="46"/>
      <c r="O477" s="57"/>
      <c r="P477" s="46"/>
      <c r="Q477" s="46"/>
      <c r="R477" s="57"/>
      <c r="S477" s="7"/>
      <c r="T477" s="54"/>
      <c r="U477" s="58"/>
      <c r="V477" s="47"/>
      <c r="W477" s="18"/>
      <c r="X477" s="46"/>
      <c r="Y477" s="46"/>
      <c r="Z477" s="46"/>
      <c r="AA477" s="7"/>
      <c r="AB477" s="46"/>
      <c r="AC477" s="46"/>
      <c r="AD477" s="47"/>
      <c r="AE477" s="47"/>
      <c r="AF477" s="7"/>
      <c r="AG477" s="7"/>
      <c r="AH477" s="47"/>
      <c r="AI477" s="47"/>
      <c r="AJ477" s="18"/>
      <c r="AK477" s="26"/>
      <c r="AL477" s="34"/>
      <c r="AM477" s="34"/>
      <c r="AN477" s="18"/>
      <c r="AO477" s="18"/>
      <c r="AP477" s="18"/>
      <c r="AQ477" s="18"/>
      <c r="AR477" s="47"/>
      <c r="AS477" s="47"/>
    </row>
    <row r="478">
      <c r="A478" s="51"/>
      <c r="B478" s="51"/>
      <c r="C478" s="52"/>
      <c r="D478" s="51"/>
      <c r="E478" s="53"/>
      <c r="F478" s="54"/>
      <c r="G478" s="54"/>
      <c r="H478" s="51"/>
      <c r="I478" s="55"/>
      <c r="J478" s="56"/>
      <c r="K478" s="46"/>
      <c r="L478" s="46"/>
      <c r="M478" s="47"/>
      <c r="N478" s="46"/>
      <c r="O478" s="57"/>
      <c r="P478" s="46"/>
      <c r="Q478" s="46"/>
      <c r="R478" s="57"/>
      <c r="S478" s="7"/>
      <c r="T478" s="54"/>
      <c r="U478" s="58"/>
      <c r="V478" s="47"/>
      <c r="W478" s="18"/>
      <c r="X478" s="46"/>
      <c r="Y478" s="46"/>
      <c r="Z478" s="46"/>
      <c r="AA478" s="7"/>
      <c r="AB478" s="46"/>
      <c r="AC478" s="46"/>
      <c r="AD478" s="47"/>
      <c r="AE478" s="47"/>
      <c r="AF478" s="7"/>
      <c r="AG478" s="7"/>
      <c r="AH478" s="47"/>
      <c r="AI478" s="47"/>
      <c r="AJ478" s="18"/>
      <c r="AK478" s="26"/>
      <c r="AL478" s="34"/>
      <c r="AM478" s="34"/>
      <c r="AN478" s="18"/>
      <c r="AO478" s="18"/>
      <c r="AP478" s="18"/>
      <c r="AQ478" s="18"/>
      <c r="AR478" s="47"/>
      <c r="AS478" s="47"/>
    </row>
    <row r="479">
      <c r="A479" s="51"/>
      <c r="B479" s="51"/>
      <c r="C479" s="52"/>
      <c r="D479" s="51"/>
      <c r="E479" s="53"/>
      <c r="F479" s="54"/>
      <c r="G479" s="54"/>
      <c r="H479" s="51"/>
      <c r="I479" s="55"/>
      <c r="J479" s="56"/>
      <c r="K479" s="46"/>
      <c r="L479" s="46"/>
      <c r="M479" s="47"/>
      <c r="N479" s="46"/>
      <c r="O479" s="57"/>
      <c r="P479" s="46"/>
      <c r="Q479" s="46"/>
      <c r="R479" s="57"/>
      <c r="S479" s="7"/>
      <c r="T479" s="54"/>
      <c r="U479" s="58"/>
      <c r="V479" s="47"/>
      <c r="W479" s="18"/>
      <c r="X479" s="46"/>
      <c r="Y479" s="46"/>
      <c r="Z479" s="46"/>
      <c r="AA479" s="7"/>
      <c r="AB479" s="46"/>
      <c r="AC479" s="46"/>
      <c r="AD479" s="47"/>
      <c r="AE479" s="47"/>
      <c r="AF479" s="7"/>
      <c r="AG479" s="7"/>
      <c r="AH479" s="47"/>
      <c r="AI479" s="47"/>
      <c r="AJ479" s="18"/>
      <c r="AK479" s="26"/>
      <c r="AL479" s="34"/>
      <c r="AM479" s="34"/>
      <c r="AN479" s="18"/>
      <c r="AO479" s="18"/>
      <c r="AP479" s="18"/>
      <c r="AQ479" s="18"/>
      <c r="AR479" s="47"/>
      <c r="AS479" s="47"/>
    </row>
    <row r="480">
      <c r="A480" s="51"/>
      <c r="B480" s="51"/>
      <c r="C480" s="52"/>
      <c r="D480" s="51"/>
      <c r="E480" s="53"/>
      <c r="F480" s="54"/>
      <c r="G480" s="54"/>
      <c r="H480" s="51"/>
      <c r="I480" s="55"/>
      <c r="J480" s="56"/>
      <c r="K480" s="46"/>
      <c r="L480" s="46"/>
      <c r="M480" s="47"/>
      <c r="N480" s="46"/>
      <c r="O480" s="57"/>
      <c r="P480" s="46"/>
      <c r="Q480" s="46"/>
      <c r="R480" s="57"/>
      <c r="S480" s="7"/>
      <c r="T480" s="54"/>
      <c r="U480" s="58"/>
      <c r="V480" s="47"/>
      <c r="W480" s="18"/>
      <c r="X480" s="46"/>
      <c r="Y480" s="46"/>
      <c r="Z480" s="46"/>
      <c r="AA480" s="7"/>
      <c r="AB480" s="46"/>
      <c r="AC480" s="46"/>
      <c r="AD480" s="47"/>
      <c r="AE480" s="47"/>
      <c r="AF480" s="7"/>
      <c r="AG480" s="7"/>
      <c r="AH480" s="47"/>
      <c r="AI480" s="47"/>
      <c r="AJ480" s="18"/>
      <c r="AK480" s="26"/>
      <c r="AL480" s="34"/>
      <c r="AM480" s="34"/>
      <c r="AN480" s="18"/>
      <c r="AO480" s="18"/>
      <c r="AP480" s="18"/>
      <c r="AQ480" s="18"/>
      <c r="AR480" s="47"/>
      <c r="AS480" s="47"/>
    </row>
    <row r="481">
      <c r="A481" s="51"/>
      <c r="B481" s="51"/>
      <c r="C481" s="52"/>
      <c r="D481" s="51"/>
      <c r="E481" s="53"/>
      <c r="F481" s="54"/>
      <c r="G481" s="54"/>
      <c r="H481" s="51"/>
      <c r="I481" s="55"/>
      <c r="J481" s="56"/>
      <c r="K481" s="46"/>
      <c r="L481" s="46"/>
      <c r="M481" s="47"/>
      <c r="N481" s="46"/>
      <c r="O481" s="57"/>
      <c r="P481" s="46"/>
      <c r="Q481" s="46"/>
      <c r="R481" s="57"/>
      <c r="S481" s="7"/>
      <c r="T481" s="54"/>
      <c r="U481" s="58"/>
      <c r="V481" s="47"/>
      <c r="W481" s="18"/>
      <c r="X481" s="46"/>
      <c r="Y481" s="46"/>
      <c r="Z481" s="46"/>
      <c r="AA481" s="7"/>
      <c r="AB481" s="46"/>
      <c r="AC481" s="46"/>
      <c r="AD481" s="47"/>
      <c r="AE481" s="47"/>
      <c r="AF481" s="7"/>
      <c r="AG481" s="7"/>
      <c r="AH481" s="47"/>
      <c r="AI481" s="47"/>
      <c r="AJ481" s="18"/>
      <c r="AK481" s="26"/>
      <c r="AL481" s="34"/>
      <c r="AM481" s="34"/>
      <c r="AN481" s="18"/>
      <c r="AO481" s="18"/>
      <c r="AP481" s="18"/>
      <c r="AQ481" s="18"/>
      <c r="AR481" s="47"/>
      <c r="AS481" s="47"/>
    </row>
    <row r="482">
      <c r="A482" s="51"/>
      <c r="B482" s="51"/>
      <c r="C482" s="52"/>
      <c r="D482" s="51"/>
      <c r="E482" s="53"/>
      <c r="F482" s="54"/>
      <c r="G482" s="54"/>
      <c r="H482" s="51"/>
      <c r="I482" s="55"/>
      <c r="J482" s="56"/>
      <c r="K482" s="46"/>
      <c r="L482" s="46"/>
      <c r="M482" s="47"/>
      <c r="N482" s="46"/>
      <c r="O482" s="57"/>
      <c r="P482" s="46"/>
      <c r="Q482" s="46"/>
      <c r="R482" s="57"/>
      <c r="S482" s="7"/>
      <c r="T482" s="54"/>
      <c r="U482" s="58"/>
      <c r="V482" s="47"/>
      <c r="W482" s="18"/>
      <c r="X482" s="46"/>
      <c r="Y482" s="46"/>
      <c r="Z482" s="46"/>
      <c r="AA482" s="7"/>
      <c r="AB482" s="46"/>
      <c r="AC482" s="46"/>
      <c r="AD482" s="47"/>
      <c r="AE482" s="47"/>
      <c r="AF482" s="7"/>
      <c r="AG482" s="7"/>
      <c r="AH482" s="47"/>
      <c r="AI482" s="47"/>
      <c r="AJ482" s="18"/>
      <c r="AK482" s="26"/>
      <c r="AL482" s="34"/>
      <c r="AM482" s="34"/>
      <c r="AN482" s="18"/>
      <c r="AO482" s="18"/>
      <c r="AP482" s="18"/>
      <c r="AQ482" s="18"/>
      <c r="AR482" s="47"/>
      <c r="AS482" s="47"/>
    </row>
    <row r="483">
      <c r="A483" s="51"/>
      <c r="B483" s="51"/>
      <c r="C483" s="52"/>
      <c r="D483" s="51"/>
      <c r="E483" s="53"/>
      <c r="F483" s="54"/>
      <c r="G483" s="54"/>
      <c r="H483" s="51"/>
      <c r="I483" s="55"/>
      <c r="J483" s="56"/>
      <c r="K483" s="46"/>
      <c r="L483" s="46"/>
      <c r="M483" s="47"/>
      <c r="N483" s="46"/>
      <c r="O483" s="57"/>
      <c r="P483" s="46"/>
      <c r="Q483" s="46"/>
      <c r="R483" s="57"/>
      <c r="S483" s="7"/>
      <c r="T483" s="54"/>
      <c r="U483" s="58"/>
      <c r="V483" s="47"/>
      <c r="W483" s="18"/>
      <c r="X483" s="46"/>
      <c r="Y483" s="46"/>
      <c r="Z483" s="46"/>
      <c r="AA483" s="7"/>
      <c r="AB483" s="46"/>
      <c r="AC483" s="46"/>
      <c r="AD483" s="47"/>
      <c r="AE483" s="47"/>
      <c r="AF483" s="7"/>
      <c r="AG483" s="7"/>
      <c r="AH483" s="47"/>
      <c r="AI483" s="47"/>
      <c r="AJ483" s="18"/>
      <c r="AK483" s="26"/>
      <c r="AL483" s="34"/>
      <c r="AM483" s="34"/>
      <c r="AN483" s="18"/>
      <c r="AO483" s="18"/>
      <c r="AP483" s="18"/>
      <c r="AQ483" s="18"/>
      <c r="AR483" s="47"/>
      <c r="AS483" s="47"/>
    </row>
    <row r="484">
      <c r="A484" s="51"/>
      <c r="B484" s="51"/>
      <c r="C484" s="52"/>
      <c r="D484" s="51"/>
      <c r="E484" s="53"/>
      <c r="F484" s="54"/>
      <c r="G484" s="54"/>
      <c r="H484" s="51"/>
      <c r="I484" s="55"/>
      <c r="J484" s="56"/>
      <c r="K484" s="46"/>
      <c r="L484" s="46"/>
      <c r="M484" s="47"/>
      <c r="N484" s="46"/>
      <c r="O484" s="57"/>
      <c r="P484" s="46"/>
      <c r="Q484" s="46"/>
      <c r="R484" s="57"/>
      <c r="S484" s="7"/>
      <c r="T484" s="54"/>
      <c r="U484" s="58"/>
      <c r="V484" s="47"/>
      <c r="W484" s="18"/>
      <c r="X484" s="46"/>
      <c r="Y484" s="46"/>
      <c r="Z484" s="46"/>
      <c r="AA484" s="7"/>
      <c r="AB484" s="46"/>
      <c r="AC484" s="46"/>
      <c r="AD484" s="47"/>
      <c r="AE484" s="47"/>
      <c r="AF484" s="7"/>
      <c r="AG484" s="7"/>
      <c r="AH484" s="47"/>
      <c r="AI484" s="47"/>
      <c r="AJ484" s="18"/>
      <c r="AK484" s="26"/>
      <c r="AL484" s="34"/>
      <c r="AM484" s="34"/>
      <c r="AN484" s="18"/>
      <c r="AO484" s="18"/>
      <c r="AP484" s="18"/>
      <c r="AQ484" s="18"/>
      <c r="AR484" s="47"/>
      <c r="AS484" s="47"/>
    </row>
    <row r="485">
      <c r="A485" s="51"/>
      <c r="B485" s="51"/>
      <c r="C485" s="52"/>
      <c r="D485" s="51"/>
      <c r="E485" s="53"/>
      <c r="F485" s="54"/>
      <c r="G485" s="54"/>
      <c r="H485" s="51"/>
      <c r="I485" s="55"/>
      <c r="J485" s="56"/>
      <c r="K485" s="46"/>
      <c r="L485" s="46"/>
      <c r="M485" s="47"/>
      <c r="N485" s="46"/>
      <c r="O485" s="57"/>
      <c r="P485" s="46"/>
      <c r="Q485" s="46"/>
      <c r="R485" s="57"/>
      <c r="S485" s="7"/>
      <c r="T485" s="54"/>
      <c r="U485" s="58"/>
      <c r="V485" s="47"/>
      <c r="W485" s="18"/>
      <c r="X485" s="46"/>
      <c r="Y485" s="46"/>
      <c r="Z485" s="46"/>
      <c r="AA485" s="7"/>
      <c r="AB485" s="46"/>
      <c r="AC485" s="46"/>
      <c r="AD485" s="47"/>
      <c r="AE485" s="47"/>
      <c r="AF485" s="7"/>
      <c r="AG485" s="7"/>
      <c r="AH485" s="47"/>
      <c r="AI485" s="47"/>
      <c r="AJ485" s="18"/>
      <c r="AK485" s="26"/>
      <c r="AL485" s="34"/>
      <c r="AM485" s="34"/>
      <c r="AN485" s="18"/>
      <c r="AO485" s="18"/>
      <c r="AP485" s="18"/>
      <c r="AQ485" s="18"/>
      <c r="AR485" s="47"/>
      <c r="AS485" s="47"/>
    </row>
    <row r="486">
      <c r="A486" s="51"/>
      <c r="B486" s="51"/>
      <c r="C486" s="52"/>
      <c r="D486" s="51"/>
      <c r="E486" s="53"/>
      <c r="F486" s="54"/>
      <c r="G486" s="54"/>
      <c r="H486" s="51"/>
      <c r="I486" s="55"/>
      <c r="J486" s="56"/>
      <c r="K486" s="46"/>
      <c r="L486" s="46"/>
      <c r="M486" s="47"/>
      <c r="N486" s="46"/>
      <c r="O486" s="57"/>
      <c r="P486" s="46"/>
      <c r="Q486" s="46"/>
      <c r="R486" s="57"/>
      <c r="S486" s="7"/>
      <c r="T486" s="54"/>
      <c r="U486" s="58"/>
      <c r="V486" s="47"/>
      <c r="W486" s="18"/>
      <c r="X486" s="46"/>
      <c r="Y486" s="46"/>
      <c r="Z486" s="46"/>
      <c r="AA486" s="7"/>
      <c r="AB486" s="46"/>
      <c r="AC486" s="46"/>
      <c r="AD486" s="47"/>
      <c r="AE486" s="47"/>
      <c r="AF486" s="7"/>
      <c r="AG486" s="7"/>
      <c r="AH486" s="47"/>
      <c r="AI486" s="47"/>
      <c r="AJ486" s="18"/>
      <c r="AK486" s="26"/>
      <c r="AL486" s="34"/>
      <c r="AM486" s="34"/>
      <c r="AN486" s="18"/>
      <c r="AO486" s="18"/>
      <c r="AP486" s="18"/>
      <c r="AQ486" s="18"/>
      <c r="AR486" s="47"/>
      <c r="AS486" s="47"/>
    </row>
    <row r="487">
      <c r="A487" s="51"/>
      <c r="B487" s="51"/>
      <c r="C487" s="52"/>
      <c r="D487" s="51"/>
      <c r="E487" s="53"/>
      <c r="F487" s="54"/>
      <c r="G487" s="54"/>
      <c r="H487" s="51"/>
      <c r="I487" s="55"/>
      <c r="J487" s="56"/>
      <c r="K487" s="46"/>
      <c r="L487" s="46"/>
      <c r="M487" s="47"/>
      <c r="N487" s="46"/>
      <c r="O487" s="57"/>
      <c r="P487" s="46"/>
      <c r="Q487" s="46"/>
      <c r="R487" s="57"/>
      <c r="S487" s="7"/>
      <c r="T487" s="54"/>
      <c r="U487" s="58"/>
      <c r="V487" s="47"/>
      <c r="W487" s="18"/>
      <c r="X487" s="46"/>
      <c r="Y487" s="46"/>
      <c r="Z487" s="46"/>
      <c r="AA487" s="7"/>
      <c r="AB487" s="46"/>
      <c r="AC487" s="46"/>
      <c r="AD487" s="47"/>
      <c r="AE487" s="47"/>
      <c r="AF487" s="7"/>
      <c r="AG487" s="7"/>
      <c r="AH487" s="47"/>
      <c r="AI487" s="47"/>
      <c r="AJ487" s="18"/>
      <c r="AK487" s="26"/>
      <c r="AL487" s="34"/>
      <c r="AM487" s="34"/>
      <c r="AN487" s="18"/>
      <c r="AO487" s="18"/>
      <c r="AP487" s="18"/>
      <c r="AQ487" s="18"/>
      <c r="AR487" s="47"/>
      <c r="AS487" s="47"/>
    </row>
    <row r="488">
      <c r="A488" s="51"/>
      <c r="B488" s="51"/>
      <c r="C488" s="52"/>
      <c r="D488" s="51"/>
      <c r="E488" s="53"/>
      <c r="F488" s="54"/>
      <c r="G488" s="54"/>
      <c r="H488" s="51"/>
      <c r="I488" s="55"/>
      <c r="J488" s="56"/>
      <c r="K488" s="46"/>
      <c r="L488" s="46"/>
      <c r="M488" s="47"/>
      <c r="N488" s="46"/>
      <c r="O488" s="57"/>
      <c r="P488" s="46"/>
      <c r="Q488" s="46"/>
      <c r="R488" s="57"/>
      <c r="S488" s="7"/>
      <c r="T488" s="54"/>
      <c r="U488" s="58"/>
      <c r="V488" s="47"/>
      <c r="W488" s="18"/>
      <c r="X488" s="46"/>
      <c r="Y488" s="46"/>
      <c r="Z488" s="46"/>
      <c r="AA488" s="7"/>
      <c r="AB488" s="46"/>
      <c r="AC488" s="46"/>
      <c r="AD488" s="47"/>
      <c r="AE488" s="47"/>
      <c r="AF488" s="7"/>
      <c r="AG488" s="7"/>
      <c r="AH488" s="47"/>
      <c r="AI488" s="47"/>
      <c r="AJ488" s="18"/>
      <c r="AK488" s="26"/>
      <c r="AL488" s="34"/>
      <c r="AM488" s="34"/>
      <c r="AN488" s="18"/>
      <c r="AO488" s="18"/>
      <c r="AP488" s="18"/>
      <c r="AQ488" s="18"/>
      <c r="AR488" s="47"/>
      <c r="AS488" s="47"/>
    </row>
    <row r="489">
      <c r="A489" s="51"/>
      <c r="B489" s="51"/>
      <c r="C489" s="52"/>
      <c r="D489" s="51"/>
      <c r="E489" s="53"/>
      <c r="F489" s="54"/>
      <c r="G489" s="54"/>
      <c r="H489" s="51"/>
      <c r="I489" s="55"/>
      <c r="J489" s="56"/>
      <c r="K489" s="46"/>
      <c r="L489" s="46"/>
      <c r="M489" s="47"/>
      <c r="N489" s="46"/>
      <c r="O489" s="57"/>
      <c r="P489" s="46"/>
      <c r="Q489" s="46"/>
      <c r="R489" s="57"/>
      <c r="S489" s="7"/>
      <c r="T489" s="54"/>
      <c r="U489" s="58"/>
      <c r="V489" s="47"/>
      <c r="W489" s="18"/>
      <c r="X489" s="46"/>
      <c r="Y489" s="46"/>
      <c r="Z489" s="46"/>
      <c r="AA489" s="7"/>
      <c r="AB489" s="46"/>
      <c r="AC489" s="46"/>
      <c r="AD489" s="47"/>
      <c r="AE489" s="47"/>
      <c r="AF489" s="7"/>
      <c r="AG489" s="7"/>
      <c r="AH489" s="47"/>
      <c r="AI489" s="47"/>
      <c r="AJ489" s="18"/>
      <c r="AK489" s="26"/>
      <c r="AL489" s="34"/>
      <c r="AM489" s="34"/>
      <c r="AN489" s="18"/>
      <c r="AO489" s="18"/>
      <c r="AP489" s="18"/>
      <c r="AQ489" s="18"/>
      <c r="AR489" s="47"/>
      <c r="AS489" s="47"/>
    </row>
    <row r="490">
      <c r="A490" s="51"/>
      <c r="B490" s="51"/>
      <c r="C490" s="52"/>
      <c r="D490" s="51"/>
      <c r="E490" s="53"/>
      <c r="F490" s="54"/>
      <c r="G490" s="54"/>
      <c r="H490" s="51"/>
      <c r="I490" s="55"/>
      <c r="J490" s="56"/>
      <c r="K490" s="46"/>
      <c r="L490" s="46"/>
      <c r="M490" s="47"/>
      <c r="N490" s="46"/>
      <c r="O490" s="57"/>
      <c r="P490" s="46"/>
      <c r="Q490" s="46"/>
      <c r="R490" s="57"/>
      <c r="S490" s="7"/>
      <c r="T490" s="54"/>
      <c r="U490" s="58"/>
      <c r="V490" s="47"/>
      <c r="W490" s="18"/>
      <c r="X490" s="46"/>
      <c r="Y490" s="46"/>
      <c r="Z490" s="46"/>
      <c r="AA490" s="7"/>
      <c r="AB490" s="46"/>
      <c r="AC490" s="46"/>
      <c r="AD490" s="47"/>
      <c r="AE490" s="47"/>
      <c r="AF490" s="7"/>
      <c r="AG490" s="7"/>
      <c r="AH490" s="47"/>
      <c r="AI490" s="47"/>
      <c r="AJ490" s="18"/>
      <c r="AK490" s="26"/>
      <c r="AL490" s="34"/>
      <c r="AM490" s="34"/>
      <c r="AN490" s="18"/>
      <c r="AO490" s="18"/>
      <c r="AP490" s="18"/>
      <c r="AQ490" s="18"/>
      <c r="AR490" s="47"/>
      <c r="AS490" s="47"/>
    </row>
    <row r="491">
      <c r="A491" s="51"/>
      <c r="B491" s="51"/>
      <c r="C491" s="52"/>
      <c r="D491" s="51"/>
      <c r="E491" s="53"/>
      <c r="F491" s="54"/>
      <c r="G491" s="54"/>
      <c r="H491" s="51"/>
      <c r="I491" s="55"/>
      <c r="J491" s="56"/>
      <c r="K491" s="46"/>
      <c r="L491" s="46"/>
      <c r="M491" s="47"/>
      <c r="N491" s="46"/>
      <c r="O491" s="57"/>
      <c r="P491" s="46"/>
      <c r="Q491" s="46"/>
      <c r="R491" s="57"/>
      <c r="S491" s="7"/>
      <c r="T491" s="54"/>
      <c r="U491" s="58"/>
      <c r="V491" s="47"/>
      <c r="W491" s="18"/>
      <c r="X491" s="46"/>
      <c r="Y491" s="46"/>
      <c r="Z491" s="46"/>
      <c r="AA491" s="7"/>
      <c r="AB491" s="46"/>
      <c r="AC491" s="46"/>
      <c r="AD491" s="47"/>
      <c r="AE491" s="47"/>
      <c r="AF491" s="7"/>
      <c r="AG491" s="7"/>
      <c r="AH491" s="47"/>
      <c r="AI491" s="47"/>
      <c r="AJ491" s="18"/>
      <c r="AK491" s="26"/>
      <c r="AL491" s="34"/>
      <c r="AM491" s="34"/>
      <c r="AN491" s="18"/>
      <c r="AO491" s="18"/>
      <c r="AP491" s="18"/>
      <c r="AQ491" s="18"/>
      <c r="AR491" s="47"/>
      <c r="AS491" s="47"/>
    </row>
    <row r="492">
      <c r="A492" s="51"/>
      <c r="B492" s="51"/>
      <c r="C492" s="52"/>
      <c r="D492" s="51"/>
      <c r="E492" s="53"/>
      <c r="F492" s="54"/>
      <c r="G492" s="54"/>
      <c r="H492" s="51"/>
      <c r="I492" s="55"/>
      <c r="J492" s="56"/>
      <c r="K492" s="46"/>
      <c r="L492" s="46"/>
      <c r="M492" s="47"/>
      <c r="N492" s="46"/>
      <c r="O492" s="57"/>
      <c r="P492" s="46"/>
      <c r="Q492" s="46"/>
      <c r="R492" s="57"/>
      <c r="S492" s="7"/>
      <c r="T492" s="54"/>
      <c r="U492" s="58"/>
      <c r="V492" s="47"/>
      <c r="W492" s="18"/>
      <c r="X492" s="46"/>
      <c r="Y492" s="46"/>
      <c r="Z492" s="46"/>
      <c r="AA492" s="7"/>
      <c r="AB492" s="46"/>
      <c r="AC492" s="46"/>
      <c r="AD492" s="47"/>
      <c r="AE492" s="47"/>
      <c r="AF492" s="7"/>
      <c r="AG492" s="7"/>
      <c r="AH492" s="47"/>
      <c r="AI492" s="47"/>
      <c r="AJ492" s="18"/>
      <c r="AK492" s="26"/>
      <c r="AL492" s="34"/>
      <c r="AM492" s="34"/>
      <c r="AN492" s="18"/>
      <c r="AO492" s="18"/>
      <c r="AP492" s="18"/>
      <c r="AQ492" s="18"/>
      <c r="AR492" s="47"/>
      <c r="AS492" s="47"/>
    </row>
    <row r="493">
      <c r="A493" s="51"/>
      <c r="B493" s="51"/>
      <c r="C493" s="52"/>
      <c r="D493" s="51"/>
      <c r="E493" s="53"/>
      <c r="F493" s="54"/>
      <c r="G493" s="54"/>
      <c r="H493" s="51"/>
      <c r="I493" s="55"/>
      <c r="J493" s="56"/>
      <c r="K493" s="46"/>
      <c r="L493" s="46"/>
      <c r="M493" s="47"/>
      <c r="N493" s="46"/>
      <c r="O493" s="57"/>
      <c r="P493" s="46"/>
      <c r="Q493" s="46"/>
      <c r="R493" s="57"/>
      <c r="S493" s="7"/>
      <c r="T493" s="54"/>
      <c r="U493" s="58"/>
      <c r="V493" s="47"/>
      <c r="W493" s="18"/>
      <c r="X493" s="46"/>
      <c r="Y493" s="46"/>
      <c r="Z493" s="46"/>
      <c r="AA493" s="7"/>
      <c r="AB493" s="46"/>
      <c r="AC493" s="46"/>
      <c r="AD493" s="47"/>
      <c r="AE493" s="47"/>
      <c r="AF493" s="7"/>
      <c r="AG493" s="7"/>
      <c r="AH493" s="47"/>
      <c r="AI493" s="47"/>
      <c r="AJ493" s="18"/>
      <c r="AK493" s="26"/>
      <c r="AL493" s="34"/>
      <c r="AM493" s="34"/>
      <c r="AN493" s="18"/>
      <c r="AO493" s="18"/>
      <c r="AP493" s="18"/>
      <c r="AQ493" s="18"/>
      <c r="AR493" s="47"/>
      <c r="AS493" s="47"/>
    </row>
    <row r="494">
      <c r="A494" s="51"/>
      <c r="B494" s="51"/>
      <c r="C494" s="52"/>
      <c r="D494" s="51"/>
      <c r="E494" s="53"/>
      <c r="F494" s="54"/>
      <c r="G494" s="54"/>
      <c r="H494" s="51"/>
      <c r="I494" s="55"/>
      <c r="J494" s="56"/>
      <c r="K494" s="46"/>
      <c r="L494" s="46"/>
      <c r="M494" s="47"/>
      <c r="N494" s="46"/>
      <c r="O494" s="57"/>
      <c r="P494" s="46"/>
      <c r="Q494" s="46"/>
      <c r="R494" s="57"/>
      <c r="S494" s="7"/>
      <c r="T494" s="54"/>
      <c r="U494" s="58"/>
      <c r="V494" s="47"/>
      <c r="W494" s="18"/>
      <c r="X494" s="46"/>
      <c r="Y494" s="46"/>
      <c r="Z494" s="46"/>
      <c r="AA494" s="7"/>
      <c r="AB494" s="46"/>
      <c r="AC494" s="46"/>
      <c r="AD494" s="47"/>
      <c r="AE494" s="47"/>
      <c r="AF494" s="7"/>
      <c r="AG494" s="7"/>
      <c r="AH494" s="47"/>
      <c r="AI494" s="47"/>
      <c r="AJ494" s="18"/>
      <c r="AK494" s="26"/>
      <c r="AL494" s="34"/>
      <c r="AM494" s="34"/>
      <c r="AN494" s="18"/>
      <c r="AO494" s="18"/>
      <c r="AP494" s="18"/>
      <c r="AQ494" s="18"/>
      <c r="AR494" s="47"/>
      <c r="AS494" s="47"/>
    </row>
    <row r="495">
      <c r="A495" s="51"/>
      <c r="B495" s="51"/>
      <c r="C495" s="52"/>
      <c r="D495" s="51"/>
      <c r="E495" s="53"/>
      <c r="F495" s="54"/>
      <c r="G495" s="54"/>
      <c r="H495" s="51"/>
      <c r="I495" s="55"/>
      <c r="J495" s="56"/>
      <c r="K495" s="46"/>
      <c r="L495" s="46"/>
      <c r="M495" s="47"/>
      <c r="N495" s="46"/>
      <c r="O495" s="57"/>
      <c r="P495" s="46"/>
      <c r="Q495" s="46"/>
      <c r="R495" s="57"/>
      <c r="S495" s="7"/>
      <c r="T495" s="54"/>
      <c r="U495" s="58"/>
      <c r="V495" s="47"/>
      <c r="W495" s="18"/>
      <c r="X495" s="46"/>
      <c r="Y495" s="46"/>
      <c r="Z495" s="46"/>
      <c r="AA495" s="7"/>
      <c r="AB495" s="46"/>
      <c r="AC495" s="46"/>
      <c r="AD495" s="47"/>
      <c r="AE495" s="47"/>
      <c r="AF495" s="7"/>
      <c r="AG495" s="7"/>
      <c r="AH495" s="47"/>
      <c r="AI495" s="47"/>
      <c r="AJ495" s="18"/>
      <c r="AK495" s="26"/>
      <c r="AL495" s="34"/>
      <c r="AM495" s="34"/>
      <c r="AN495" s="18"/>
      <c r="AO495" s="18"/>
      <c r="AP495" s="18"/>
      <c r="AQ495" s="18"/>
      <c r="AR495" s="47"/>
      <c r="AS495" s="47"/>
    </row>
    <row r="496">
      <c r="A496" s="51"/>
      <c r="B496" s="51"/>
      <c r="C496" s="52"/>
      <c r="D496" s="51"/>
      <c r="E496" s="53"/>
      <c r="F496" s="54"/>
      <c r="G496" s="54"/>
      <c r="H496" s="51"/>
      <c r="I496" s="55"/>
      <c r="J496" s="56"/>
      <c r="K496" s="46"/>
      <c r="L496" s="46"/>
      <c r="M496" s="47"/>
      <c r="N496" s="46"/>
      <c r="O496" s="57"/>
      <c r="P496" s="46"/>
      <c r="Q496" s="46"/>
      <c r="R496" s="57"/>
      <c r="S496" s="7"/>
      <c r="T496" s="54"/>
      <c r="U496" s="58"/>
      <c r="V496" s="47"/>
      <c r="W496" s="18"/>
      <c r="X496" s="46"/>
      <c r="Y496" s="46"/>
      <c r="Z496" s="46"/>
      <c r="AA496" s="7"/>
      <c r="AB496" s="46"/>
      <c r="AC496" s="46"/>
      <c r="AD496" s="47"/>
      <c r="AE496" s="47"/>
      <c r="AF496" s="7"/>
      <c r="AG496" s="7"/>
      <c r="AH496" s="47"/>
      <c r="AI496" s="47"/>
      <c r="AJ496" s="18"/>
      <c r="AK496" s="26"/>
      <c r="AL496" s="34"/>
      <c r="AM496" s="34"/>
      <c r="AN496" s="18"/>
      <c r="AO496" s="18"/>
      <c r="AP496" s="18"/>
      <c r="AQ496" s="18"/>
      <c r="AR496" s="47"/>
      <c r="AS496" s="47"/>
    </row>
    <row r="497">
      <c r="A497" s="51"/>
      <c r="B497" s="51"/>
      <c r="C497" s="52"/>
      <c r="D497" s="51"/>
      <c r="E497" s="53"/>
      <c r="F497" s="54"/>
      <c r="G497" s="54"/>
      <c r="H497" s="51"/>
      <c r="I497" s="55"/>
      <c r="J497" s="56"/>
      <c r="K497" s="46"/>
      <c r="L497" s="46"/>
      <c r="M497" s="47"/>
      <c r="N497" s="46"/>
      <c r="O497" s="57"/>
      <c r="P497" s="46"/>
      <c r="Q497" s="46"/>
      <c r="R497" s="57"/>
      <c r="S497" s="7"/>
      <c r="T497" s="54"/>
      <c r="U497" s="58"/>
      <c r="V497" s="47"/>
      <c r="W497" s="18"/>
      <c r="X497" s="46"/>
      <c r="Y497" s="46"/>
      <c r="Z497" s="46"/>
      <c r="AA497" s="7"/>
      <c r="AB497" s="46"/>
      <c r="AC497" s="46"/>
      <c r="AD497" s="47"/>
      <c r="AE497" s="47"/>
      <c r="AF497" s="7"/>
      <c r="AG497" s="7"/>
      <c r="AH497" s="47"/>
      <c r="AI497" s="47"/>
      <c r="AJ497" s="18"/>
      <c r="AK497" s="26"/>
      <c r="AL497" s="34"/>
      <c r="AM497" s="34"/>
      <c r="AN497" s="18"/>
      <c r="AO497" s="18"/>
      <c r="AP497" s="18"/>
      <c r="AQ497" s="18"/>
      <c r="AR497" s="47"/>
      <c r="AS497" s="47"/>
    </row>
    <row r="498">
      <c r="A498" s="51"/>
      <c r="B498" s="51"/>
      <c r="C498" s="52"/>
      <c r="D498" s="51"/>
      <c r="E498" s="53"/>
      <c r="F498" s="54"/>
      <c r="G498" s="54"/>
      <c r="H498" s="51"/>
      <c r="I498" s="55"/>
      <c r="J498" s="56"/>
      <c r="K498" s="46"/>
      <c r="L498" s="46"/>
      <c r="M498" s="47"/>
      <c r="N498" s="46"/>
      <c r="O498" s="57"/>
      <c r="P498" s="46"/>
      <c r="Q498" s="46"/>
      <c r="R498" s="57"/>
      <c r="S498" s="7"/>
      <c r="T498" s="54"/>
      <c r="U498" s="58"/>
      <c r="V498" s="47"/>
      <c r="W498" s="18"/>
      <c r="X498" s="46"/>
      <c r="Y498" s="46"/>
      <c r="Z498" s="46"/>
      <c r="AA498" s="7"/>
      <c r="AB498" s="46"/>
      <c r="AC498" s="46"/>
      <c r="AD498" s="47"/>
      <c r="AE498" s="47"/>
      <c r="AF498" s="7"/>
      <c r="AG498" s="7"/>
      <c r="AH498" s="47"/>
      <c r="AI498" s="47"/>
      <c r="AJ498" s="18"/>
      <c r="AK498" s="26"/>
      <c r="AL498" s="34"/>
      <c r="AM498" s="34"/>
      <c r="AN498" s="18"/>
      <c r="AO498" s="18"/>
      <c r="AP498" s="18"/>
      <c r="AQ498" s="18"/>
      <c r="AR498" s="47"/>
      <c r="AS498" s="47"/>
    </row>
    <row r="499">
      <c r="A499" s="51"/>
      <c r="B499" s="51"/>
      <c r="C499" s="52"/>
      <c r="D499" s="51"/>
      <c r="E499" s="53"/>
      <c r="F499" s="54"/>
      <c r="G499" s="54"/>
      <c r="H499" s="51"/>
      <c r="I499" s="55"/>
      <c r="J499" s="56"/>
      <c r="K499" s="46"/>
      <c r="L499" s="46"/>
      <c r="M499" s="47"/>
      <c r="N499" s="46"/>
      <c r="O499" s="57"/>
      <c r="P499" s="46"/>
      <c r="Q499" s="46"/>
      <c r="R499" s="57"/>
      <c r="S499" s="7"/>
      <c r="T499" s="54"/>
      <c r="U499" s="58"/>
      <c r="V499" s="47"/>
      <c r="W499" s="18"/>
      <c r="X499" s="46"/>
      <c r="Y499" s="46"/>
      <c r="Z499" s="46"/>
      <c r="AA499" s="7"/>
      <c r="AB499" s="46"/>
      <c r="AC499" s="46"/>
      <c r="AD499" s="47"/>
      <c r="AE499" s="47"/>
      <c r="AF499" s="7"/>
      <c r="AG499" s="7"/>
      <c r="AH499" s="47"/>
      <c r="AI499" s="47"/>
      <c r="AJ499" s="18"/>
      <c r="AK499" s="26"/>
      <c r="AL499" s="34"/>
      <c r="AM499" s="34"/>
      <c r="AN499" s="18"/>
      <c r="AO499" s="18"/>
      <c r="AP499" s="18"/>
      <c r="AQ499" s="18"/>
      <c r="AR499" s="47"/>
      <c r="AS499" s="47"/>
    </row>
    <row r="500">
      <c r="A500" s="51"/>
      <c r="B500" s="51"/>
      <c r="C500" s="52"/>
      <c r="D500" s="51"/>
      <c r="E500" s="53"/>
      <c r="F500" s="54"/>
      <c r="G500" s="54"/>
      <c r="H500" s="51"/>
      <c r="I500" s="55"/>
      <c r="J500" s="56"/>
      <c r="K500" s="46"/>
      <c r="L500" s="46"/>
      <c r="M500" s="47"/>
      <c r="N500" s="46"/>
      <c r="O500" s="57"/>
      <c r="P500" s="46"/>
      <c r="Q500" s="46"/>
      <c r="R500" s="57"/>
      <c r="S500" s="7"/>
      <c r="T500" s="54"/>
      <c r="U500" s="58"/>
      <c r="V500" s="47"/>
      <c r="W500" s="18"/>
      <c r="X500" s="46"/>
      <c r="Y500" s="46"/>
      <c r="Z500" s="46"/>
      <c r="AA500" s="7"/>
      <c r="AB500" s="46"/>
      <c r="AC500" s="46"/>
      <c r="AD500" s="47"/>
      <c r="AE500" s="47"/>
      <c r="AF500" s="7"/>
      <c r="AG500" s="7"/>
      <c r="AH500" s="47"/>
      <c r="AI500" s="47"/>
      <c r="AJ500" s="18"/>
      <c r="AK500" s="26"/>
      <c r="AL500" s="34"/>
      <c r="AM500" s="34"/>
      <c r="AN500" s="18"/>
      <c r="AO500" s="18"/>
      <c r="AP500" s="18"/>
      <c r="AQ500" s="18"/>
      <c r="AR500" s="47"/>
      <c r="AS500" s="47"/>
    </row>
    <row r="501">
      <c r="A501" s="51"/>
      <c r="B501" s="51"/>
      <c r="C501" s="52"/>
      <c r="D501" s="51"/>
      <c r="E501" s="53"/>
      <c r="F501" s="54"/>
      <c r="G501" s="54"/>
      <c r="H501" s="51"/>
      <c r="I501" s="55"/>
      <c r="J501" s="56"/>
      <c r="K501" s="46"/>
      <c r="L501" s="46"/>
      <c r="M501" s="47"/>
      <c r="N501" s="46"/>
      <c r="O501" s="57"/>
      <c r="P501" s="46"/>
      <c r="Q501" s="46"/>
      <c r="R501" s="57"/>
      <c r="S501" s="7"/>
      <c r="T501" s="54"/>
      <c r="U501" s="58"/>
      <c r="V501" s="47"/>
      <c r="W501" s="18"/>
      <c r="X501" s="46"/>
      <c r="Y501" s="46"/>
      <c r="Z501" s="46"/>
      <c r="AA501" s="7"/>
      <c r="AB501" s="46"/>
      <c r="AC501" s="46"/>
      <c r="AD501" s="47"/>
      <c r="AE501" s="47"/>
      <c r="AF501" s="7"/>
      <c r="AG501" s="7"/>
      <c r="AH501" s="47"/>
      <c r="AI501" s="47"/>
      <c r="AJ501" s="18"/>
      <c r="AK501" s="26"/>
      <c r="AL501" s="34"/>
      <c r="AM501" s="34"/>
      <c r="AN501" s="18"/>
      <c r="AO501" s="18"/>
      <c r="AP501" s="18"/>
      <c r="AQ501" s="18"/>
      <c r="AR501" s="47"/>
      <c r="AS501" s="47"/>
    </row>
    <row r="502">
      <c r="A502" s="51"/>
      <c r="B502" s="51"/>
      <c r="C502" s="52"/>
      <c r="D502" s="51"/>
      <c r="E502" s="53"/>
      <c r="F502" s="54"/>
      <c r="G502" s="54"/>
      <c r="H502" s="51"/>
      <c r="I502" s="55"/>
      <c r="J502" s="56"/>
      <c r="K502" s="46"/>
      <c r="L502" s="46"/>
      <c r="M502" s="47"/>
      <c r="N502" s="46"/>
      <c r="O502" s="57"/>
      <c r="P502" s="46"/>
      <c r="Q502" s="46"/>
      <c r="R502" s="57"/>
      <c r="S502" s="7"/>
      <c r="T502" s="54"/>
      <c r="U502" s="58"/>
      <c r="V502" s="47"/>
      <c r="W502" s="18"/>
      <c r="X502" s="46"/>
      <c r="Y502" s="46"/>
      <c r="Z502" s="46"/>
      <c r="AA502" s="7"/>
      <c r="AB502" s="46"/>
      <c r="AC502" s="46"/>
      <c r="AD502" s="47"/>
      <c r="AE502" s="47"/>
      <c r="AF502" s="7"/>
      <c r="AG502" s="7"/>
      <c r="AH502" s="47"/>
      <c r="AI502" s="47"/>
      <c r="AJ502" s="18"/>
      <c r="AK502" s="26"/>
      <c r="AL502" s="34"/>
      <c r="AM502" s="34"/>
      <c r="AN502" s="18"/>
      <c r="AO502" s="18"/>
      <c r="AP502" s="18"/>
      <c r="AQ502" s="18"/>
      <c r="AR502" s="47"/>
      <c r="AS502" s="47"/>
    </row>
    <row r="503">
      <c r="A503" s="51"/>
      <c r="B503" s="51"/>
      <c r="C503" s="52"/>
      <c r="D503" s="51"/>
      <c r="E503" s="53"/>
      <c r="F503" s="54"/>
      <c r="G503" s="54"/>
      <c r="H503" s="51"/>
      <c r="I503" s="55"/>
      <c r="J503" s="56"/>
      <c r="K503" s="46"/>
      <c r="L503" s="46"/>
      <c r="M503" s="47"/>
      <c r="N503" s="46"/>
      <c r="O503" s="57"/>
      <c r="P503" s="46"/>
      <c r="Q503" s="46"/>
      <c r="R503" s="57"/>
      <c r="S503" s="7"/>
      <c r="T503" s="54"/>
      <c r="U503" s="58"/>
      <c r="V503" s="47"/>
      <c r="W503" s="18"/>
      <c r="X503" s="46"/>
      <c r="Y503" s="46"/>
      <c r="Z503" s="46"/>
      <c r="AA503" s="7"/>
      <c r="AB503" s="46"/>
      <c r="AC503" s="46"/>
      <c r="AD503" s="47"/>
      <c r="AE503" s="47"/>
      <c r="AF503" s="7"/>
      <c r="AG503" s="7"/>
      <c r="AH503" s="47"/>
      <c r="AI503" s="47"/>
      <c r="AJ503" s="18"/>
      <c r="AK503" s="26"/>
      <c r="AL503" s="34"/>
      <c r="AM503" s="34"/>
      <c r="AN503" s="18"/>
      <c r="AO503" s="18"/>
      <c r="AP503" s="18"/>
      <c r="AQ503" s="18"/>
      <c r="AR503" s="47"/>
      <c r="AS503" s="47"/>
    </row>
    <row r="504">
      <c r="A504" s="51"/>
      <c r="B504" s="51"/>
      <c r="C504" s="52"/>
      <c r="D504" s="51"/>
      <c r="E504" s="53"/>
      <c r="F504" s="54"/>
      <c r="G504" s="54"/>
      <c r="H504" s="51"/>
      <c r="I504" s="55"/>
      <c r="J504" s="56"/>
      <c r="K504" s="46"/>
      <c r="L504" s="46"/>
      <c r="M504" s="47"/>
      <c r="N504" s="46"/>
      <c r="O504" s="57"/>
      <c r="P504" s="46"/>
      <c r="Q504" s="46"/>
      <c r="R504" s="57"/>
      <c r="S504" s="7"/>
      <c r="T504" s="54"/>
      <c r="U504" s="58"/>
      <c r="V504" s="47"/>
      <c r="W504" s="18"/>
      <c r="X504" s="46"/>
      <c r="Y504" s="46"/>
      <c r="Z504" s="46"/>
      <c r="AA504" s="7"/>
      <c r="AB504" s="46"/>
      <c r="AC504" s="46"/>
      <c r="AD504" s="47"/>
      <c r="AE504" s="47"/>
      <c r="AF504" s="7"/>
      <c r="AG504" s="7"/>
      <c r="AH504" s="47"/>
      <c r="AI504" s="47"/>
      <c r="AJ504" s="18"/>
      <c r="AK504" s="26"/>
      <c r="AL504" s="34"/>
      <c r="AM504" s="34"/>
      <c r="AN504" s="18"/>
      <c r="AO504" s="18"/>
      <c r="AP504" s="18"/>
      <c r="AQ504" s="18"/>
      <c r="AR504" s="47"/>
      <c r="AS504" s="47"/>
    </row>
    <row r="505">
      <c r="A505" s="51"/>
      <c r="B505" s="51"/>
      <c r="C505" s="52"/>
      <c r="D505" s="51"/>
      <c r="E505" s="53"/>
      <c r="F505" s="54"/>
      <c r="G505" s="54"/>
      <c r="H505" s="51"/>
      <c r="I505" s="55"/>
      <c r="J505" s="56"/>
      <c r="K505" s="46"/>
      <c r="L505" s="46"/>
      <c r="M505" s="47"/>
      <c r="N505" s="46"/>
      <c r="O505" s="57"/>
      <c r="P505" s="46"/>
      <c r="Q505" s="46"/>
      <c r="R505" s="57"/>
      <c r="S505" s="7"/>
      <c r="T505" s="54"/>
      <c r="U505" s="58"/>
      <c r="V505" s="47"/>
      <c r="W505" s="18"/>
      <c r="X505" s="46"/>
      <c r="Y505" s="46"/>
      <c r="Z505" s="46"/>
      <c r="AA505" s="7"/>
      <c r="AB505" s="46"/>
      <c r="AC505" s="46"/>
      <c r="AD505" s="47"/>
      <c r="AE505" s="47"/>
      <c r="AF505" s="7"/>
      <c r="AG505" s="7"/>
      <c r="AH505" s="47"/>
      <c r="AI505" s="47"/>
      <c r="AJ505" s="18"/>
      <c r="AK505" s="26"/>
      <c r="AL505" s="34"/>
      <c r="AM505" s="34"/>
      <c r="AN505" s="18"/>
      <c r="AO505" s="18"/>
      <c r="AP505" s="18"/>
      <c r="AQ505" s="18"/>
      <c r="AR505" s="47"/>
      <c r="AS505" s="47"/>
    </row>
    <row r="506">
      <c r="A506" s="51"/>
      <c r="B506" s="51"/>
      <c r="C506" s="52"/>
      <c r="D506" s="51"/>
      <c r="E506" s="53"/>
      <c r="F506" s="54"/>
      <c r="G506" s="54"/>
      <c r="H506" s="51"/>
      <c r="I506" s="55"/>
      <c r="J506" s="56"/>
      <c r="K506" s="46"/>
      <c r="L506" s="46"/>
      <c r="M506" s="47"/>
      <c r="N506" s="46"/>
      <c r="O506" s="57"/>
      <c r="P506" s="46"/>
      <c r="Q506" s="46"/>
      <c r="R506" s="57"/>
      <c r="S506" s="7"/>
      <c r="T506" s="54"/>
      <c r="U506" s="58"/>
      <c r="V506" s="47"/>
      <c r="W506" s="18"/>
      <c r="X506" s="46"/>
      <c r="Y506" s="46"/>
      <c r="Z506" s="46"/>
      <c r="AA506" s="7"/>
      <c r="AB506" s="46"/>
      <c r="AC506" s="46"/>
      <c r="AD506" s="47"/>
      <c r="AE506" s="47"/>
      <c r="AF506" s="7"/>
      <c r="AG506" s="7"/>
      <c r="AH506" s="47"/>
      <c r="AI506" s="47"/>
      <c r="AJ506" s="18"/>
      <c r="AK506" s="26"/>
      <c r="AL506" s="34"/>
      <c r="AM506" s="34"/>
      <c r="AN506" s="18"/>
      <c r="AO506" s="18"/>
      <c r="AP506" s="18"/>
      <c r="AQ506" s="18"/>
      <c r="AR506" s="47"/>
      <c r="AS506" s="47"/>
    </row>
    <row r="507">
      <c r="A507" s="51"/>
      <c r="B507" s="51"/>
      <c r="C507" s="52"/>
      <c r="D507" s="51"/>
      <c r="E507" s="53"/>
      <c r="F507" s="54"/>
      <c r="G507" s="54"/>
      <c r="H507" s="51"/>
      <c r="I507" s="55"/>
      <c r="J507" s="56"/>
      <c r="K507" s="46"/>
      <c r="L507" s="46"/>
      <c r="M507" s="47"/>
      <c r="N507" s="46"/>
      <c r="O507" s="57"/>
      <c r="P507" s="46"/>
      <c r="Q507" s="46"/>
      <c r="R507" s="57"/>
      <c r="S507" s="7"/>
      <c r="T507" s="54"/>
      <c r="U507" s="58"/>
      <c r="V507" s="47"/>
      <c r="W507" s="18"/>
      <c r="X507" s="46"/>
      <c r="Y507" s="46"/>
      <c r="Z507" s="46"/>
      <c r="AA507" s="7"/>
      <c r="AB507" s="46"/>
      <c r="AC507" s="46"/>
      <c r="AD507" s="47"/>
      <c r="AE507" s="47"/>
      <c r="AF507" s="7"/>
      <c r="AG507" s="7"/>
      <c r="AH507" s="47"/>
      <c r="AI507" s="47"/>
      <c r="AJ507" s="18"/>
      <c r="AK507" s="26"/>
      <c r="AL507" s="34"/>
      <c r="AM507" s="34"/>
      <c r="AN507" s="18"/>
      <c r="AO507" s="18"/>
      <c r="AP507" s="18"/>
      <c r="AQ507" s="18"/>
      <c r="AR507" s="47"/>
      <c r="AS507" s="47"/>
    </row>
    <row r="508">
      <c r="A508" s="51"/>
      <c r="B508" s="51"/>
      <c r="C508" s="52"/>
      <c r="D508" s="51"/>
      <c r="E508" s="53"/>
      <c r="F508" s="54"/>
      <c r="G508" s="54"/>
      <c r="H508" s="51"/>
      <c r="I508" s="55"/>
      <c r="J508" s="56"/>
      <c r="K508" s="46"/>
      <c r="L508" s="46"/>
      <c r="M508" s="47"/>
      <c r="N508" s="46"/>
      <c r="O508" s="57"/>
      <c r="P508" s="46"/>
      <c r="Q508" s="46"/>
      <c r="R508" s="57"/>
      <c r="S508" s="7"/>
      <c r="T508" s="54"/>
      <c r="U508" s="58"/>
      <c r="V508" s="47"/>
      <c r="W508" s="18"/>
      <c r="X508" s="46"/>
      <c r="Y508" s="46"/>
      <c r="Z508" s="46"/>
      <c r="AA508" s="7"/>
      <c r="AB508" s="46"/>
      <c r="AC508" s="46"/>
      <c r="AD508" s="47"/>
      <c r="AE508" s="47"/>
      <c r="AF508" s="7"/>
      <c r="AG508" s="7"/>
      <c r="AH508" s="47"/>
      <c r="AI508" s="47"/>
      <c r="AJ508" s="18"/>
      <c r="AK508" s="26"/>
      <c r="AL508" s="34"/>
      <c r="AM508" s="34"/>
      <c r="AN508" s="18"/>
      <c r="AO508" s="18"/>
      <c r="AP508" s="18"/>
      <c r="AQ508" s="18"/>
      <c r="AR508" s="47"/>
      <c r="AS508" s="47"/>
    </row>
    <row r="509">
      <c r="A509" s="51"/>
      <c r="B509" s="51"/>
      <c r="C509" s="52"/>
      <c r="D509" s="51"/>
      <c r="E509" s="53"/>
      <c r="F509" s="54"/>
      <c r="G509" s="54"/>
      <c r="H509" s="51"/>
      <c r="I509" s="55"/>
      <c r="J509" s="56"/>
      <c r="K509" s="46"/>
      <c r="L509" s="46"/>
      <c r="M509" s="47"/>
      <c r="N509" s="46"/>
      <c r="O509" s="57"/>
      <c r="P509" s="46"/>
      <c r="Q509" s="46"/>
      <c r="R509" s="57"/>
      <c r="S509" s="7"/>
      <c r="T509" s="54"/>
      <c r="U509" s="58"/>
      <c r="V509" s="47"/>
      <c r="W509" s="18"/>
      <c r="X509" s="46"/>
      <c r="Y509" s="46"/>
      <c r="Z509" s="46"/>
      <c r="AA509" s="7"/>
      <c r="AB509" s="46"/>
      <c r="AC509" s="46"/>
      <c r="AD509" s="47"/>
      <c r="AE509" s="47"/>
      <c r="AF509" s="7"/>
      <c r="AG509" s="7"/>
      <c r="AH509" s="47"/>
      <c r="AI509" s="47"/>
      <c r="AJ509" s="18"/>
      <c r="AK509" s="26"/>
      <c r="AL509" s="34"/>
      <c r="AM509" s="34"/>
      <c r="AN509" s="18"/>
      <c r="AO509" s="18"/>
      <c r="AP509" s="18"/>
      <c r="AQ509" s="18"/>
      <c r="AR509" s="47"/>
      <c r="AS509" s="47"/>
    </row>
    <row r="510">
      <c r="A510" s="51"/>
      <c r="B510" s="51"/>
      <c r="C510" s="52"/>
      <c r="D510" s="51"/>
      <c r="E510" s="53"/>
      <c r="F510" s="54"/>
      <c r="G510" s="54"/>
      <c r="H510" s="51"/>
      <c r="I510" s="55"/>
      <c r="J510" s="56"/>
      <c r="K510" s="46"/>
      <c r="L510" s="46"/>
      <c r="M510" s="47"/>
      <c r="N510" s="46"/>
      <c r="O510" s="57"/>
      <c r="P510" s="46"/>
      <c r="Q510" s="46"/>
      <c r="R510" s="57"/>
      <c r="S510" s="7"/>
      <c r="T510" s="54"/>
      <c r="U510" s="58"/>
      <c r="V510" s="47"/>
      <c r="W510" s="18"/>
      <c r="X510" s="46"/>
      <c r="Y510" s="46"/>
      <c r="Z510" s="46"/>
      <c r="AA510" s="7"/>
      <c r="AB510" s="46"/>
      <c r="AC510" s="46"/>
      <c r="AD510" s="47"/>
      <c r="AE510" s="47"/>
      <c r="AF510" s="7"/>
      <c r="AG510" s="7"/>
      <c r="AH510" s="47"/>
      <c r="AI510" s="47"/>
      <c r="AJ510" s="18"/>
      <c r="AK510" s="26"/>
      <c r="AL510" s="34"/>
      <c r="AM510" s="34"/>
      <c r="AN510" s="18"/>
      <c r="AO510" s="18"/>
      <c r="AP510" s="18"/>
      <c r="AQ510" s="18"/>
      <c r="AR510" s="47"/>
      <c r="AS510" s="47"/>
    </row>
    <row r="511">
      <c r="A511" s="51"/>
      <c r="B511" s="51"/>
      <c r="C511" s="52"/>
      <c r="D511" s="51"/>
      <c r="E511" s="53"/>
      <c r="F511" s="54"/>
      <c r="G511" s="54"/>
      <c r="H511" s="51"/>
      <c r="I511" s="55"/>
      <c r="J511" s="56"/>
      <c r="K511" s="46"/>
      <c r="L511" s="46"/>
      <c r="M511" s="47"/>
      <c r="N511" s="46"/>
      <c r="O511" s="57"/>
      <c r="P511" s="46"/>
      <c r="Q511" s="46"/>
      <c r="R511" s="57"/>
      <c r="S511" s="7"/>
      <c r="T511" s="54"/>
      <c r="U511" s="58"/>
      <c r="V511" s="47"/>
      <c r="W511" s="18"/>
      <c r="X511" s="46"/>
      <c r="Y511" s="46"/>
      <c r="Z511" s="46"/>
      <c r="AA511" s="7"/>
      <c r="AB511" s="46"/>
      <c r="AC511" s="46"/>
      <c r="AD511" s="47"/>
      <c r="AE511" s="47"/>
      <c r="AF511" s="7"/>
      <c r="AG511" s="7"/>
      <c r="AH511" s="47"/>
      <c r="AI511" s="47"/>
      <c r="AJ511" s="18"/>
      <c r="AK511" s="26"/>
      <c r="AL511" s="34"/>
      <c r="AM511" s="34"/>
      <c r="AN511" s="18"/>
      <c r="AO511" s="18"/>
      <c r="AP511" s="18"/>
      <c r="AQ511" s="18"/>
      <c r="AR511" s="47"/>
      <c r="AS511" s="47"/>
    </row>
    <row r="512">
      <c r="A512" s="51"/>
      <c r="B512" s="51"/>
      <c r="C512" s="52"/>
      <c r="D512" s="51"/>
      <c r="E512" s="53"/>
      <c r="F512" s="54"/>
      <c r="G512" s="54"/>
      <c r="H512" s="51"/>
      <c r="I512" s="55"/>
      <c r="J512" s="56"/>
      <c r="K512" s="46"/>
      <c r="L512" s="46"/>
      <c r="M512" s="47"/>
      <c r="N512" s="46"/>
      <c r="O512" s="57"/>
      <c r="P512" s="46"/>
      <c r="Q512" s="46"/>
      <c r="R512" s="57"/>
      <c r="S512" s="7"/>
      <c r="T512" s="54"/>
      <c r="U512" s="58"/>
      <c r="V512" s="47"/>
      <c r="W512" s="18"/>
      <c r="X512" s="46"/>
      <c r="Y512" s="46"/>
      <c r="Z512" s="46"/>
      <c r="AA512" s="7"/>
      <c r="AB512" s="46"/>
      <c r="AC512" s="46"/>
      <c r="AD512" s="47"/>
      <c r="AE512" s="47"/>
      <c r="AF512" s="7"/>
      <c r="AG512" s="7"/>
      <c r="AH512" s="47"/>
      <c r="AI512" s="47"/>
      <c r="AJ512" s="18"/>
      <c r="AK512" s="26"/>
      <c r="AL512" s="34"/>
      <c r="AM512" s="34"/>
      <c r="AN512" s="18"/>
      <c r="AO512" s="18"/>
      <c r="AP512" s="18"/>
      <c r="AQ512" s="18"/>
      <c r="AR512" s="47"/>
      <c r="AS512" s="47"/>
    </row>
    <row r="513">
      <c r="A513" s="51"/>
      <c r="B513" s="51"/>
      <c r="C513" s="52"/>
      <c r="D513" s="51"/>
      <c r="E513" s="53"/>
      <c r="F513" s="54"/>
      <c r="G513" s="54"/>
      <c r="H513" s="51"/>
      <c r="I513" s="55"/>
      <c r="J513" s="56"/>
      <c r="K513" s="46"/>
      <c r="L513" s="46"/>
      <c r="M513" s="47"/>
      <c r="N513" s="46"/>
      <c r="O513" s="57"/>
      <c r="P513" s="46"/>
      <c r="Q513" s="46"/>
      <c r="R513" s="57"/>
      <c r="S513" s="7"/>
      <c r="T513" s="54"/>
      <c r="U513" s="58"/>
      <c r="V513" s="47"/>
      <c r="W513" s="18"/>
      <c r="X513" s="46"/>
      <c r="Y513" s="46"/>
      <c r="Z513" s="46"/>
      <c r="AA513" s="7"/>
      <c r="AB513" s="46"/>
      <c r="AC513" s="46"/>
      <c r="AD513" s="47"/>
      <c r="AE513" s="47"/>
      <c r="AF513" s="7"/>
      <c r="AG513" s="7"/>
      <c r="AH513" s="47"/>
      <c r="AI513" s="47"/>
      <c r="AJ513" s="18"/>
      <c r="AK513" s="26"/>
      <c r="AL513" s="34"/>
      <c r="AM513" s="34"/>
      <c r="AN513" s="18"/>
      <c r="AO513" s="18"/>
      <c r="AP513" s="18"/>
      <c r="AQ513" s="18"/>
      <c r="AR513" s="47"/>
      <c r="AS513" s="47"/>
    </row>
    <row r="514">
      <c r="A514" s="51"/>
      <c r="B514" s="51"/>
      <c r="C514" s="52"/>
      <c r="D514" s="51"/>
      <c r="E514" s="53"/>
      <c r="F514" s="54"/>
      <c r="G514" s="54"/>
      <c r="H514" s="51"/>
      <c r="I514" s="55"/>
      <c r="J514" s="56"/>
      <c r="K514" s="46"/>
      <c r="L514" s="46"/>
      <c r="M514" s="47"/>
      <c r="N514" s="46"/>
      <c r="O514" s="57"/>
      <c r="P514" s="46"/>
      <c r="Q514" s="46"/>
      <c r="R514" s="57"/>
      <c r="S514" s="7"/>
      <c r="T514" s="54"/>
      <c r="U514" s="58"/>
      <c r="V514" s="47"/>
      <c r="W514" s="18"/>
      <c r="X514" s="46"/>
      <c r="Y514" s="46"/>
      <c r="Z514" s="46"/>
      <c r="AA514" s="7"/>
      <c r="AB514" s="46"/>
      <c r="AC514" s="46"/>
      <c r="AD514" s="47"/>
      <c r="AE514" s="47"/>
      <c r="AF514" s="7"/>
      <c r="AG514" s="7"/>
      <c r="AH514" s="47"/>
      <c r="AI514" s="47"/>
      <c r="AJ514" s="18"/>
      <c r="AK514" s="26"/>
      <c r="AL514" s="34"/>
      <c r="AM514" s="34"/>
      <c r="AN514" s="18"/>
      <c r="AO514" s="18"/>
      <c r="AP514" s="18"/>
      <c r="AQ514" s="18"/>
      <c r="AR514" s="47"/>
      <c r="AS514" s="47"/>
    </row>
    <row r="515">
      <c r="A515" s="51"/>
      <c r="B515" s="51"/>
      <c r="C515" s="52"/>
      <c r="D515" s="51"/>
      <c r="E515" s="53"/>
      <c r="F515" s="54"/>
      <c r="G515" s="54"/>
      <c r="H515" s="51"/>
      <c r="I515" s="55"/>
      <c r="J515" s="56"/>
      <c r="K515" s="46"/>
      <c r="L515" s="46"/>
      <c r="M515" s="47"/>
      <c r="N515" s="46"/>
      <c r="O515" s="57"/>
      <c r="P515" s="46"/>
      <c r="Q515" s="46"/>
      <c r="R515" s="57"/>
      <c r="S515" s="7"/>
      <c r="T515" s="54"/>
      <c r="U515" s="58"/>
      <c r="V515" s="47"/>
      <c r="W515" s="18"/>
      <c r="X515" s="46"/>
      <c r="Y515" s="46"/>
      <c r="Z515" s="46"/>
      <c r="AA515" s="7"/>
      <c r="AB515" s="46"/>
      <c r="AC515" s="46"/>
      <c r="AD515" s="47"/>
      <c r="AE515" s="47"/>
      <c r="AF515" s="7"/>
      <c r="AG515" s="7"/>
      <c r="AH515" s="47"/>
      <c r="AI515" s="47"/>
      <c r="AJ515" s="18"/>
      <c r="AK515" s="26"/>
      <c r="AL515" s="34"/>
      <c r="AM515" s="34"/>
      <c r="AN515" s="18"/>
      <c r="AO515" s="18"/>
      <c r="AP515" s="18"/>
      <c r="AQ515" s="18"/>
      <c r="AR515" s="47"/>
      <c r="AS515" s="47"/>
    </row>
    <row r="516">
      <c r="A516" s="51"/>
      <c r="B516" s="51"/>
      <c r="C516" s="52"/>
      <c r="D516" s="51"/>
      <c r="E516" s="53"/>
      <c r="F516" s="54"/>
      <c r="G516" s="54"/>
      <c r="H516" s="51"/>
      <c r="I516" s="55"/>
      <c r="J516" s="56"/>
      <c r="K516" s="46"/>
      <c r="L516" s="46"/>
      <c r="M516" s="47"/>
      <c r="N516" s="46"/>
      <c r="O516" s="57"/>
      <c r="P516" s="46"/>
      <c r="Q516" s="46"/>
      <c r="R516" s="57"/>
      <c r="S516" s="7"/>
      <c r="T516" s="54"/>
      <c r="U516" s="58"/>
      <c r="V516" s="47"/>
      <c r="W516" s="18"/>
      <c r="X516" s="46"/>
      <c r="Y516" s="46"/>
      <c r="Z516" s="46"/>
      <c r="AA516" s="7"/>
      <c r="AB516" s="46"/>
      <c r="AC516" s="46"/>
      <c r="AD516" s="47"/>
      <c r="AE516" s="47"/>
      <c r="AF516" s="7"/>
      <c r="AG516" s="7"/>
      <c r="AH516" s="47"/>
      <c r="AI516" s="47"/>
      <c r="AJ516" s="18"/>
      <c r="AK516" s="26"/>
      <c r="AL516" s="34"/>
      <c r="AM516" s="34"/>
      <c r="AN516" s="18"/>
      <c r="AO516" s="18"/>
      <c r="AP516" s="18"/>
      <c r="AQ516" s="18"/>
      <c r="AR516" s="47"/>
      <c r="AS516" s="47"/>
    </row>
    <row r="517">
      <c r="A517" s="51"/>
      <c r="B517" s="51"/>
      <c r="C517" s="52"/>
      <c r="D517" s="51"/>
      <c r="E517" s="53"/>
      <c r="F517" s="54"/>
      <c r="G517" s="54"/>
      <c r="H517" s="51"/>
      <c r="I517" s="55"/>
      <c r="J517" s="56"/>
      <c r="K517" s="46"/>
      <c r="L517" s="46"/>
      <c r="M517" s="47"/>
      <c r="N517" s="46"/>
      <c r="O517" s="57"/>
      <c r="P517" s="46"/>
      <c r="Q517" s="46"/>
      <c r="R517" s="57"/>
      <c r="S517" s="7"/>
      <c r="T517" s="54"/>
      <c r="U517" s="58"/>
      <c r="V517" s="47"/>
      <c r="W517" s="18"/>
      <c r="X517" s="46"/>
      <c r="Y517" s="46"/>
      <c r="Z517" s="46"/>
      <c r="AA517" s="7"/>
      <c r="AB517" s="46"/>
      <c r="AC517" s="46"/>
      <c r="AD517" s="47"/>
      <c r="AE517" s="47"/>
      <c r="AF517" s="7"/>
      <c r="AG517" s="7"/>
      <c r="AH517" s="47"/>
      <c r="AI517" s="47"/>
      <c r="AJ517" s="18"/>
      <c r="AK517" s="26"/>
      <c r="AL517" s="34"/>
      <c r="AM517" s="34"/>
      <c r="AN517" s="18"/>
      <c r="AO517" s="18"/>
      <c r="AP517" s="18"/>
      <c r="AQ517" s="18"/>
      <c r="AR517" s="47"/>
      <c r="AS517" s="47"/>
    </row>
    <row r="518">
      <c r="A518" s="51"/>
      <c r="B518" s="51"/>
      <c r="C518" s="52"/>
      <c r="D518" s="51"/>
      <c r="E518" s="53"/>
      <c r="F518" s="54"/>
      <c r="G518" s="54"/>
      <c r="H518" s="51"/>
      <c r="I518" s="55"/>
      <c r="J518" s="56"/>
      <c r="K518" s="46"/>
      <c r="L518" s="46"/>
      <c r="M518" s="47"/>
      <c r="N518" s="46"/>
      <c r="O518" s="57"/>
      <c r="P518" s="46"/>
      <c r="Q518" s="46"/>
      <c r="R518" s="57"/>
      <c r="S518" s="7"/>
      <c r="T518" s="54"/>
      <c r="U518" s="58"/>
      <c r="V518" s="47"/>
      <c r="W518" s="18"/>
      <c r="X518" s="46"/>
      <c r="Y518" s="46"/>
      <c r="Z518" s="46"/>
      <c r="AA518" s="7"/>
      <c r="AB518" s="46"/>
      <c r="AC518" s="46"/>
      <c r="AD518" s="47"/>
      <c r="AE518" s="47"/>
      <c r="AF518" s="7"/>
      <c r="AG518" s="7"/>
      <c r="AH518" s="47"/>
      <c r="AI518" s="47"/>
      <c r="AJ518" s="18"/>
      <c r="AK518" s="26"/>
      <c r="AL518" s="34"/>
      <c r="AM518" s="34"/>
      <c r="AN518" s="18"/>
      <c r="AO518" s="18"/>
      <c r="AP518" s="18"/>
      <c r="AQ518" s="18"/>
      <c r="AR518" s="47"/>
      <c r="AS518" s="47"/>
    </row>
    <row r="519">
      <c r="A519" s="51"/>
      <c r="B519" s="51"/>
      <c r="C519" s="52"/>
      <c r="D519" s="51"/>
      <c r="E519" s="53"/>
      <c r="F519" s="54"/>
      <c r="G519" s="54"/>
      <c r="H519" s="51"/>
      <c r="I519" s="55"/>
      <c r="J519" s="56"/>
      <c r="K519" s="46"/>
      <c r="L519" s="46"/>
      <c r="M519" s="47"/>
      <c r="N519" s="46"/>
      <c r="O519" s="57"/>
      <c r="P519" s="46"/>
      <c r="Q519" s="46"/>
      <c r="R519" s="57"/>
      <c r="S519" s="7"/>
      <c r="T519" s="54"/>
      <c r="U519" s="58"/>
      <c r="V519" s="47"/>
      <c r="W519" s="18"/>
      <c r="X519" s="46"/>
      <c r="Y519" s="46"/>
      <c r="Z519" s="46"/>
      <c r="AA519" s="7"/>
      <c r="AB519" s="46"/>
      <c r="AC519" s="46"/>
      <c r="AD519" s="47"/>
      <c r="AE519" s="47"/>
      <c r="AF519" s="7"/>
      <c r="AG519" s="7"/>
      <c r="AH519" s="47"/>
      <c r="AI519" s="47"/>
      <c r="AJ519" s="18"/>
      <c r="AK519" s="26"/>
      <c r="AL519" s="34"/>
      <c r="AM519" s="34"/>
      <c r="AN519" s="18"/>
      <c r="AO519" s="18"/>
      <c r="AP519" s="18"/>
      <c r="AQ519" s="18"/>
      <c r="AR519" s="47"/>
      <c r="AS519" s="47"/>
    </row>
    <row r="520">
      <c r="A520" s="51"/>
      <c r="B520" s="51"/>
      <c r="C520" s="52"/>
      <c r="D520" s="51"/>
      <c r="E520" s="53"/>
      <c r="F520" s="54"/>
      <c r="G520" s="54"/>
      <c r="H520" s="51"/>
      <c r="I520" s="55"/>
      <c r="J520" s="56"/>
      <c r="K520" s="46"/>
      <c r="L520" s="46"/>
      <c r="M520" s="47"/>
      <c r="N520" s="46"/>
      <c r="O520" s="57"/>
      <c r="P520" s="46"/>
      <c r="Q520" s="46"/>
      <c r="R520" s="57"/>
      <c r="S520" s="7"/>
      <c r="T520" s="54"/>
      <c r="U520" s="58"/>
      <c r="V520" s="47"/>
      <c r="W520" s="18"/>
      <c r="X520" s="46"/>
      <c r="Y520" s="46"/>
      <c r="Z520" s="46"/>
      <c r="AA520" s="7"/>
      <c r="AB520" s="46"/>
      <c r="AC520" s="46"/>
      <c r="AD520" s="47"/>
      <c r="AE520" s="47"/>
      <c r="AF520" s="7"/>
      <c r="AG520" s="7"/>
      <c r="AH520" s="47"/>
      <c r="AI520" s="47"/>
      <c r="AJ520" s="18"/>
      <c r="AK520" s="26"/>
      <c r="AL520" s="34"/>
      <c r="AM520" s="34"/>
      <c r="AN520" s="18"/>
      <c r="AO520" s="18"/>
      <c r="AP520" s="18"/>
      <c r="AQ520" s="18"/>
      <c r="AR520" s="47"/>
      <c r="AS520" s="47"/>
    </row>
    <row r="521">
      <c r="A521" s="51"/>
      <c r="B521" s="51"/>
      <c r="C521" s="52"/>
      <c r="D521" s="51"/>
      <c r="E521" s="53"/>
      <c r="F521" s="54"/>
      <c r="G521" s="54"/>
      <c r="H521" s="51"/>
      <c r="I521" s="55"/>
      <c r="J521" s="56"/>
      <c r="K521" s="46"/>
      <c r="L521" s="46"/>
      <c r="M521" s="47"/>
      <c r="N521" s="46"/>
      <c r="O521" s="57"/>
      <c r="P521" s="46"/>
      <c r="Q521" s="46"/>
      <c r="R521" s="57"/>
      <c r="S521" s="7"/>
      <c r="T521" s="54"/>
      <c r="U521" s="58"/>
      <c r="V521" s="47"/>
      <c r="W521" s="18"/>
      <c r="X521" s="46"/>
      <c r="Y521" s="46"/>
      <c r="Z521" s="46"/>
      <c r="AA521" s="7"/>
      <c r="AB521" s="46"/>
      <c r="AC521" s="46"/>
      <c r="AD521" s="47"/>
      <c r="AE521" s="47"/>
      <c r="AF521" s="7"/>
      <c r="AG521" s="7"/>
      <c r="AH521" s="47"/>
      <c r="AI521" s="47"/>
      <c r="AJ521" s="18"/>
      <c r="AK521" s="26"/>
      <c r="AL521" s="34"/>
      <c r="AM521" s="34"/>
      <c r="AN521" s="18"/>
      <c r="AO521" s="18"/>
      <c r="AP521" s="18"/>
      <c r="AQ521" s="18"/>
      <c r="AR521" s="47"/>
      <c r="AS521" s="47"/>
    </row>
    <row r="522">
      <c r="A522" s="51"/>
      <c r="B522" s="51"/>
      <c r="C522" s="52"/>
      <c r="D522" s="51"/>
      <c r="E522" s="53"/>
      <c r="F522" s="54"/>
      <c r="G522" s="54"/>
      <c r="H522" s="51"/>
      <c r="I522" s="55"/>
      <c r="J522" s="56"/>
      <c r="K522" s="46"/>
      <c r="L522" s="46"/>
      <c r="M522" s="47"/>
      <c r="N522" s="46"/>
      <c r="O522" s="57"/>
      <c r="P522" s="46"/>
      <c r="Q522" s="46"/>
      <c r="R522" s="57"/>
      <c r="S522" s="7"/>
      <c r="T522" s="54"/>
      <c r="U522" s="58"/>
      <c r="V522" s="47"/>
      <c r="W522" s="18"/>
      <c r="X522" s="46"/>
      <c r="Y522" s="46"/>
      <c r="Z522" s="46"/>
      <c r="AA522" s="7"/>
      <c r="AB522" s="46"/>
      <c r="AC522" s="46"/>
      <c r="AD522" s="47"/>
      <c r="AE522" s="47"/>
      <c r="AF522" s="7"/>
      <c r="AG522" s="7"/>
      <c r="AH522" s="47"/>
      <c r="AI522" s="47"/>
      <c r="AJ522" s="18"/>
      <c r="AK522" s="26"/>
      <c r="AL522" s="34"/>
      <c r="AM522" s="34"/>
      <c r="AN522" s="18"/>
      <c r="AO522" s="18"/>
      <c r="AP522" s="18"/>
      <c r="AQ522" s="18"/>
      <c r="AR522" s="47"/>
      <c r="AS522" s="47"/>
    </row>
    <row r="523">
      <c r="A523" s="51"/>
      <c r="B523" s="51"/>
      <c r="C523" s="52"/>
      <c r="D523" s="51"/>
      <c r="E523" s="53"/>
      <c r="F523" s="54"/>
      <c r="G523" s="54"/>
      <c r="H523" s="51"/>
      <c r="I523" s="55"/>
      <c r="J523" s="56"/>
      <c r="K523" s="46"/>
      <c r="L523" s="46"/>
      <c r="M523" s="47"/>
      <c r="N523" s="46"/>
      <c r="O523" s="57"/>
      <c r="P523" s="46"/>
      <c r="Q523" s="46"/>
      <c r="R523" s="57"/>
      <c r="S523" s="7"/>
      <c r="T523" s="54"/>
      <c r="U523" s="58"/>
      <c r="V523" s="47"/>
      <c r="W523" s="18"/>
      <c r="X523" s="46"/>
      <c r="Y523" s="46"/>
      <c r="Z523" s="46"/>
      <c r="AA523" s="7"/>
      <c r="AB523" s="46"/>
      <c r="AC523" s="46"/>
      <c r="AD523" s="47"/>
      <c r="AE523" s="47"/>
      <c r="AF523" s="7"/>
      <c r="AG523" s="7"/>
      <c r="AH523" s="47"/>
      <c r="AI523" s="47"/>
      <c r="AJ523" s="18"/>
      <c r="AK523" s="26"/>
      <c r="AL523" s="34"/>
      <c r="AM523" s="34"/>
      <c r="AN523" s="18"/>
      <c r="AO523" s="18"/>
      <c r="AP523" s="18"/>
      <c r="AQ523" s="18"/>
      <c r="AR523" s="47"/>
      <c r="AS523" s="47"/>
    </row>
    <row r="524">
      <c r="A524" s="51"/>
      <c r="B524" s="51"/>
      <c r="C524" s="52"/>
      <c r="D524" s="51"/>
      <c r="E524" s="53"/>
      <c r="F524" s="54"/>
      <c r="G524" s="54"/>
      <c r="H524" s="51"/>
      <c r="I524" s="55"/>
      <c r="J524" s="56"/>
      <c r="K524" s="46"/>
      <c r="L524" s="46"/>
      <c r="M524" s="47"/>
      <c r="N524" s="46"/>
      <c r="O524" s="57"/>
      <c r="P524" s="46"/>
      <c r="Q524" s="46"/>
      <c r="R524" s="57"/>
      <c r="S524" s="7"/>
      <c r="T524" s="54"/>
      <c r="U524" s="58"/>
      <c r="V524" s="47"/>
      <c r="W524" s="18"/>
      <c r="X524" s="46"/>
      <c r="Y524" s="46"/>
      <c r="Z524" s="46"/>
      <c r="AA524" s="7"/>
      <c r="AB524" s="46"/>
      <c r="AC524" s="46"/>
      <c r="AD524" s="47"/>
      <c r="AE524" s="47"/>
      <c r="AF524" s="7"/>
      <c r="AG524" s="7"/>
      <c r="AH524" s="47"/>
      <c r="AI524" s="47"/>
      <c r="AJ524" s="18"/>
      <c r="AK524" s="26"/>
      <c r="AL524" s="34"/>
      <c r="AM524" s="34"/>
      <c r="AN524" s="18"/>
      <c r="AO524" s="18"/>
      <c r="AP524" s="18"/>
      <c r="AQ524" s="18"/>
      <c r="AR524" s="47"/>
      <c r="AS524" s="47"/>
    </row>
    <row r="525">
      <c r="A525" s="51"/>
      <c r="B525" s="51"/>
      <c r="C525" s="52"/>
      <c r="D525" s="51"/>
      <c r="E525" s="53"/>
      <c r="F525" s="54"/>
      <c r="G525" s="54"/>
      <c r="H525" s="51"/>
      <c r="I525" s="55"/>
      <c r="J525" s="56"/>
      <c r="K525" s="46"/>
      <c r="L525" s="46"/>
      <c r="M525" s="47"/>
      <c r="N525" s="46"/>
      <c r="O525" s="57"/>
      <c r="P525" s="46"/>
      <c r="Q525" s="46"/>
      <c r="R525" s="57"/>
      <c r="S525" s="7"/>
      <c r="T525" s="54"/>
      <c r="U525" s="58"/>
      <c r="V525" s="47"/>
      <c r="W525" s="18"/>
      <c r="X525" s="46"/>
      <c r="Y525" s="46"/>
      <c r="Z525" s="46"/>
      <c r="AA525" s="7"/>
      <c r="AB525" s="46"/>
      <c r="AC525" s="46"/>
      <c r="AD525" s="47"/>
      <c r="AE525" s="47"/>
      <c r="AF525" s="7"/>
      <c r="AG525" s="7"/>
      <c r="AH525" s="47"/>
      <c r="AI525" s="47"/>
      <c r="AJ525" s="18"/>
      <c r="AK525" s="26"/>
      <c r="AL525" s="34"/>
      <c r="AM525" s="34"/>
      <c r="AN525" s="18"/>
      <c r="AO525" s="18"/>
      <c r="AP525" s="18"/>
      <c r="AQ525" s="18"/>
      <c r="AR525" s="47"/>
      <c r="AS525" s="47"/>
    </row>
    <row r="526">
      <c r="A526" s="51"/>
      <c r="B526" s="51"/>
      <c r="C526" s="52"/>
      <c r="D526" s="51"/>
      <c r="E526" s="53"/>
      <c r="F526" s="54"/>
      <c r="G526" s="54"/>
      <c r="H526" s="51"/>
      <c r="I526" s="55"/>
      <c r="J526" s="56"/>
      <c r="K526" s="46"/>
      <c r="L526" s="46"/>
      <c r="M526" s="47"/>
      <c r="N526" s="46"/>
      <c r="O526" s="57"/>
      <c r="P526" s="46"/>
      <c r="Q526" s="46"/>
      <c r="R526" s="57"/>
      <c r="S526" s="7"/>
      <c r="T526" s="54"/>
      <c r="U526" s="58"/>
      <c r="V526" s="47"/>
      <c r="W526" s="18"/>
      <c r="X526" s="46"/>
      <c r="Y526" s="46"/>
      <c r="Z526" s="46"/>
      <c r="AA526" s="7"/>
      <c r="AB526" s="46"/>
      <c r="AC526" s="46"/>
      <c r="AD526" s="47"/>
      <c r="AE526" s="47"/>
      <c r="AF526" s="7"/>
      <c r="AG526" s="7"/>
      <c r="AH526" s="47"/>
      <c r="AI526" s="47"/>
      <c r="AJ526" s="18"/>
      <c r="AK526" s="26"/>
      <c r="AL526" s="34"/>
      <c r="AM526" s="34"/>
      <c r="AN526" s="18"/>
      <c r="AO526" s="18"/>
      <c r="AP526" s="18"/>
      <c r="AQ526" s="18"/>
      <c r="AR526" s="47"/>
      <c r="AS526" s="47"/>
    </row>
    <row r="527">
      <c r="A527" s="51"/>
      <c r="B527" s="51"/>
      <c r="C527" s="52"/>
      <c r="D527" s="51"/>
      <c r="E527" s="53"/>
      <c r="F527" s="54"/>
      <c r="G527" s="54"/>
      <c r="H527" s="51"/>
      <c r="I527" s="55"/>
      <c r="J527" s="56"/>
      <c r="K527" s="46"/>
      <c r="L527" s="46"/>
      <c r="M527" s="47"/>
      <c r="N527" s="46"/>
      <c r="O527" s="57"/>
      <c r="P527" s="46"/>
      <c r="Q527" s="46"/>
      <c r="R527" s="57"/>
      <c r="S527" s="7"/>
      <c r="T527" s="54"/>
      <c r="U527" s="58"/>
      <c r="V527" s="47"/>
      <c r="W527" s="18"/>
      <c r="X527" s="46"/>
      <c r="Y527" s="46"/>
      <c r="Z527" s="46"/>
      <c r="AA527" s="7"/>
      <c r="AB527" s="46"/>
      <c r="AC527" s="46"/>
      <c r="AD527" s="47"/>
      <c r="AE527" s="47"/>
      <c r="AF527" s="7"/>
      <c r="AG527" s="7"/>
      <c r="AH527" s="47"/>
      <c r="AI527" s="47"/>
      <c r="AJ527" s="18"/>
      <c r="AK527" s="26"/>
      <c r="AL527" s="34"/>
      <c r="AM527" s="34"/>
      <c r="AN527" s="18"/>
      <c r="AO527" s="18"/>
      <c r="AP527" s="18"/>
      <c r="AQ527" s="18"/>
      <c r="AR527" s="47"/>
      <c r="AS527" s="47"/>
    </row>
    <row r="528">
      <c r="A528" s="51"/>
      <c r="B528" s="51"/>
      <c r="C528" s="52"/>
      <c r="D528" s="51"/>
      <c r="E528" s="53"/>
      <c r="F528" s="54"/>
      <c r="G528" s="54"/>
      <c r="H528" s="51"/>
      <c r="I528" s="55"/>
      <c r="J528" s="56"/>
      <c r="K528" s="46"/>
      <c r="L528" s="46"/>
      <c r="M528" s="47"/>
      <c r="N528" s="46"/>
      <c r="O528" s="57"/>
      <c r="P528" s="46"/>
      <c r="Q528" s="46"/>
      <c r="R528" s="57"/>
      <c r="S528" s="7"/>
      <c r="T528" s="54"/>
      <c r="U528" s="58"/>
      <c r="V528" s="47"/>
      <c r="W528" s="18"/>
      <c r="X528" s="46"/>
      <c r="Y528" s="46"/>
      <c r="Z528" s="46"/>
      <c r="AA528" s="7"/>
      <c r="AB528" s="46"/>
      <c r="AC528" s="46"/>
      <c r="AD528" s="47"/>
      <c r="AE528" s="47"/>
      <c r="AF528" s="7"/>
      <c r="AG528" s="7"/>
      <c r="AH528" s="47"/>
      <c r="AI528" s="47"/>
      <c r="AJ528" s="18"/>
      <c r="AK528" s="26"/>
      <c r="AL528" s="34"/>
      <c r="AM528" s="34"/>
      <c r="AN528" s="18"/>
      <c r="AO528" s="18"/>
      <c r="AP528" s="18"/>
      <c r="AQ528" s="18"/>
      <c r="AR528" s="47"/>
      <c r="AS528" s="47"/>
    </row>
    <row r="529">
      <c r="A529" s="51"/>
      <c r="B529" s="51"/>
      <c r="C529" s="52"/>
      <c r="D529" s="51"/>
      <c r="E529" s="53"/>
      <c r="F529" s="54"/>
      <c r="G529" s="54"/>
      <c r="H529" s="51"/>
      <c r="I529" s="55"/>
      <c r="J529" s="56"/>
      <c r="K529" s="46"/>
      <c r="L529" s="46"/>
      <c r="M529" s="47"/>
      <c r="N529" s="46"/>
      <c r="O529" s="57"/>
      <c r="P529" s="46"/>
      <c r="Q529" s="46"/>
      <c r="R529" s="57"/>
      <c r="S529" s="7"/>
      <c r="T529" s="54"/>
      <c r="U529" s="58"/>
      <c r="V529" s="47"/>
      <c r="W529" s="18"/>
      <c r="X529" s="46"/>
      <c r="Y529" s="46"/>
      <c r="Z529" s="46"/>
      <c r="AA529" s="7"/>
      <c r="AB529" s="46"/>
      <c r="AC529" s="46"/>
      <c r="AD529" s="47"/>
      <c r="AE529" s="47"/>
      <c r="AF529" s="7"/>
      <c r="AG529" s="7"/>
      <c r="AH529" s="47"/>
      <c r="AI529" s="47"/>
      <c r="AJ529" s="18"/>
      <c r="AK529" s="26"/>
      <c r="AL529" s="34"/>
      <c r="AM529" s="34"/>
      <c r="AN529" s="18"/>
      <c r="AO529" s="18"/>
      <c r="AP529" s="18"/>
      <c r="AQ529" s="18"/>
      <c r="AR529" s="47"/>
      <c r="AS529" s="47"/>
    </row>
    <row r="530">
      <c r="A530" s="51"/>
      <c r="B530" s="51"/>
      <c r="C530" s="52"/>
      <c r="D530" s="51"/>
      <c r="E530" s="53"/>
      <c r="F530" s="54"/>
      <c r="G530" s="54"/>
      <c r="H530" s="51"/>
      <c r="I530" s="55"/>
      <c r="J530" s="56"/>
      <c r="K530" s="46"/>
      <c r="L530" s="46"/>
      <c r="M530" s="47"/>
      <c r="N530" s="46"/>
      <c r="O530" s="57"/>
      <c r="P530" s="46"/>
      <c r="Q530" s="46"/>
      <c r="R530" s="57"/>
      <c r="S530" s="7"/>
      <c r="T530" s="54"/>
      <c r="U530" s="58"/>
      <c r="V530" s="47"/>
      <c r="W530" s="18"/>
      <c r="X530" s="46"/>
      <c r="Y530" s="46"/>
      <c r="Z530" s="46"/>
      <c r="AA530" s="7"/>
      <c r="AB530" s="46"/>
      <c r="AC530" s="46"/>
      <c r="AD530" s="47"/>
      <c r="AE530" s="47"/>
      <c r="AF530" s="7"/>
      <c r="AG530" s="7"/>
      <c r="AH530" s="47"/>
      <c r="AI530" s="47"/>
      <c r="AJ530" s="18"/>
      <c r="AK530" s="26"/>
      <c r="AL530" s="34"/>
      <c r="AM530" s="34"/>
      <c r="AN530" s="18"/>
      <c r="AO530" s="18"/>
      <c r="AP530" s="18"/>
      <c r="AQ530" s="18"/>
      <c r="AR530" s="47"/>
      <c r="AS530" s="47"/>
    </row>
    <row r="531">
      <c r="A531" s="51"/>
      <c r="B531" s="51"/>
      <c r="C531" s="52"/>
      <c r="D531" s="51"/>
      <c r="E531" s="53"/>
      <c r="F531" s="54"/>
      <c r="G531" s="54"/>
      <c r="H531" s="51"/>
      <c r="I531" s="55"/>
      <c r="J531" s="56"/>
      <c r="K531" s="46"/>
      <c r="L531" s="46"/>
      <c r="M531" s="47"/>
      <c r="N531" s="46"/>
      <c r="O531" s="57"/>
      <c r="P531" s="46"/>
      <c r="Q531" s="46"/>
      <c r="R531" s="57"/>
      <c r="S531" s="7"/>
      <c r="T531" s="54"/>
      <c r="U531" s="58"/>
      <c r="V531" s="47"/>
      <c r="W531" s="18"/>
      <c r="X531" s="46"/>
      <c r="Y531" s="46"/>
      <c r="Z531" s="46"/>
      <c r="AA531" s="7"/>
      <c r="AB531" s="46"/>
      <c r="AC531" s="46"/>
      <c r="AD531" s="47"/>
      <c r="AE531" s="47"/>
      <c r="AF531" s="7"/>
      <c r="AG531" s="7"/>
      <c r="AH531" s="47"/>
      <c r="AI531" s="47"/>
      <c r="AJ531" s="18"/>
      <c r="AK531" s="26"/>
      <c r="AL531" s="34"/>
      <c r="AM531" s="34"/>
      <c r="AN531" s="18"/>
      <c r="AO531" s="18"/>
      <c r="AP531" s="18"/>
      <c r="AQ531" s="18"/>
      <c r="AR531" s="47"/>
      <c r="AS531" s="47"/>
    </row>
    <row r="532">
      <c r="A532" s="51"/>
      <c r="B532" s="51"/>
      <c r="C532" s="52"/>
      <c r="D532" s="51"/>
      <c r="E532" s="53"/>
      <c r="F532" s="54"/>
      <c r="G532" s="54"/>
      <c r="H532" s="51"/>
      <c r="I532" s="55"/>
      <c r="J532" s="56"/>
      <c r="K532" s="46"/>
      <c r="L532" s="46"/>
      <c r="M532" s="47"/>
      <c r="N532" s="46"/>
      <c r="O532" s="57"/>
      <c r="P532" s="46"/>
      <c r="Q532" s="46"/>
      <c r="R532" s="57"/>
      <c r="S532" s="7"/>
      <c r="T532" s="54"/>
      <c r="U532" s="58"/>
      <c r="V532" s="47"/>
      <c r="W532" s="18"/>
      <c r="X532" s="46"/>
      <c r="Y532" s="46"/>
      <c r="Z532" s="46"/>
      <c r="AA532" s="7"/>
      <c r="AB532" s="46"/>
      <c r="AC532" s="46"/>
      <c r="AD532" s="47"/>
      <c r="AE532" s="47"/>
      <c r="AF532" s="7"/>
      <c r="AG532" s="7"/>
      <c r="AH532" s="47"/>
      <c r="AI532" s="47"/>
      <c r="AJ532" s="18"/>
      <c r="AK532" s="26"/>
      <c r="AL532" s="34"/>
      <c r="AM532" s="34"/>
      <c r="AN532" s="18"/>
      <c r="AO532" s="18"/>
      <c r="AP532" s="18"/>
      <c r="AQ532" s="18"/>
      <c r="AR532" s="47"/>
      <c r="AS532" s="47"/>
    </row>
    <row r="533">
      <c r="A533" s="51"/>
      <c r="B533" s="51"/>
      <c r="C533" s="52"/>
      <c r="D533" s="51"/>
      <c r="E533" s="53"/>
      <c r="F533" s="54"/>
      <c r="G533" s="54"/>
      <c r="H533" s="51"/>
      <c r="I533" s="55"/>
      <c r="J533" s="56"/>
      <c r="K533" s="46"/>
      <c r="L533" s="46"/>
      <c r="M533" s="47"/>
      <c r="N533" s="46"/>
      <c r="O533" s="57"/>
      <c r="P533" s="46"/>
      <c r="Q533" s="46"/>
      <c r="R533" s="57"/>
      <c r="S533" s="7"/>
      <c r="T533" s="54"/>
      <c r="U533" s="58"/>
      <c r="V533" s="47"/>
      <c r="W533" s="18"/>
      <c r="X533" s="46"/>
      <c r="Y533" s="46"/>
      <c r="Z533" s="46"/>
      <c r="AA533" s="7"/>
      <c r="AB533" s="46"/>
      <c r="AC533" s="46"/>
      <c r="AD533" s="47"/>
      <c r="AE533" s="47"/>
      <c r="AF533" s="7"/>
      <c r="AG533" s="7"/>
      <c r="AH533" s="47"/>
      <c r="AI533" s="47"/>
      <c r="AJ533" s="18"/>
      <c r="AK533" s="26"/>
      <c r="AL533" s="34"/>
      <c r="AM533" s="34"/>
      <c r="AN533" s="18"/>
      <c r="AO533" s="18"/>
      <c r="AP533" s="18"/>
      <c r="AQ533" s="18"/>
      <c r="AR533" s="47"/>
      <c r="AS533" s="47"/>
    </row>
    <row r="534">
      <c r="A534" s="51"/>
      <c r="B534" s="51"/>
      <c r="C534" s="52"/>
      <c r="D534" s="51"/>
      <c r="E534" s="53"/>
      <c r="F534" s="54"/>
      <c r="G534" s="54"/>
      <c r="H534" s="51"/>
      <c r="I534" s="55"/>
      <c r="J534" s="56"/>
      <c r="K534" s="46"/>
      <c r="L534" s="46"/>
      <c r="M534" s="47"/>
      <c r="N534" s="46"/>
      <c r="O534" s="57"/>
      <c r="P534" s="46"/>
      <c r="Q534" s="46"/>
      <c r="R534" s="57"/>
      <c r="S534" s="7"/>
      <c r="T534" s="54"/>
      <c r="U534" s="58"/>
      <c r="V534" s="47"/>
      <c r="W534" s="18"/>
      <c r="X534" s="46"/>
      <c r="Y534" s="46"/>
      <c r="Z534" s="46"/>
      <c r="AA534" s="7"/>
      <c r="AB534" s="46"/>
      <c r="AC534" s="46"/>
      <c r="AD534" s="47"/>
      <c r="AE534" s="47"/>
      <c r="AF534" s="7"/>
      <c r="AG534" s="7"/>
      <c r="AH534" s="47"/>
      <c r="AI534" s="47"/>
      <c r="AJ534" s="18"/>
      <c r="AK534" s="26"/>
      <c r="AL534" s="34"/>
      <c r="AM534" s="34"/>
      <c r="AN534" s="18"/>
      <c r="AO534" s="18"/>
      <c r="AP534" s="18"/>
      <c r="AQ534" s="18"/>
      <c r="AR534" s="47"/>
      <c r="AS534" s="47"/>
    </row>
    <row r="535">
      <c r="A535" s="51"/>
      <c r="B535" s="51"/>
      <c r="C535" s="52"/>
      <c r="D535" s="51"/>
      <c r="E535" s="53"/>
      <c r="F535" s="54"/>
      <c r="G535" s="54"/>
      <c r="H535" s="51"/>
      <c r="I535" s="55"/>
      <c r="J535" s="56"/>
      <c r="K535" s="46"/>
      <c r="L535" s="46"/>
      <c r="M535" s="47"/>
      <c r="N535" s="46"/>
      <c r="O535" s="57"/>
      <c r="P535" s="46"/>
      <c r="Q535" s="46"/>
      <c r="R535" s="57"/>
      <c r="S535" s="7"/>
      <c r="T535" s="54"/>
      <c r="U535" s="58"/>
      <c r="V535" s="47"/>
      <c r="W535" s="18"/>
      <c r="X535" s="46"/>
      <c r="Y535" s="46"/>
      <c r="Z535" s="46"/>
      <c r="AA535" s="7"/>
      <c r="AB535" s="46"/>
      <c r="AC535" s="46"/>
      <c r="AD535" s="47"/>
      <c r="AE535" s="47"/>
      <c r="AF535" s="7"/>
      <c r="AG535" s="7"/>
      <c r="AH535" s="47"/>
      <c r="AI535" s="47"/>
      <c r="AJ535" s="18"/>
      <c r="AK535" s="26"/>
      <c r="AL535" s="34"/>
      <c r="AM535" s="34"/>
      <c r="AN535" s="18"/>
      <c r="AO535" s="18"/>
      <c r="AP535" s="18"/>
      <c r="AQ535" s="18"/>
      <c r="AR535" s="47"/>
      <c r="AS535" s="47"/>
    </row>
    <row r="536">
      <c r="A536" s="51"/>
      <c r="B536" s="51"/>
      <c r="C536" s="52"/>
      <c r="D536" s="51"/>
      <c r="E536" s="53"/>
      <c r="F536" s="54"/>
      <c r="G536" s="54"/>
      <c r="H536" s="51"/>
      <c r="I536" s="55"/>
      <c r="J536" s="56"/>
      <c r="K536" s="46"/>
      <c r="L536" s="46"/>
      <c r="M536" s="47"/>
      <c r="N536" s="46"/>
      <c r="O536" s="57"/>
      <c r="P536" s="46"/>
      <c r="Q536" s="46"/>
      <c r="R536" s="57"/>
      <c r="S536" s="7"/>
      <c r="T536" s="54"/>
      <c r="U536" s="58"/>
      <c r="V536" s="47"/>
      <c r="W536" s="18"/>
      <c r="X536" s="46"/>
      <c r="Y536" s="46"/>
      <c r="Z536" s="46"/>
      <c r="AA536" s="7"/>
      <c r="AB536" s="46"/>
      <c r="AC536" s="46"/>
      <c r="AD536" s="47"/>
      <c r="AE536" s="47"/>
      <c r="AF536" s="7"/>
      <c r="AG536" s="7"/>
      <c r="AH536" s="47"/>
      <c r="AI536" s="47"/>
      <c r="AJ536" s="18"/>
      <c r="AK536" s="26"/>
      <c r="AL536" s="34"/>
      <c r="AM536" s="34"/>
      <c r="AN536" s="18"/>
      <c r="AO536" s="18"/>
      <c r="AP536" s="18"/>
      <c r="AQ536" s="18"/>
      <c r="AR536" s="47"/>
      <c r="AS536" s="47"/>
    </row>
    <row r="537">
      <c r="A537" s="51"/>
      <c r="B537" s="51"/>
      <c r="C537" s="52"/>
      <c r="D537" s="51"/>
      <c r="E537" s="53"/>
      <c r="F537" s="54"/>
      <c r="G537" s="54"/>
      <c r="H537" s="51"/>
      <c r="I537" s="55"/>
      <c r="J537" s="56"/>
      <c r="K537" s="46"/>
      <c r="L537" s="46"/>
      <c r="M537" s="47"/>
      <c r="N537" s="46"/>
      <c r="O537" s="57"/>
      <c r="P537" s="46"/>
      <c r="Q537" s="46"/>
      <c r="R537" s="57"/>
      <c r="S537" s="7"/>
      <c r="T537" s="54"/>
      <c r="U537" s="58"/>
      <c r="V537" s="47"/>
      <c r="W537" s="18"/>
      <c r="X537" s="46"/>
      <c r="Y537" s="46"/>
      <c r="Z537" s="46"/>
      <c r="AA537" s="7"/>
      <c r="AB537" s="46"/>
      <c r="AC537" s="46"/>
      <c r="AD537" s="47"/>
      <c r="AE537" s="47"/>
      <c r="AF537" s="7"/>
      <c r="AG537" s="7"/>
      <c r="AH537" s="47"/>
      <c r="AI537" s="47"/>
      <c r="AJ537" s="18"/>
      <c r="AK537" s="26"/>
      <c r="AL537" s="34"/>
      <c r="AM537" s="34"/>
      <c r="AN537" s="18"/>
      <c r="AO537" s="18"/>
      <c r="AP537" s="18"/>
      <c r="AQ537" s="18"/>
      <c r="AR537" s="47"/>
      <c r="AS537" s="47"/>
    </row>
    <row r="538">
      <c r="A538" s="51"/>
      <c r="B538" s="51"/>
      <c r="C538" s="52"/>
      <c r="D538" s="51"/>
      <c r="E538" s="53"/>
      <c r="F538" s="54"/>
      <c r="G538" s="54"/>
      <c r="H538" s="51"/>
      <c r="I538" s="55"/>
      <c r="J538" s="56"/>
      <c r="K538" s="46"/>
      <c r="L538" s="46"/>
      <c r="M538" s="47"/>
      <c r="N538" s="46"/>
      <c r="O538" s="57"/>
      <c r="P538" s="46"/>
      <c r="Q538" s="46"/>
      <c r="R538" s="57"/>
      <c r="S538" s="7"/>
      <c r="T538" s="54"/>
      <c r="U538" s="58"/>
      <c r="V538" s="47"/>
      <c r="W538" s="18"/>
      <c r="X538" s="46"/>
      <c r="Y538" s="46"/>
      <c r="Z538" s="46"/>
      <c r="AA538" s="7"/>
      <c r="AB538" s="46"/>
      <c r="AC538" s="46"/>
      <c r="AD538" s="47"/>
      <c r="AE538" s="47"/>
      <c r="AF538" s="7"/>
      <c r="AG538" s="7"/>
      <c r="AH538" s="47"/>
      <c r="AI538" s="47"/>
      <c r="AJ538" s="18"/>
      <c r="AK538" s="26"/>
      <c r="AL538" s="34"/>
      <c r="AM538" s="34"/>
      <c r="AN538" s="18"/>
      <c r="AO538" s="18"/>
      <c r="AP538" s="18"/>
      <c r="AQ538" s="18"/>
      <c r="AR538" s="47"/>
      <c r="AS538" s="47"/>
    </row>
    <row r="539">
      <c r="A539" s="51"/>
      <c r="B539" s="51"/>
      <c r="C539" s="52"/>
      <c r="D539" s="51"/>
      <c r="E539" s="53"/>
      <c r="F539" s="54"/>
      <c r="G539" s="54"/>
      <c r="H539" s="51"/>
      <c r="I539" s="55"/>
      <c r="J539" s="56"/>
      <c r="K539" s="46"/>
      <c r="L539" s="46"/>
      <c r="M539" s="47"/>
      <c r="N539" s="46"/>
      <c r="O539" s="57"/>
      <c r="P539" s="46"/>
      <c r="Q539" s="46"/>
      <c r="R539" s="57"/>
      <c r="S539" s="7"/>
      <c r="T539" s="54"/>
      <c r="U539" s="58"/>
      <c r="V539" s="47"/>
      <c r="W539" s="18"/>
      <c r="X539" s="46"/>
      <c r="Y539" s="46"/>
      <c r="Z539" s="46"/>
      <c r="AA539" s="7"/>
      <c r="AB539" s="46"/>
      <c r="AC539" s="46"/>
      <c r="AD539" s="47"/>
      <c r="AE539" s="47"/>
      <c r="AF539" s="7"/>
      <c r="AG539" s="7"/>
      <c r="AH539" s="47"/>
      <c r="AI539" s="47"/>
      <c r="AJ539" s="18"/>
      <c r="AK539" s="26"/>
      <c r="AL539" s="34"/>
      <c r="AM539" s="34"/>
      <c r="AN539" s="18"/>
      <c r="AO539" s="18"/>
      <c r="AP539" s="18"/>
      <c r="AQ539" s="18"/>
      <c r="AR539" s="47"/>
      <c r="AS539" s="47"/>
    </row>
    <row r="540">
      <c r="A540" s="51"/>
      <c r="B540" s="51"/>
      <c r="C540" s="52"/>
      <c r="D540" s="51"/>
      <c r="E540" s="53"/>
      <c r="F540" s="54"/>
      <c r="G540" s="54"/>
      <c r="H540" s="51"/>
      <c r="I540" s="55"/>
      <c r="J540" s="56"/>
      <c r="K540" s="46"/>
      <c r="L540" s="46"/>
      <c r="M540" s="47"/>
      <c r="N540" s="46"/>
      <c r="O540" s="57"/>
      <c r="P540" s="46"/>
      <c r="Q540" s="46"/>
      <c r="R540" s="57"/>
      <c r="S540" s="7"/>
      <c r="T540" s="54"/>
      <c r="U540" s="58"/>
      <c r="V540" s="47"/>
      <c r="W540" s="18"/>
      <c r="X540" s="46"/>
      <c r="Y540" s="46"/>
      <c r="Z540" s="46"/>
      <c r="AA540" s="7"/>
      <c r="AB540" s="46"/>
      <c r="AC540" s="46"/>
      <c r="AD540" s="47"/>
      <c r="AE540" s="47"/>
      <c r="AF540" s="7"/>
      <c r="AG540" s="7"/>
      <c r="AH540" s="47"/>
      <c r="AI540" s="47"/>
      <c r="AJ540" s="18"/>
      <c r="AK540" s="26"/>
      <c r="AL540" s="34"/>
      <c r="AM540" s="34"/>
      <c r="AN540" s="18"/>
      <c r="AO540" s="18"/>
      <c r="AP540" s="18"/>
      <c r="AQ540" s="18"/>
      <c r="AR540" s="47"/>
      <c r="AS540" s="47"/>
    </row>
    <row r="541">
      <c r="A541" s="51"/>
      <c r="B541" s="51"/>
      <c r="C541" s="52"/>
      <c r="D541" s="51"/>
      <c r="E541" s="53"/>
      <c r="F541" s="54"/>
      <c r="G541" s="54"/>
      <c r="H541" s="51"/>
      <c r="I541" s="55"/>
      <c r="J541" s="56"/>
      <c r="K541" s="46"/>
      <c r="L541" s="46"/>
      <c r="M541" s="47"/>
      <c r="N541" s="46"/>
      <c r="O541" s="57"/>
      <c r="P541" s="46"/>
      <c r="Q541" s="46"/>
      <c r="R541" s="57"/>
      <c r="S541" s="7"/>
      <c r="T541" s="54"/>
      <c r="U541" s="58"/>
      <c r="V541" s="47"/>
      <c r="W541" s="18"/>
      <c r="X541" s="46"/>
      <c r="Y541" s="46"/>
      <c r="Z541" s="46"/>
      <c r="AA541" s="7"/>
      <c r="AB541" s="46"/>
      <c r="AC541" s="46"/>
      <c r="AD541" s="47"/>
      <c r="AE541" s="47"/>
      <c r="AF541" s="7"/>
      <c r="AG541" s="7"/>
      <c r="AH541" s="47"/>
      <c r="AI541" s="47"/>
      <c r="AJ541" s="18"/>
      <c r="AK541" s="26"/>
      <c r="AL541" s="34"/>
      <c r="AM541" s="34"/>
      <c r="AN541" s="18"/>
      <c r="AO541" s="18"/>
      <c r="AP541" s="18"/>
      <c r="AQ541" s="18"/>
      <c r="AR541" s="47"/>
      <c r="AS541" s="47"/>
    </row>
    <row r="542">
      <c r="A542" s="51"/>
      <c r="B542" s="51"/>
      <c r="C542" s="52"/>
      <c r="D542" s="51"/>
      <c r="E542" s="53"/>
      <c r="F542" s="54"/>
      <c r="G542" s="54"/>
      <c r="H542" s="51"/>
      <c r="I542" s="55"/>
      <c r="J542" s="56"/>
      <c r="K542" s="46"/>
      <c r="L542" s="46"/>
      <c r="M542" s="47"/>
      <c r="N542" s="46"/>
      <c r="O542" s="57"/>
      <c r="P542" s="46"/>
      <c r="Q542" s="46"/>
      <c r="R542" s="57"/>
      <c r="S542" s="7"/>
      <c r="T542" s="54"/>
      <c r="U542" s="58"/>
      <c r="V542" s="47"/>
      <c r="W542" s="18"/>
      <c r="X542" s="46"/>
      <c r="Y542" s="46"/>
      <c r="Z542" s="46"/>
      <c r="AA542" s="7"/>
      <c r="AB542" s="46"/>
      <c r="AC542" s="46"/>
      <c r="AD542" s="47"/>
      <c r="AE542" s="47"/>
      <c r="AF542" s="7"/>
      <c r="AG542" s="7"/>
      <c r="AH542" s="47"/>
      <c r="AI542" s="47"/>
      <c r="AJ542" s="18"/>
      <c r="AK542" s="26"/>
      <c r="AL542" s="34"/>
      <c r="AM542" s="34"/>
      <c r="AN542" s="18"/>
      <c r="AO542" s="18"/>
      <c r="AP542" s="18"/>
      <c r="AQ542" s="18"/>
      <c r="AR542" s="47"/>
      <c r="AS542" s="47"/>
    </row>
    <row r="543">
      <c r="A543" s="51"/>
      <c r="B543" s="51"/>
      <c r="C543" s="52"/>
      <c r="D543" s="51"/>
      <c r="E543" s="53"/>
      <c r="F543" s="54"/>
      <c r="G543" s="54"/>
      <c r="H543" s="51"/>
      <c r="I543" s="55"/>
      <c r="J543" s="56"/>
      <c r="K543" s="46"/>
      <c r="L543" s="46"/>
      <c r="M543" s="47"/>
      <c r="N543" s="46"/>
      <c r="O543" s="57"/>
      <c r="P543" s="46"/>
      <c r="Q543" s="46"/>
      <c r="R543" s="57"/>
      <c r="S543" s="7"/>
      <c r="T543" s="54"/>
      <c r="U543" s="58"/>
      <c r="V543" s="47"/>
      <c r="W543" s="18"/>
      <c r="X543" s="46"/>
      <c r="Y543" s="46"/>
      <c r="Z543" s="46"/>
      <c r="AA543" s="7"/>
      <c r="AB543" s="46"/>
      <c r="AC543" s="46"/>
      <c r="AD543" s="47"/>
      <c r="AE543" s="47"/>
      <c r="AF543" s="7"/>
      <c r="AG543" s="7"/>
      <c r="AH543" s="47"/>
      <c r="AI543" s="47"/>
      <c r="AJ543" s="18"/>
      <c r="AK543" s="26"/>
      <c r="AL543" s="34"/>
      <c r="AM543" s="34"/>
      <c r="AN543" s="18"/>
      <c r="AO543" s="18"/>
      <c r="AP543" s="18"/>
      <c r="AQ543" s="18"/>
      <c r="AR543" s="47"/>
      <c r="AS543" s="47"/>
    </row>
    <row r="544">
      <c r="A544" s="51"/>
      <c r="B544" s="51"/>
      <c r="C544" s="52"/>
      <c r="D544" s="51"/>
      <c r="E544" s="53"/>
      <c r="F544" s="54"/>
      <c r="G544" s="54"/>
      <c r="H544" s="51"/>
      <c r="I544" s="55"/>
      <c r="J544" s="56"/>
      <c r="K544" s="46"/>
      <c r="L544" s="46"/>
      <c r="M544" s="47"/>
      <c r="N544" s="46"/>
      <c r="O544" s="57"/>
      <c r="P544" s="46"/>
      <c r="Q544" s="46"/>
      <c r="R544" s="57"/>
      <c r="S544" s="7"/>
      <c r="T544" s="54"/>
      <c r="U544" s="58"/>
      <c r="V544" s="47"/>
      <c r="W544" s="18"/>
      <c r="X544" s="46"/>
      <c r="Y544" s="46"/>
      <c r="Z544" s="46"/>
      <c r="AA544" s="7"/>
      <c r="AB544" s="46"/>
      <c r="AC544" s="46"/>
      <c r="AD544" s="47"/>
      <c r="AE544" s="47"/>
      <c r="AF544" s="7"/>
      <c r="AG544" s="7"/>
      <c r="AH544" s="47"/>
      <c r="AI544" s="47"/>
      <c r="AJ544" s="18"/>
      <c r="AK544" s="26"/>
      <c r="AL544" s="34"/>
      <c r="AM544" s="34"/>
      <c r="AN544" s="18"/>
      <c r="AO544" s="18"/>
      <c r="AP544" s="18"/>
      <c r="AQ544" s="18"/>
      <c r="AR544" s="47"/>
      <c r="AS544" s="47"/>
    </row>
    <row r="545">
      <c r="A545" s="51"/>
      <c r="B545" s="51"/>
      <c r="C545" s="52"/>
      <c r="D545" s="51"/>
      <c r="E545" s="53"/>
      <c r="F545" s="54"/>
      <c r="G545" s="54"/>
      <c r="H545" s="51"/>
      <c r="I545" s="55"/>
      <c r="J545" s="56"/>
      <c r="K545" s="46"/>
      <c r="L545" s="46"/>
      <c r="M545" s="47"/>
      <c r="N545" s="46"/>
      <c r="O545" s="57"/>
      <c r="P545" s="46"/>
      <c r="Q545" s="46"/>
      <c r="R545" s="57"/>
      <c r="S545" s="7"/>
      <c r="T545" s="54"/>
      <c r="U545" s="58"/>
      <c r="V545" s="47"/>
      <c r="W545" s="18"/>
      <c r="X545" s="46"/>
      <c r="Y545" s="46"/>
      <c r="Z545" s="46"/>
      <c r="AA545" s="7"/>
      <c r="AB545" s="46"/>
      <c r="AC545" s="46"/>
      <c r="AD545" s="47"/>
      <c r="AE545" s="47"/>
      <c r="AF545" s="7"/>
      <c r="AG545" s="7"/>
      <c r="AH545" s="47"/>
      <c r="AI545" s="47"/>
      <c r="AJ545" s="18"/>
      <c r="AK545" s="26"/>
      <c r="AL545" s="34"/>
      <c r="AM545" s="34"/>
      <c r="AN545" s="18"/>
      <c r="AO545" s="18"/>
      <c r="AP545" s="18"/>
      <c r="AQ545" s="18"/>
      <c r="AR545" s="47"/>
      <c r="AS545" s="47"/>
    </row>
    <row r="546">
      <c r="A546" s="51"/>
      <c r="B546" s="51"/>
      <c r="C546" s="52"/>
      <c r="D546" s="51"/>
      <c r="E546" s="53"/>
      <c r="F546" s="54"/>
      <c r="G546" s="54"/>
      <c r="H546" s="51"/>
      <c r="I546" s="55"/>
      <c r="J546" s="56"/>
      <c r="K546" s="46"/>
      <c r="L546" s="46"/>
      <c r="M546" s="47"/>
      <c r="N546" s="46"/>
      <c r="O546" s="57"/>
      <c r="P546" s="46"/>
      <c r="Q546" s="46"/>
      <c r="R546" s="57"/>
      <c r="S546" s="7"/>
      <c r="T546" s="54"/>
      <c r="U546" s="58"/>
      <c r="V546" s="47"/>
      <c r="W546" s="18"/>
      <c r="X546" s="46"/>
      <c r="Y546" s="46"/>
      <c r="Z546" s="46"/>
      <c r="AA546" s="7"/>
      <c r="AB546" s="46"/>
      <c r="AC546" s="46"/>
      <c r="AD546" s="47"/>
      <c r="AE546" s="47"/>
      <c r="AF546" s="7"/>
      <c r="AG546" s="7"/>
      <c r="AH546" s="47"/>
      <c r="AI546" s="47"/>
      <c r="AJ546" s="18"/>
      <c r="AK546" s="26"/>
      <c r="AL546" s="34"/>
      <c r="AM546" s="34"/>
      <c r="AN546" s="18"/>
      <c r="AO546" s="18"/>
      <c r="AP546" s="18"/>
      <c r="AQ546" s="18"/>
      <c r="AR546" s="47"/>
      <c r="AS546" s="47"/>
    </row>
    <row r="547">
      <c r="A547" s="51"/>
      <c r="B547" s="51"/>
      <c r="C547" s="52"/>
      <c r="D547" s="51"/>
      <c r="E547" s="53"/>
      <c r="F547" s="54"/>
      <c r="G547" s="54"/>
      <c r="H547" s="51"/>
      <c r="I547" s="55"/>
      <c r="J547" s="56"/>
      <c r="K547" s="46"/>
      <c r="L547" s="46"/>
      <c r="M547" s="47"/>
      <c r="N547" s="46"/>
      <c r="O547" s="57"/>
      <c r="P547" s="46"/>
      <c r="Q547" s="46"/>
      <c r="R547" s="57"/>
      <c r="S547" s="7"/>
      <c r="T547" s="54"/>
      <c r="U547" s="58"/>
      <c r="V547" s="47"/>
      <c r="W547" s="18"/>
      <c r="X547" s="46"/>
      <c r="Y547" s="46"/>
      <c r="Z547" s="46"/>
      <c r="AA547" s="7"/>
      <c r="AB547" s="46"/>
      <c r="AC547" s="46"/>
      <c r="AD547" s="47"/>
      <c r="AE547" s="47"/>
      <c r="AF547" s="7"/>
      <c r="AG547" s="7"/>
      <c r="AH547" s="47"/>
      <c r="AI547" s="47"/>
      <c r="AJ547" s="18"/>
      <c r="AK547" s="26"/>
      <c r="AL547" s="34"/>
      <c r="AM547" s="34"/>
      <c r="AN547" s="18"/>
      <c r="AO547" s="18"/>
      <c r="AP547" s="18"/>
      <c r="AQ547" s="18"/>
      <c r="AR547" s="47"/>
      <c r="AS547" s="47"/>
    </row>
    <row r="548">
      <c r="A548" s="51"/>
      <c r="B548" s="51"/>
      <c r="C548" s="52"/>
      <c r="D548" s="51"/>
      <c r="E548" s="53"/>
      <c r="F548" s="54"/>
      <c r="G548" s="54"/>
      <c r="H548" s="51"/>
      <c r="I548" s="55"/>
      <c r="J548" s="56"/>
      <c r="K548" s="46"/>
      <c r="L548" s="46"/>
      <c r="M548" s="47"/>
      <c r="N548" s="46"/>
      <c r="O548" s="57"/>
      <c r="P548" s="46"/>
      <c r="Q548" s="46"/>
      <c r="R548" s="57"/>
      <c r="S548" s="7"/>
      <c r="T548" s="54"/>
      <c r="U548" s="58"/>
      <c r="V548" s="47"/>
      <c r="W548" s="18"/>
      <c r="X548" s="46"/>
      <c r="Y548" s="46"/>
      <c r="Z548" s="46"/>
      <c r="AA548" s="7"/>
      <c r="AB548" s="46"/>
      <c r="AC548" s="46"/>
      <c r="AD548" s="47"/>
      <c r="AE548" s="47"/>
      <c r="AF548" s="7"/>
      <c r="AG548" s="7"/>
      <c r="AH548" s="47"/>
      <c r="AI548" s="47"/>
      <c r="AJ548" s="18"/>
      <c r="AK548" s="26"/>
      <c r="AL548" s="34"/>
      <c r="AM548" s="34"/>
      <c r="AN548" s="18"/>
      <c r="AO548" s="18"/>
      <c r="AP548" s="18"/>
      <c r="AQ548" s="18"/>
      <c r="AR548" s="47"/>
      <c r="AS548" s="47"/>
    </row>
    <row r="549">
      <c r="A549" s="51"/>
      <c r="B549" s="51"/>
      <c r="C549" s="52"/>
      <c r="D549" s="51"/>
      <c r="E549" s="53"/>
      <c r="F549" s="54"/>
      <c r="G549" s="54"/>
      <c r="H549" s="51"/>
      <c r="I549" s="55"/>
      <c r="J549" s="56"/>
      <c r="K549" s="46"/>
      <c r="L549" s="46"/>
      <c r="M549" s="47"/>
      <c r="N549" s="46"/>
      <c r="O549" s="57"/>
      <c r="P549" s="46"/>
      <c r="Q549" s="46"/>
      <c r="R549" s="57"/>
      <c r="S549" s="7"/>
      <c r="T549" s="54"/>
      <c r="U549" s="58"/>
      <c r="V549" s="47"/>
      <c r="W549" s="18"/>
      <c r="X549" s="46"/>
      <c r="Y549" s="46"/>
      <c r="Z549" s="46"/>
      <c r="AA549" s="7"/>
      <c r="AB549" s="46"/>
      <c r="AC549" s="46"/>
      <c r="AD549" s="47"/>
      <c r="AE549" s="47"/>
      <c r="AF549" s="7"/>
      <c r="AG549" s="7"/>
      <c r="AH549" s="47"/>
      <c r="AI549" s="47"/>
      <c r="AJ549" s="18"/>
      <c r="AK549" s="26"/>
      <c r="AL549" s="34"/>
      <c r="AM549" s="34"/>
      <c r="AN549" s="18"/>
      <c r="AO549" s="18"/>
      <c r="AP549" s="18"/>
      <c r="AQ549" s="18"/>
      <c r="AR549" s="47"/>
      <c r="AS549" s="47"/>
    </row>
    <row r="550">
      <c r="A550" s="51"/>
      <c r="B550" s="51"/>
      <c r="C550" s="52"/>
      <c r="D550" s="51"/>
      <c r="E550" s="53"/>
      <c r="F550" s="54"/>
      <c r="G550" s="54"/>
      <c r="H550" s="51"/>
      <c r="I550" s="55"/>
      <c r="J550" s="56"/>
      <c r="K550" s="46"/>
      <c r="L550" s="46"/>
      <c r="M550" s="47"/>
      <c r="N550" s="46"/>
      <c r="O550" s="57"/>
      <c r="P550" s="46"/>
      <c r="Q550" s="46"/>
      <c r="R550" s="57"/>
      <c r="S550" s="7"/>
      <c r="T550" s="54"/>
      <c r="U550" s="58"/>
      <c r="V550" s="47"/>
      <c r="W550" s="18"/>
      <c r="X550" s="46"/>
      <c r="Y550" s="46"/>
      <c r="Z550" s="46"/>
      <c r="AA550" s="7"/>
      <c r="AB550" s="46"/>
      <c r="AC550" s="46"/>
      <c r="AD550" s="47"/>
      <c r="AE550" s="47"/>
      <c r="AF550" s="7"/>
      <c r="AG550" s="7"/>
      <c r="AH550" s="47"/>
      <c r="AI550" s="47"/>
      <c r="AJ550" s="18"/>
      <c r="AK550" s="26"/>
      <c r="AL550" s="34"/>
      <c r="AM550" s="34"/>
      <c r="AN550" s="18"/>
      <c r="AO550" s="18"/>
      <c r="AP550" s="18"/>
      <c r="AQ550" s="18"/>
      <c r="AR550" s="47"/>
      <c r="AS550" s="47"/>
    </row>
    <row r="551">
      <c r="A551" s="51"/>
      <c r="B551" s="51"/>
      <c r="C551" s="52"/>
      <c r="D551" s="51"/>
      <c r="E551" s="53"/>
      <c r="F551" s="54"/>
      <c r="G551" s="54"/>
      <c r="H551" s="51"/>
      <c r="I551" s="55"/>
      <c r="J551" s="56"/>
      <c r="K551" s="46"/>
      <c r="L551" s="46"/>
      <c r="M551" s="47"/>
      <c r="N551" s="46"/>
      <c r="O551" s="57"/>
      <c r="P551" s="46"/>
      <c r="Q551" s="46"/>
      <c r="R551" s="57"/>
      <c r="S551" s="7"/>
      <c r="T551" s="54"/>
      <c r="U551" s="58"/>
      <c r="V551" s="47"/>
      <c r="W551" s="18"/>
      <c r="X551" s="46"/>
      <c r="Y551" s="46"/>
      <c r="Z551" s="46"/>
      <c r="AA551" s="7"/>
      <c r="AB551" s="46"/>
      <c r="AC551" s="46"/>
      <c r="AD551" s="47"/>
      <c r="AE551" s="47"/>
      <c r="AF551" s="7"/>
      <c r="AG551" s="7"/>
      <c r="AH551" s="47"/>
      <c r="AI551" s="47"/>
      <c r="AJ551" s="18"/>
      <c r="AK551" s="26"/>
      <c r="AL551" s="34"/>
      <c r="AM551" s="34"/>
      <c r="AN551" s="18"/>
      <c r="AO551" s="18"/>
      <c r="AP551" s="18"/>
      <c r="AQ551" s="18"/>
      <c r="AR551" s="47"/>
      <c r="AS551" s="47"/>
    </row>
    <row r="552">
      <c r="A552" s="51"/>
      <c r="B552" s="51"/>
      <c r="C552" s="52"/>
      <c r="D552" s="51"/>
      <c r="E552" s="53"/>
      <c r="F552" s="54"/>
      <c r="G552" s="54"/>
      <c r="H552" s="51"/>
      <c r="I552" s="55"/>
      <c r="J552" s="56"/>
      <c r="K552" s="46"/>
      <c r="L552" s="46"/>
      <c r="M552" s="47"/>
      <c r="N552" s="46"/>
      <c r="O552" s="57"/>
      <c r="P552" s="46"/>
      <c r="Q552" s="46"/>
      <c r="R552" s="57"/>
      <c r="S552" s="7"/>
      <c r="T552" s="54"/>
      <c r="U552" s="58"/>
      <c r="V552" s="47"/>
      <c r="W552" s="18"/>
      <c r="X552" s="46"/>
      <c r="Y552" s="46"/>
      <c r="Z552" s="46"/>
      <c r="AA552" s="7"/>
      <c r="AB552" s="46"/>
      <c r="AC552" s="46"/>
      <c r="AD552" s="47"/>
      <c r="AE552" s="47"/>
      <c r="AF552" s="7"/>
      <c r="AG552" s="7"/>
      <c r="AH552" s="47"/>
      <c r="AI552" s="47"/>
      <c r="AJ552" s="18"/>
      <c r="AK552" s="26"/>
      <c r="AL552" s="34"/>
      <c r="AM552" s="34"/>
      <c r="AN552" s="18"/>
      <c r="AO552" s="18"/>
      <c r="AP552" s="18"/>
      <c r="AQ552" s="18"/>
      <c r="AR552" s="47"/>
      <c r="AS552" s="47"/>
    </row>
    <row r="553">
      <c r="A553" s="51"/>
      <c r="B553" s="51"/>
      <c r="C553" s="52"/>
      <c r="D553" s="51"/>
      <c r="E553" s="53"/>
      <c r="F553" s="54"/>
      <c r="G553" s="54"/>
      <c r="H553" s="51"/>
      <c r="I553" s="55"/>
      <c r="J553" s="56"/>
      <c r="K553" s="46"/>
      <c r="L553" s="46"/>
      <c r="M553" s="47"/>
      <c r="N553" s="46"/>
      <c r="O553" s="57"/>
      <c r="P553" s="46"/>
      <c r="Q553" s="46"/>
      <c r="R553" s="57"/>
      <c r="S553" s="7"/>
      <c r="T553" s="54"/>
      <c r="U553" s="58"/>
      <c r="V553" s="47"/>
      <c r="W553" s="18"/>
      <c r="X553" s="46"/>
      <c r="Y553" s="46"/>
      <c r="Z553" s="46"/>
      <c r="AA553" s="7"/>
      <c r="AB553" s="46"/>
      <c r="AC553" s="46"/>
      <c r="AD553" s="47"/>
      <c r="AE553" s="47"/>
      <c r="AF553" s="7"/>
      <c r="AG553" s="7"/>
      <c r="AH553" s="47"/>
      <c r="AI553" s="47"/>
      <c r="AJ553" s="18"/>
      <c r="AK553" s="26"/>
      <c r="AL553" s="34"/>
      <c r="AM553" s="34"/>
      <c r="AN553" s="18"/>
      <c r="AO553" s="18"/>
      <c r="AP553" s="18"/>
      <c r="AQ553" s="18"/>
      <c r="AR553" s="47"/>
      <c r="AS553" s="47"/>
    </row>
    <row r="554">
      <c r="A554" s="51"/>
      <c r="B554" s="51"/>
      <c r="C554" s="52"/>
      <c r="D554" s="51"/>
      <c r="E554" s="53"/>
      <c r="F554" s="54"/>
      <c r="G554" s="54"/>
      <c r="H554" s="51"/>
      <c r="I554" s="55"/>
      <c r="J554" s="56"/>
      <c r="K554" s="46"/>
      <c r="L554" s="46"/>
      <c r="M554" s="47"/>
      <c r="N554" s="46"/>
      <c r="O554" s="57"/>
      <c r="P554" s="46"/>
      <c r="Q554" s="46"/>
      <c r="R554" s="57"/>
      <c r="S554" s="7"/>
      <c r="T554" s="54"/>
      <c r="U554" s="58"/>
      <c r="V554" s="47"/>
      <c r="W554" s="18"/>
      <c r="X554" s="46"/>
      <c r="Y554" s="46"/>
      <c r="Z554" s="46"/>
      <c r="AA554" s="7"/>
      <c r="AB554" s="46"/>
      <c r="AC554" s="46"/>
      <c r="AD554" s="47"/>
      <c r="AE554" s="47"/>
      <c r="AF554" s="7"/>
      <c r="AG554" s="7"/>
      <c r="AH554" s="47"/>
      <c r="AI554" s="47"/>
      <c r="AJ554" s="18"/>
      <c r="AK554" s="26"/>
      <c r="AL554" s="34"/>
      <c r="AM554" s="34"/>
      <c r="AN554" s="18"/>
      <c r="AO554" s="18"/>
      <c r="AP554" s="18"/>
      <c r="AQ554" s="18"/>
      <c r="AR554" s="47"/>
      <c r="AS554" s="47"/>
    </row>
    <row r="555">
      <c r="A555" s="51"/>
      <c r="B555" s="51"/>
      <c r="C555" s="52"/>
      <c r="D555" s="51"/>
      <c r="E555" s="53"/>
      <c r="F555" s="54"/>
      <c r="G555" s="54"/>
      <c r="H555" s="51"/>
      <c r="I555" s="55"/>
      <c r="J555" s="56"/>
      <c r="K555" s="46"/>
      <c r="L555" s="46"/>
      <c r="M555" s="47"/>
      <c r="N555" s="46"/>
      <c r="O555" s="57"/>
      <c r="P555" s="46"/>
      <c r="Q555" s="46"/>
      <c r="R555" s="57"/>
      <c r="S555" s="7"/>
      <c r="T555" s="54"/>
      <c r="U555" s="58"/>
      <c r="V555" s="47"/>
      <c r="W555" s="18"/>
      <c r="X555" s="46"/>
      <c r="Y555" s="46"/>
      <c r="Z555" s="46"/>
      <c r="AA555" s="7"/>
      <c r="AB555" s="46"/>
      <c r="AC555" s="46"/>
      <c r="AD555" s="47"/>
      <c r="AE555" s="47"/>
      <c r="AF555" s="7"/>
      <c r="AG555" s="7"/>
      <c r="AH555" s="47"/>
      <c r="AI555" s="47"/>
      <c r="AJ555" s="18"/>
      <c r="AK555" s="26"/>
      <c r="AL555" s="34"/>
      <c r="AM555" s="34"/>
      <c r="AN555" s="18"/>
      <c r="AO555" s="18"/>
      <c r="AP555" s="18"/>
      <c r="AQ555" s="18"/>
      <c r="AR555" s="47"/>
      <c r="AS555" s="47"/>
    </row>
    <row r="556">
      <c r="A556" s="51"/>
      <c r="B556" s="51"/>
      <c r="C556" s="52"/>
      <c r="D556" s="51"/>
      <c r="E556" s="53"/>
      <c r="F556" s="54"/>
      <c r="G556" s="54"/>
      <c r="H556" s="51"/>
      <c r="I556" s="55"/>
      <c r="J556" s="56"/>
      <c r="K556" s="46"/>
      <c r="L556" s="46"/>
      <c r="M556" s="47"/>
      <c r="N556" s="46"/>
      <c r="O556" s="57"/>
      <c r="P556" s="46"/>
      <c r="Q556" s="46"/>
      <c r="R556" s="57"/>
      <c r="S556" s="7"/>
      <c r="T556" s="54"/>
      <c r="U556" s="58"/>
      <c r="V556" s="47"/>
      <c r="W556" s="18"/>
      <c r="X556" s="46"/>
      <c r="Y556" s="46"/>
      <c r="Z556" s="46"/>
      <c r="AA556" s="7"/>
      <c r="AB556" s="46"/>
      <c r="AC556" s="46"/>
      <c r="AD556" s="47"/>
      <c r="AE556" s="47"/>
      <c r="AF556" s="7"/>
      <c r="AG556" s="7"/>
      <c r="AH556" s="47"/>
      <c r="AI556" s="47"/>
      <c r="AJ556" s="18"/>
      <c r="AK556" s="26"/>
      <c r="AL556" s="34"/>
      <c r="AM556" s="34"/>
      <c r="AN556" s="18"/>
      <c r="AO556" s="18"/>
      <c r="AP556" s="18"/>
      <c r="AQ556" s="18"/>
      <c r="AR556" s="47"/>
      <c r="AS556" s="47"/>
    </row>
    <row r="557">
      <c r="A557" s="51"/>
      <c r="B557" s="51"/>
      <c r="C557" s="52"/>
      <c r="D557" s="51"/>
      <c r="E557" s="53"/>
      <c r="F557" s="54"/>
      <c r="G557" s="54"/>
      <c r="H557" s="51"/>
      <c r="I557" s="55"/>
      <c r="J557" s="56"/>
      <c r="K557" s="46"/>
      <c r="L557" s="46"/>
      <c r="M557" s="47"/>
      <c r="N557" s="46"/>
      <c r="O557" s="57"/>
      <c r="P557" s="46"/>
      <c r="Q557" s="46"/>
      <c r="R557" s="57"/>
      <c r="S557" s="7"/>
      <c r="T557" s="54"/>
      <c r="U557" s="58"/>
      <c r="V557" s="47"/>
      <c r="W557" s="18"/>
      <c r="X557" s="46"/>
      <c r="Y557" s="46"/>
      <c r="Z557" s="46"/>
      <c r="AA557" s="7"/>
      <c r="AB557" s="46"/>
      <c r="AC557" s="46"/>
      <c r="AD557" s="47"/>
      <c r="AE557" s="47"/>
      <c r="AF557" s="7"/>
      <c r="AG557" s="7"/>
      <c r="AH557" s="47"/>
      <c r="AI557" s="47"/>
      <c r="AJ557" s="18"/>
      <c r="AK557" s="26"/>
      <c r="AL557" s="34"/>
      <c r="AM557" s="34"/>
      <c r="AN557" s="18"/>
      <c r="AO557" s="18"/>
      <c r="AP557" s="18"/>
      <c r="AQ557" s="18"/>
      <c r="AR557" s="47"/>
      <c r="AS557" s="47"/>
    </row>
    <row r="558">
      <c r="A558" s="51"/>
      <c r="B558" s="51"/>
      <c r="C558" s="52"/>
      <c r="D558" s="51"/>
      <c r="E558" s="53"/>
      <c r="F558" s="54"/>
      <c r="G558" s="54"/>
      <c r="H558" s="51"/>
      <c r="I558" s="55"/>
      <c r="J558" s="56"/>
      <c r="K558" s="46"/>
      <c r="L558" s="46"/>
      <c r="M558" s="47"/>
      <c r="N558" s="46"/>
      <c r="O558" s="57"/>
      <c r="P558" s="46"/>
      <c r="Q558" s="46"/>
      <c r="R558" s="57"/>
      <c r="S558" s="7"/>
      <c r="T558" s="54"/>
      <c r="U558" s="58"/>
      <c r="V558" s="47"/>
      <c r="W558" s="18"/>
      <c r="X558" s="46"/>
      <c r="Y558" s="46"/>
      <c r="Z558" s="46"/>
      <c r="AA558" s="7"/>
      <c r="AB558" s="46"/>
      <c r="AC558" s="46"/>
      <c r="AD558" s="47"/>
      <c r="AE558" s="47"/>
      <c r="AF558" s="7"/>
      <c r="AG558" s="7"/>
      <c r="AH558" s="47"/>
      <c r="AI558" s="47"/>
      <c r="AJ558" s="18"/>
      <c r="AK558" s="26"/>
      <c r="AL558" s="34"/>
      <c r="AM558" s="34"/>
      <c r="AN558" s="18"/>
      <c r="AO558" s="18"/>
      <c r="AP558" s="18"/>
      <c r="AQ558" s="18"/>
      <c r="AR558" s="47"/>
      <c r="AS558" s="47"/>
    </row>
    <row r="559">
      <c r="A559" s="51"/>
      <c r="B559" s="51"/>
      <c r="C559" s="52"/>
      <c r="D559" s="51"/>
      <c r="E559" s="53"/>
      <c r="F559" s="54"/>
      <c r="G559" s="54"/>
      <c r="H559" s="51"/>
      <c r="I559" s="55"/>
      <c r="J559" s="56"/>
      <c r="K559" s="46"/>
      <c r="L559" s="46"/>
      <c r="M559" s="47"/>
      <c r="N559" s="46"/>
      <c r="O559" s="57"/>
      <c r="P559" s="46"/>
      <c r="Q559" s="46"/>
      <c r="R559" s="57"/>
      <c r="S559" s="7"/>
      <c r="T559" s="54"/>
      <c r="U559" s="58"/>
      <c r="V559" s="47"/>
      <c r="W559" s="18"/>
      <c r="X559" s="46"/>
      <c r="Y559" s="46"/>
      <c r="Z559" s="46"/>
      <c r="AA559" s="7"/>
      <c r="AB559" s="46"/>
      <c r="AC559" s="46"/>
      <c r="AD559" s="47"/>
      <c r="AE559" s="47"/>
      <c r="AF559" s="7"/>
      <c r="AG559" s="7"/>
      <c r="AH559" s="47"/>
      <c r="AI559" s="47"/>
      <c r="AJ559" s="18"/>
      <c r="AK559" s="26"/>
      <c r="AL559" s="34"/>
      <c r="AM559" s="34"/>
      <c r="AN559" s="18"/>
      <c r="AO559" s="18"/>
      <c r="AP559" s="18"/>
      <c r="AQ559" s="18"/>
      <c r="AR559" s="47"/>
      <c r="AS559" s="47"/>
    </row>
    <row r="560">
      <c r="A560" s="51"/>
      <c r="B560" s="51"/>
      <c r="C560" s="52"/>
      <c r="D560" s="51"/>
      <c r="E560" s="53"/>
      <c r="F560" s="54"/>
      <c r="G560" s="54"/>
      <c r="H560" s="51"/>
      <c r="I560" s="55"/>
      <c r="J560" s="56"/>
      <c r="K560" s="46"/>
      <c r="L560" s="46"/>
      <c r="M560" s="47"/>
      <c r="N560" s="46"/>
      <c r="O560" s="57"/>
      <c r="P560" s="46"/>
      <c r="Q560" s="46"/>
      <c r="R560" s="57"/>
      <c r="S560" s="7"/>
      <c r="T560" s="54"/>
      <c r="U560" s="58"/>
      <c r="V560" s="47"/>
      <c r="W560" s="18"/>
      <c r="X560" s="46"/>
      <c r="Y560" s="46"/>
      <c r="Z560" s="46"/>
      <c r="AA560" s="7"/>
      <c r="AB560" s="46"/>
      <c r="AC560" s="46"/>
      <c r="AD560" s="47"/>
      <c r="AE560" s="47"/>
      <c r="AF560" s="7"/>
      <c r="AG560" s="7"/>
      <c r="AH560" s="47"/>
      <c r="AI560" s="47"/>
      <c r="AJ560" s="18"/>
      <c r="AK560" s="26"/>
      <c r="AL560" s="34"/>
      <c r="AM560" s="34"/>
      <c r="AN560" s="18"/>
      <c r="AO560" s="18"/>
      <c r="AP560" s="18"/>
      <c r="AQ560" s="18"/>
      <c r="AR560" s="47"/>
      <c r="AS560" s="47"/>
    </row>
    <row r="561">
      <c r="A561" s="51"/>
      <c r="B561" s="51"/>
      <c r="C561" s="52"/>
      <c r="D561" s="51"/>
      <c r="E561" s="53"/>
      <c r="F561" s="54"/>
      <c r="G561" s="54"/>
      <c r="H561" s="51"/>
      <c r="I561" s="55"/>
      <c r="J561" s="56"/>
      <c r="K561" s="46"/>
      <c r="L561" s="46"/>
      <c r="M561" s="47"/>
      <c r="N561" s="46"/>
      <c r="O561" s="57"/>
      <c r="P561" s="46"/>
      <c r="Q561" s="46"/>
      <c r="R561" s="57"/>
      <c r="S561" s="7"/>
      <c r="T561" s="54"/>
      <c r="U561" s="58"/>
      <c r="V561" s="47"/>
      <c r="W561" s="18"/>
      <c r="X561" s="46"/>
      <c r="Y561" s="46"/>
      <c r="Z561" s="46"/>
      <c r="AA561" s="7"/>
      <c r="AB561" s="46"/>
      <c r="AC561" s="46"/>
      <c r="AD561" s="47"/>
      <c r="AE561" s="47"/>
      <c r="AF561" s="7"/>
      <c r="AG561" s="7"/>
      <c r="AH561" s="47"/>
      <c r="AI561" s="47"/>
      <c r="AJ561" s="18"/>
      <c r="AK561" s="26"/>
      <c r="AL561" s="34"/>
      <c r="AM561" s="34"/>
      <c r="AN561" s="18"/>
      <c r="AO561" s="18"/>
      <c r="AP561" s="18"/>
      <c r="AQ561" s="18"/>
      <c r="AR561" s="47"/>
      <c r="AS561" s="47"/>
    </row>
    <row r="562">
      <c r="A562" s="51"/>
      <c r="B562" s="51"/>
      <c r="C562" s="52"/>
      <c r="D562" s="51"/>
      <c r="E562" s="53"/>
      <c r="F562" s="54"/>
      <c r="G562" s="54"/>
      <c r="H562" s="51"/>
      <c r="I562" s="55"/>
      <c r="J562" s="56"/>
      <c r="K562" s="46"/>
      <c r="L562" s="46"/>
      <c r="M562" s="47"/>
      <c r="N562" s="46"/>
      <c r="O562" s="57"/>
      <c r="P562" s="46"/>
      <c r="Q562" s="46"/>
      <c r="R562" s="57"/>
      <c r="S562" s="7"/>
      <c r="T562" s="54"/>
      <c r="U562" s="58"/>
      <c r="V562" s="47"/>
      <c r="W562" s="18"/>
      <c r="X562" s="46"/>
      <c r="Y562" s="46"/>
      <c r="Z562" s="46"/>
      <c r="AA562" s="7"/>
      <c r="AB562" s="46"/>
      <c r="AC562" s="46"/>
      <c r="AD562" s="47"/>
      <c r="AE562" s="47"/>
      <c r="AF562" s="7"/>
      <c r="AG562" s="7"/>
      <c r="AH562" s="47"/>
      <c r="AI562" s="47"/>
      <c r="AJ562" s="18"/>
      <c r="AK562" s="26"/>
      <c r="AL562" s="34"/>
      <c r="AM562" s="34"/>
      <c r="AN562" s="18"/>
      <c r="AO562" s="18"/>
      <c r="AP562" s="18"/>
      <c r="AQ562" s="18"/>
      <c r="AR562" s="47"/>
      <c r="AS562" s="47"/>
    </row>
    <row r="563">
      <c r="A563" s="51"/>
      <c r="B563" s="51"/>
      <c r="C563" s="52"/>
      <c r="D563" s="51"/>
      <c r="E563" s="53"/>
      <c r="F563" s="54"/>
      <c r="G563" s="54"/>
      <c r="H563" s="51"/>
      <c r="I563" s="55"/>
      <c r="J563" s="56"/>
      <c r="K563" s="46"/>
      <c r="L563" s="46"/>
      <c r="M563" s="47"/>
      <c r="N563" s="46"/>
      <c r="O563" s="57"/>
      <c r="P563" s="46"/>
      <c r="Q563" s="46"/>
      <c r="R563" s="57"/>
      <c r="S563" s="7"/>
      <c r="T563" s="54"/>
      <c r="U563" s="58"/>
      <c r="V563" s="47"/>
      <c r="W563" s="18"/>
      <c r="X563" s="46"/>
      <c r="Y563" s="46"/>
      <c r="Z563" s="46"/>
      <c r="AA563" s="7"/>
      <c r="AB563" s="46"/>
      <c r="AC563" s="46"/>
      <c r="AD563" s="47"/>
      <c r="AE563" s="47"/>
      <c r="AF563" s="7"/>
      <c r="AG563" s="7"/>
      <c r="AH563" s="47"/>
      <c r="AI563" s="47"/>
      <c r="AJ563" s="18"/>
      <c r="AK563" s="26"/>
      <c r="AL563" s="34"/>
      <c r="AM563" s="34"/>
      <c r="AN563" s="18"/>
      <c r="AO563" s="18"/>
      <c r="AP563" s="18"/>
      <c r="AQ563" s="18"/>
      <c r="AR563" s="47"/>
      <c r="AS563" s="47"/>
    </row>
    <row r="564">
      <c r="A564" s="51"/>
      <c r="B564" s="51"/>
      <c r="C564" s="52"/>
      <c r="D564" s="51"/>
      <c r="E564" s="53"/>
      <c r="F564" s="54"/>
      <c r="G564" s="54"/>
      <c r="H564" s="51"/>
      <c r="I564" s="55"/>
      <c r="J564" s="56"/>
      <c r="K564" s="46"/>
      <c r="L564" s="46"/>
      <c r="M564" s="47"/>
      <c r="N564" s="46"/>
      <c r="O564" s="57"/>
      <c r="P564" s="46"/>
      <c r="Q564" s="46"/>
      <c r="R564" s="57"/>
      <c r="S564" s="7"/>
      <c r="T564" s="54"/>
      <c r="U564" s="58"/>
      <c r="V564" s="47"/>
      <c r="W564" s="18"/>
      <c r="X564" s="46"/>
      <c r="Y564" s="46"/>
      <c r="Z564" s="46"/>
      <c r="AA564" s="7"/>
      <c r="AB564" s="46"/>
      <c r="AC564" s="46"/>
      <c r="AD564" s="47"/>
      <c r="AE564" s="47"/>
      <c r="AF564" s="7"/>
      <c r="AG564" s="7"/>
      <c r="AH564" s="47"/>
      <c r="AI564" s="47"/>
      <c r="AJ564" s="18"/>
      <c r="AK564" s="26"/>
      <c r="AL564" s="34"/>
      <c r="AM564" s="34"/>
      <c r="AN564" s="18"/>
      <c r="AO564" s="18"/>
      <c r="AP564" s="18"/>
      <c r="AQ564" s="18"/>
      <c r="AR564" s="47"/>
      <c r="AS564" s="47"/>
    </row>
    <row r="565">
      <c r="A565" s="51"/>
      <c r="B565" s="51"/>
      <c r="C565" s="52"/>
      <c r="D565" s="51"/>
      <c r="E565" s="53"/>
      <c r="F565" s="54"/>
      <c r="G565" s="54"/>
      <c r="H565" s="51"/>
      <c r="I565" s="55"/>
      <c r="J565" s="56"/>
      <c r="K565" s="46"/>
      <c r="L565" s="46"/>
      <c r="M565" s="47"/>
      <c r="N565" s="46"/>
      <c r="O565" s="57"/>
      <c r="P565" s="46"/>
      <c r="Q565" s="46"/>
      <c r="R565" s="57"/>
      <c r="S565" s="7"/>
      <c r="T565" s="54"/>
      <c r="U565" s="58"/>
      <c r="V565" s="47"/>
      <c r="W565" s="18"/>
      <c r="X565" s="46"/>
      <c r="Y565" s="46"/>
      <c r="Z565" s="46"/>
      <c r="AA565" s="7"/>
      <c r="AB565" s="46"/>
      <c r="AC565" s="46"/>
      <c r="AD565" s="47"/>
      <c r="AE565" s="47"/>
      <c r="AF565" s="7"/>
      <c r="AG565" s="7"/>
      <c r="AH565" s="47"/>
      <c r="AI565" s="47"/>
      <c r="AJ565" s="18"/>
      <c r="AK565" s="26"/>
      <c r="AL565" s="34"/>
      <c r="AM565" s="34"/>
      <c r="AN565" s="18"/>
      <c r="AO565" s="18"/>
      <c r="AP565" s="18"/>
      <c r="AQ565" s="18"/>
      <c r="AR565" s="47"/>
      <c r="AS565" s="47"/>
    </row>
    <row r="566">
      <c r="A566" s="51"/>
      <c r="B566" s="51"/>
      <c r="C566" s="52"/>
      <c r="D566" s="51"/>
      <c r="E566" s="53"/>
      <c r="F566" s="54"/>
      <c r="G566" s="54"/>
      <c r="H566" s="51"/>
      <c r="I566" s="55"/>
      <c r="J566" s="56"/>
      <c r="K566" s="46"/>
      <c r="L566" s="46"/>
      <c r="M566" s="47"/>
      <c r="N566" s="46"/>
      <c r="O566" s="57"/>
      <c r="P566" s="46"/>
      <c r="Q566" s="46"/>
      <c r="R566" s="57"/>
      <c r="S566" s="7"/>
      <c r="T566" s="54"/>
      <c r="U566" s="58"/>
      <c r="V566" s="47"/>
      <c r="W566" s="18"/>
      <c r="X566" s="46"/>
      <c r="Y566" s="46"/>
      <c r="Z566" s="46"/>
      <c r="AA566" s="7"/>
      <c r="AB566" s="46"/>
      <c r="AC566" s="46"/>
      <c r="AD566" s="47"/>
      <c r="AE566" s="47"/>
      <c r="AF566" s="7"/>
      <c r="AG566" s="7"/>
      <c r="AH566" s="47"/>
      <c r="AI566" s="47"/>
      <c r="AJ566" s="18"/>
      <c r="AK566" s="26"/>
      <c r="AL566" s="34"/>
      <c r="AM566" s="34"/>
      <c r="AN566" s="18"/>
      <c r="AO566" s="18"/>
      <c r="AP566" s="18"/>
      <c r="AQ566" s="18"/>
      <c r="AR566" s="47"/>
      <c r="AS566" s="47"/>
    </row>
    <row r="567">
      <c r="A567" s="51"/>
      <c r="B567" s="51"/>
      <c r="C567" s="52"/>
      <c r="D567" s="51"/>
      <c r="E567" s="53"/>
      <c r="F567" s="54"/>
      <c r="G567" s="54"/>
      <c r="H567" s="51"/>
      <c r="I567" s="55"/>
      <c r="J567" s="56"/>
      <c r="K567" s="46"/>
      <c r="L567" s="46"/>
      <c r="M567" s="47"/>
      <c r="N567" s="46"/>
      <c r="O567" s="57"/>
      <c r="P567" s="46"/>
      <c r="Q567" s="46"/>
      <c r="R567" s="57"/>
      <c r="S567" s="7"/>
      <c r="T567" s="54"/>
      <c r="U567" s="58"/>
      <c r="V567" s="47"/>
      <c r="W567" s="18"/>
      <c r="X567" s="46"/>
      <c r="Y567" s="46"/>
      <c r="Z567" s="46"/>
      <c r="AA567" s="7"/>
      <c r="AB567" s="46"/>
      <c r="AC567" s="46"/>
      <c r="AD567" s="47"/>
      <c r="AE567" s="47"/>
      <c r="AF567" s="7"/>
      <c r="AG567" s="7"/>
      <c r="AH567" s="47"/>
      <c r="AI567" s="47"/>
      <c r="AJ567" s="18"/>
      <c r="AK567" s="26"/>
      <c r="AL567" s="34"/>
      <c r="AM567" s="34"/>
      <c r="AN567" s="18"/>
      <c r="AO567" s="18"/>
      <c r="AP567" s="18"/>
      <c r="AQ567" s="18"/>
      <c r="AR567" s="47"/>
      <c r="AS567" s="47"/>
    </row>
    <row r="568">
      <c r="A568" s="51"/>
      <c r="B568" s="51"/>
      <c r="C568" s="52"/>
      <c r="D568" s="51"/>
      <c r="E568" s="53"/>
      <c r="F568" s="54"/>
      <c r="G568" s="54"/>
      <c r="H568" s="51"/>
      <c r="I568" s="55"/>
      <c r="J568" s="56"/>
      <c r="K568" s="46"/>
      <c r="L568" s="46"/>
      <c r="M568" s="47"/>
      <c r="N568" s="46"/>
      <c r="O568" s="57"/>
      <c r="P568" s="46"/>
      <c r="Q568" s="46"/>
      <c r="R568" s="57"/>
      <c r="S568" s="7"/>
      <c r="T568" s="54"/>
      <c r="U568" s="58"/>
      <c r="V568" s="47"/>
      <c r="W568" s="18"/>
      <c r="X568" s="46"/>
      <c r="Y568" s="46"/>
      <c r="Z568" s="46"/>
      <c r="AA568" s="7"/>
      <c r="AB568" s="46"/>
      <c r="AC568" s="46"/>
      <c r="AD568" s="47"/>
      <c r="AE568" s="47"/>
      <c r="AF568" s="7"/>
      <c r="AG568" s="7"/>
      <c r="AH568" s="47"/>
      <c r="AI568" s="47"/>
      <c r="AJ568" s="18"/>
      <c r="AK568" s="26"/>
      <c r="AL568" s="34"/>
      <c r="AM568" s="34"/>
      <c r="AN568" s="18"/>
      <c r="AO568" s="18"/>
      <c r="AP568" s="18"/>
      <c r="AQ568" s="18"/>
      <c r="AR568" s="47"/>
      <c r="AS568" s="47"/>
    </row>
    <row r="569">
      <c r="A569" s="51"/>
      <c r="B569" s="51"/>
      <c r="C569" s="52"/>
      <c r="D569" s="51"/>
      <c r="E569" s="53"/>
      <c r="F569" s="54"/>
      <c r="G569" s="54"/>
      <c r="H569" s="51"/>
      <c r="I569" s="55"/>
      <c r="J569" s="56"/>
      <c r="K569" s="46"/>
      <c r="L569" s="46"/>
      <c r="M569" s="47"/>
      <c r="N569" s="46"/>
      <c r="O569" s="57"/>
      <c r="P569" s="46"/>
      <c r="Q569" s="46"/>
      <c r="R569" s="57"/>
      <c r="S569" s="7"/>
      <c r="T569" s="54"/>
      <c r="U569" s="58"/>
      <c r="V569" s="47"/>
      <c r="W569" s="18"/>
      <c r="X569" s="46"/>
      <c r="Y569" s="46"/>
      <c r="Z569" s="46"/>
      <c r="AA569" s="7"/>
      <c r="AB569" s="46"/>
      <c r="AC569" s="46"/>
      <c r="AD569" s="47"/>
      <c r="AE569" s="47"/>
      <c r="AF569" s="7"/>
      <c r="AG569" s="7"/>
      <c r="AH569" s="47"/>
      <c r="AI569" s="47"/>
      <c r="AJ569" s="18"/>
      <c r="AK569" s="26"/>
      <c r="AL569" s="34"/>
      <c r="AM569" s="34"/>
      <c r="AN569" s="18"/>
      <c r="AO569" s="18"/>
      <c r="AP569" s="18"/>
      <c r="AQ569" s="18"/>
      <c r="AR569" s="47"/>
      <c r="AS569" s="47"/>
    </row>
    <row r="570">
      <c r="A570" s="51"/>
      <c r="B570" s="51"/>
      <c r="C570" s="52"/>
      <c r="D570" s="51"/>
      <c r="E570" s="53"/>
      <c r="F570" s="54"/>
      <c r="G570" s="54"/>
      <c r="H570" s="51"/>
      <c r="I570" s="55"/>
      <c r="J570" s="56"/>
      <c r="K570" s="46"/>
      <c r="L570" s="46"/>
      <c r="M570" s="47"/>
      <c r="N570" s="46"/>
      <c r="O570" s="57"/>
      <c r="P570" s="46"/>
      <c r="Q570" s="46"/>
      <c r="R570" s="57"/>
      <c r="S570" s="7"/>
      <c r="T570" s="54"/>
      <c r="U570" s="58"/>
      <c r="V570" s="47"/>
      <c r="W570" s="18"/>
      <c r="X570" s="46"/>
      <c r="Y570" s="46"/>
      <c r="Z570" s="46"/>
      <c r="AA570" s="7"/>
      <c r="AB570" s="46"/>
      <c r="AC570" s="46"/>
      <c r="AD570" s="47"/>
      <c r="AE570" s="47"/>
      <c r="AF570" s="7"/>
      <c r="AG570" s="7"/>
      <c r="AH570" s="47"/>
      <c r="AI570" s="47"/>
      <c r="AJ570" s="18"/>
      <c r="AK570" s="26"/>
      <c r="AL570" s="34"/>
      <c r="AM570" s="34"/>
      <c r="AN570" s="18"/>
      <c r="AO570" s="18"/>
      <c r="AP570" s="18"/>
      <c r="AQ570" s="18"/>
      <c r="AR570" s="47"/>
      <c r="AS570" s="47"/>
    </row>
    <row r="571">
      <c r="A571" s="51"/>
      <c r="B571" s="51"/>
      <c r="C571" s="52"/>
      <c r="D571" s="51"/>
      <c r="E571" s="53"/>
      <c r="F571" s="54"/>
      <c r="G571" s="54"/>
      <c r="H571" s="51"/>
      <c r="I571" s="55"/>
      <c r="J571" s="56"/>
      <c r="K571" s="46"/>
      <c r="L571" s="46"/>
      <c r="M571" s="47"/>
      <c r="N571" s="46"/>
      <c r="O571" s="57"/>
      <c r="P571" s="46"/>
      <c r="Q571" s="46"/>
      <c r="R571" s="57"/>
      <c r="S571" s="7"/>
      <c r="T571" s="54"/>
      <c r="U571" s="58"/>
      <c r="V571" s="47"/>
      <c r="W571" s="18"/>
      <c r="X571" s="46"/>
      <c r="Y571" s="46"/>
      <c r="Z571" s="46"/>
      <c r="AA571" s="7"/>
      <c r="AB571" s="46"/>
      <c r="AC571" s="46"/>
      <c r="AD571" s="47"/>
      <c r="AE571" s="47"/>
      <c r="AF571" s="7"/>
      <c r="AG571" s="7"/>
      <c r="AH571" s="47"/>
      <c r="AI571" s="47"/>
      <c r="AJ571" s="18"/>
      <c r="AK571" s="26"/>
      <c r="AL571" s="34"/>
      <c r="AM571" s="34"/>
      <c r="AN571" s="18"/>
      <c r="AO571" s="18"/>
      <c r="AP571" s="18"/>
      <c r="AQ571" s="18"/>
      <c r="AR571" s="47"/>
      <c r="AS571" s="47"/>
    </row>
    <row r="572">
      <c r="A572" s="51"/>
      <c r="B572" s="51"/>
      <c r="C572" s="52"/>
      <c r="D572" s="51"/>
      <c r="E572" s="53"/>
      <c r="F572" s="54"/>
      <c r="G572" s="54"/>
      <c r="H572" s="51"/>
      <c r="I572" s="55"/>
      <c r="J572" s="56"/>
      <c r="K572" s="46"/>
      <c r="L572" s="46"/>
      <c r="M572" s="47"/>
      <c r="N572" s="46"/>
      <c r="O572" s="57"/>
      <c r="P572" s="46"/>
      <c r="Q572" s="46"/>
      <c r="R572" s="57"/>
      <c r="S572" s="7"/>
      <c r="T572" s="54"/>
      <c r="U572" s="58"/>
      <c r="V572" s="47"/>
      <c r="W572" s="18"/>
      <c r="X572" s="46"/>
      <c r="Y572" s="46"/>
      <c r="Z572" s="46"/>
      <c r="AA572" s="7"/>
      <c r="AB572" s="46"/>
      <c r="AC572" s="46"/>
      <c r="AD572" s="47"/>
      <c r="AE572" s="47"/>
      <c r="AF572" s="7"/>
      <c r="AG572" s="7"/>
      <c r="AH572" s="47"/>
      <c r="AI572" s="47"/>
      <c r="AJ572" s="18"/>
      <c r="AK572" s="26"/>
      <c r="AL572" s="34"/>
      <c r="AM572" s="34"/>
      <c r="AN572" s="18"/>
      <c r="AO572" s="18"/>
      <c r="AP572" s="18"/>
      <c r="AQ572" s="18"/>
      <c r="AR572" s="47"/>
      <c r="AS572" s="47"/>
    </row>
    <row r="573">
      <c r="A573" s="51"/>
      <c r="B573" s="51"/>
      <c r="C573" s="52"/>
      <c r="D573" s="51"/>
      <c r="E573" s="53"/>
      <c r="F573" s="54"/>
      <c r="G573" s="54"/>
      <c r="H573" s="51"/>
      <c r="I573" s="55"/>
      <c r="J573" s="56"/>
      <c r="K573" s="46"/>
      <c r="L573" s="46"/>
      <c r="M573" s="47"/>
      <c r="N573" s="46"/>
      <c r="O573" s="57"/>
      <c r="P573" s="46"/>
      <c r="Q573" s="46"/>
      <c r="R573" s="57"/>
      <c r="S573" s="7"/>
      <c r="T573" s="54"/>
      <c r="U573" s="58"/>
      <c r="V573" s="47"/>
      <c r="W573" s="18"/>
      <c r="X573" s="46"/>
      <c r="Y573" s="46"/>
      <c r="Z573" s="46"/>
      <c r="AA573" s="7"/>
      <c r="AB573" s="46"/>
      <c r="AC573" s="46"/>
      <c r="AD573" s="47"/>
      <c r="AE573" s="47"/>
      <c r="AF573" s="7"/>
      <c r="AG573" s="7"/>
      <c r="AH573" s="47"/>
      <c r="AI573" s="47"/>
      <c r="AJ573" s="18"/>
      <c r="AK573" s="26"/>
      <c r="AL573" s="34"/>
      <c r="AM573" s="34"/>
      <c r="AN573" s="18"/>
      <c r="AO573" s="18"/>
      <c r="AP573" s="18"/>
      <c r="AQ573" s="18"/>
      <c r="AR573" s="47"/>
      <c r="AS573" s="47"/>
    </row>
    <row r="574">
      <c r="A574" s="51"/>
      <c r="B574" s="51"/>
      <c r="C574" s="52"/>
      <c r="D574" s="51"/>
      <c r="E574" s="53"/>
      <c r="F574" s="54"/>
      <c r="G574" s="54"/>
      <c r="H574" s="51"/>
      <c r="I574" s="55"/>
      <c r="J574" s="56"/>
      <c r="K574" s="46"/>
      <c r="L574" s="46"/>
      <c r="M574" s="47"/>
      <c r="N574" s="46"/>
      <c r="O574" s="57"/>
      <c r="P574" s="46"/>
      <c r="Q574" s="46"/>
      <c r="R574" s="57"/>
      <c r="S574" s="7"/>
      <c r="T574" s="54"/>
      <c r="U574" s="58"/>
      <c r="V574" s="47"/>
      <c r="W574" s="18"/>
      <c r="X574" s="46"/>
      <c r="Y574" s="46"/>
      <c r="Z574" s="46"/>
      <c r="AA574" s="7"/>
      <c r="AB574" s="46"/>
      <c r="AC574" s="46"/>
      <c r="AD574" s="47"/>
      <c r="AE574" s="47"/>
      <c r="AF574" s="7"/>
      <c r="AG574" s="7"/>
      <c r="AH574" s="47"/>
      <c r="AI574" s="47"/>
      <c r="AJ574" s="18"/>
      <c r="AK574" s="26"/>
      <c r="AL574" s="34"/>
      <c r="AM574" s="34"/>
      <c r="AN574" s="18"/>
      <c r="AO574" s="18"/>
      <c r="AP574" s="18"/>
      <c r="AQ574" s="18"/>
      <c r="AR574" s="47"/>
      <c r="AS574" s="47"/>
    </row>
    <row r="575">
      <c r="A575" s="51"/>
      <c r="B575" s="51"/>
      <c r="C575" s="52"/>
      <c r="D575" s="51"/>
      <c r="E575" s="53"/>
      <c r="F575" s="54"/>
      <c r="G575" s="54"/>
      <c r="H575" s="51"/>
      <c r="I575" s="55"/>
      <c r="J575" s="56"/>
      <c r="K575" s="46"/>
      <c r="L575" s="46"/>
      <c r="M575" s="47"/>
      <c r="N575" s="46"/>
      <c r="O575" s="57"/>
      <c r="P575" s="46"/>
      <c r="Q575" s="46"/>
      <c r="R575" s="57"/>
      <c r="S575" s="7"/>
      <c r="T575" s="54"/>
      <c r="U575" s="58"/>
      <c r="V575" s="47"/>
      <c r="W575" s="18"/>
      <c r="X575" s="46"/>
      <c r="Y575" s="46"/>
      <c r="Z575" s="46"/>
      <c r="AA575" s="7"/>
      <c r="AB575" s="46"/>
      <c r="AC575" s="46"/>
      <c r="AD575" s="47"/>
      <c r="AE575" s="47"/>
      <c r="AF575" s="7"/>
      <c r="AG575" s="7"/>
      <c r="AH575" s="47"/>
      <c r="AI575" s="47"/>
      <c r="AJ575" s="18"/>
      <c r="AK575" s="26"/>
      <c r="AL575" s="34"/>
      <c r="AM575" s="34"/>
      <c r="AN575" s="18"/>
      <c r="AO575" s="18"/>
      <c r="AP575" s="18"/>
      <c r="AQ575" s="18"/>
      <c r="AR575" s="47"/>
      <c r="AS575" s="47"/>
    </row>
    <row r="576">
      <c r="A576" s="51"/>
      <c r="B576" s="51"/>
      <c r="C576" s="52"/>
      <c r="D576" s="51"/>
      <c r="E576" s="53"/>
      <c r="F576" s="54"/>
      <c r="G576" s="54"/>
      <c r="H576" s="51"/>
      <c r="I576" s="55"/>
      <c r="J576" s="56"/>
      <c r="K576" s="46"/>
      <c r="L576" s="46"/>
      <c r="M576" s="47"/>
      <c r="N576" s="46"/>
      <c r="O576" s="57"/>
      <c r="P576" s="46"/>
      <c r="Q576" s="46"/>
      <c r="R576" s="57"/>
      <c r="S576" s="7"/>
      <c r="T576" s="54"/>
      <c r="U576" s="58"/>
      <c r="V576" s="47"/>
      <c r="W576" s="18"/>
      <c r="X576" s="46"/>
      <c r="Y576" s="46"/>
      <c r="Z576" s="46"/>
      <c r="AA576" s="7"/>
      <c r="AB576" s="46"/>
      <c r="AC576" s="46"/>
      <c r="AD576" s="47"/>
      <c r="AE576" s="47"/>
      <c r="AF576" s="7"/>
      <c r="AG576" s="7"/>
      <c r="AH576" s="47"/>
      <c r="AI576" s="47"/>
      <c r="AJ576" s="18"/>
      <c r="AK576" s="26"/>
      <c r="AL576" s="34"/>
      <c r="AM576" s="34"/>
      <c r="AN576" s="18"/>
      <c r="AO576" s="18"/>
      <c r="AP576" s="18"/>
      <c r="AQ576" s="18"/>
      <c r="AR576" s="47"/>
      <c r="AS576" s="47"/>
    </row>
    <row r="577">
      <c r="A577" s="51"/>
      <c r="B577" s="51"/>
      <c r="C577" s="52"/>
      <c r="D577" s="51"/>
      <c r="E577" s="53"/>
      <c r="F577" s="54"/>
      <c r="G577" s="54"/>
      <c r="H577" s="51"/>
      <c r="I577" s="55"/>
      <c r="J577" s="56"/>
      <c r="K577" s="46"/>
      <c r="L577" s="46"/>
      <c r="M577" s="47"/>
      <c r="N577" s="46"/>
      <c r="O577" s="57"/>
      <c r="P577" s="46"/>
      <c r="Q577" s="46"/>
      <c r="R577" s="57"/>
      <c r="S577" s="7"/>
      <c r="T577" s="54"/>
      <c r="U577" s="58"/>
      <c r="V577" s="47"/>
      <c r="W577" s="18"/>
      <c r="X577" s="46"/>
      <c r="Y577" s="46"/>
      <c r="Z577" s="46"/>
      <c r="AA577" s="7"/>
      <c r="AB577" s="46"/>
      <c r="AC577" s="46"/>
      <c r="AD577" s="47"/>
      <c r="AE577" s="47"/>
      <c r="AF577" s="7"/>
      <c r="AG577" s="7"/>
      <c r="AH577" s="47"/>
      <c r="AI577" s="47"/>
      <c r="AJ577" s="18"/>
      <c r="AK577" s="26"/>
      <c r="AL577" s="34"/>
      <c r="AM577" s="34"/>
      <c r="AN577" s="18"/>
      <c r="AO577" s="18"/>
      <c r="AP577" s="18"/>
      <c r="AQ577" s="18"/>
      <c r="AR577" s="47"/>
      <c r="AS577" s="47"/>
    </row>
    <row r="578">
      <c r="A578" s="51"/>
      <c r="B578" s="51"/>
      <c r="C578" s="52"/>
      <c r="D578" s="51"/>
      <c r="E578" s="53"/>
      <c r="F578" s="54"/>
      <c r="G578" s="54"/>
      <c r="H578" s="51"/>
      <c r="I578" s="55"/>
      <c r="J578" s="56"/>
      <c r="K578" s="46"/>
      <c r="L578" s="46"/>
      <c r="M578" s="47"/>
      <c r="N578" s="46"/>
      <c r="O578" s="57"/>
      <c r="P578" s="46"/>
      <c r="Q578" s="46"/>
      <c r="R578" s="57"/>
      <c r="S578" s="7"/>
      <c r="T578" s="54"/>
      <c r="U578" s="58"/>
      <c r="V578" s="47"/>
      <c r="W578" s="18"/>
      <c r="X578" s="46"/>
      <c r="Y578" s="46"/>
      <c r="Z578" s="46"/>
      <c r="AA578" s="7"/>
      <c r="AB578" s="46"/>
      <c r="AC578" s="46"/>
      <c r="AD578" s="47"/>
      <c r="AE578" s="47"/>
      <c r="AF578" s="7"/>
      <c r="AG578" s="7"/>
      <c r="AH578" s="47"/>
      <c r="AI578" s="47"/>
      <c r="AJ578" s="18"/>
      <c r="AK578" s="26"/>
      <c r="AL578" s="34"/>
      <c r="AM578" s="34"/>
      <c r="AN578" s="18"/>
      <c r="AO578" s="18"/>
      <c r="AP578" s="18"/>
      <c r="AQ578" s="18"/>
      <c r="AR578" s="47"/>
      <c r="AS578" s="47"/>
    </row>
    <row r="579">
      <c r="A579" s="51"/>
      <c r="B579" s="51"/>
      <c r="C579" s="52"/>
      <c r="D579" s="51"/>
      <c r="E579" s="53"/>
      <c r="F579" s="54"/>
      <c r="G579" s="54"/>
      <c r="H579" s="51"/>
      <c r="I579" s="55"/>
      <c r="J579" s="56"/>
      <c r="K579" s="46"/>
      <c r="L579" s="46"/>
      <c r="M579" s="47"/>
      <c r="N579" s="46"/>
      <c r="O579" s="57"/>
      <c r="P579" s="46"/>
      <c r="Q579" s="46"/>
      <c r="R579" s="57"/>
      <c r="S579" s="7"/>
      <c r="T579" s="54"/>
      <c r="U579" s="58"/>
      <c r="V579" s="47"/>
      <c r="W579" s="18"/>
      <c r="X579" s="46"/>
      <c r="Y579" s="46"/>
      <c r="Z579" s="46"/>
      <c r="AA579" s="7"/>
      <c r="AB579" s="46"/>
      <c r="AC579" s="46"/>
      <c r="AD579" s="47"/>
      <c r="AE579" s="47"/>
      <c r="AF579" s="7"/>
      <c r="AG579" s="7"/>
      <c r="AH579" s="47"/>
      <c r="AI579" s="47"/>
      <c r="AJ579" s="18"/>
      <c r="AK579" s="26"/>
      <c r="AL579" s="34"/>
      <c r="AM579" s="34"/>
      <c r="AN579" s="18"/>
      <c r="AO579" s="18"/>
      <c r="AP579" s="18"/>
      <c r="AQ579" s="18"/>
      <c r="AR579" s="47"/>
      <c r="AS579" s="47"/>
    </row>
    <row r="580">
      <c r="A580" s="51"/>
      <c r="B580" s="51"/>
      <c r="C580" s="52"/>
      <c r="D580" s="51"/>
      <c r="E580" s="53"/>
      <c r="F580" s="54"/>
      <c r="G580" s="54"/>
      <c r="H580" s="51"/>
      <c r="I580" s="55"/>
      <c r="J580" s="56"/>
      <c r="K580" s="46"/>
      <c r="L580" s="46"/>
      <c r="M580" s="47"/>
      <c r="N580" s="46"/>
      <c r="O580" s="57"/>
      <c r="P580" s="46"/>
      <c r="Q580" s="46"/>
      <c r="R580" s="57"/>
      <c r="S580" s="7"/>
      <c r="T580" s="54"/>
      <c r="U580" s="58"/>
      <c r="V580" s="47"/>
      <c r="W580" s="18"/>
      <c r="X580" s="46"/>
      <c r="Y580" s="46"/>
      <c r="Z580" s="46"/>
      <c r="AA580" s="7"/>
      <c r="AB580" s="46"/>
      <c r="AC580" s="46"/>
      <c r="AD580" s="47"/>
      <c r="AE580" s="47"/>
      <c r="AF580" s="7"/>
      <c r="AG580" s="7"/>
      <c r="AH580" s="47"/>
      <c r="AI580" s="47"/>
      <c r="AJ580" s="18"/>
      <c r="AK580" s="26"/>
      <c r="AL580" s="34"/>
      <c r="AM580" s="34"/>
      <c r="AN580" s="18"/>
      <c r="AO580" s="18"/>
      <c r="AP580" s="18"/>
      <c r="AQ580" s="18"/>
      <c r="AR580" s="47"/>
      <c r="AS580" s="47"/>
    </row>
    <row r="581">
      <c r="A581" s="51"/>
      <c r="B581" s="51"/>
      <c r="C581" s="52"/>
      <c r="D581" s="51"/>
      <c r="E581" s="53"/>
      <c r="F581" s="54"/>
      <c r="G581" s="54"/>
      <c r="H581" s="51"/>
      <c r="I581" s="55"/>
      <c r="J581" s="56"/>
      <c r="K581" s="46"/>
      <c r="L581" s="46"/>
      <c r="M581" s="47"/>
      <c r="N581" s="46"/>
      <c r="O581" s="57"/>
      <c r="P581" s="46"/>
      <c r="Q581" s="46"/>
      <c r="R581" s="57"/>
      <c r="S581" s="7"/>
      <c r="T581" s="54"/>
      <c r="U581" s="58"/>
      <c r="V581" s="47"/>
      <c r="W581" s="18"/>
      <c r="X581" s="46"/>
      <c r="Y581" s="46"/>
      <c r="Z581" s="46"/>
      <c r="AA581" s="7"/>
      <c r="AB581" s="46"/>
      <c r="AC581" s="46"/>
      <c r="AD581" s="47"/>
      <c r="AE581" s="47"/>
      <c r="AF581" s="7"/>
      <c r="AG581" s="7"/>
      <c r="AH581" s="47"/>
      <c r="AI581" s="47"/>
      <c r="AJ581" s="18"/>
      <c r="AK581" s="26"/>
      <c r="AL581" s="34"/>
      <c r="AM581" s="34"/>
      <c r="AN581" s="18"/>
      <c r="AO581" s="18"/>
      <c r="AP581" s="18"/>
      <c r="AQ581" s="18"/>
      <c r="AR581" s="47"/>
      <c r="AS581" s="47"/>
    </row>
    <row r="582">
      <c r="A582" s="51"/>
      <c r="B582" s="51"/>
      <c r="C582" s="52"/>
      <c r="D582" s="51"/>
      <c r="E582" s="53"/>
      <c r="F582" s="54"/>
      <c r="G582" s="54"/>
      <c r="H582" s="51"/>
      <c r="I582" s="55"/>
      <c r="J582" s="56"/>
      <c r="K582" s="46"/>
      <c r="L582" s="46"/>
      <c r="M582" s="47"/>
      <c r="N582" s="46"/>
      <c r="O582" s="57"/>
      <c r="P582" s="46"/>
      <c r="Q582" s="46"/>
      <c r="R582" s="57"/>
      <c r="S582" s="7"/>
      <c r="T582" s="54"/>
      <c r="U582" s="58"/>
      <c r="V582" s="47"/>
      <c r="W582" s="18"/>
      <c r="X582" s="46"/>
      <c r="Y582" s="46"/>
      <c r="Z582" s="46"/>
      <c r="AA582" s="7"/>
      <c r="AB582" s="46"/>
      <c r="AC582" s="46"/>
      <c r="AD582" s="47"/>
      <c r="AE582" s="47"/>
      <c r="AF582" s="7"/>
      <c r="AG582" s="7"/>
      <c r="AH582" s="47"/>
      <c r="AI582" s="47"/>
      <c r="AJ582" s="18"/>
      <c r="AK582" s="26"/>
      <c r="AL582" s="34"/>
      <c r="AM582" s="34"/>
      <c r="AN582" s="18"/>
      <c r="AO582" s="18"/>
      <c r="AP582" s="18"/>
      <c r="AQ582" s="18"/>
      <c r="AR582" s="47"/>
      <c r="AS582" s="47"/>
    </row>
    <row r="583">
      <c r="A583" s="51"/>
      <c r="B583" s="51"/>
      <c r="C583" s="52"/>
      <c r="D583" s="51"/>
      <c r="E583" s="53"/>
      <c r="F583" s="54"/>
      <c r="G583" s="54"/>
      <c r="H583" s="51"/>
      <c r="I583" s="55"/>
      <c r="J583" s="56"/>
      <c r="K583" s="46"/>
      <c r="L583" s="46"/>
      <c r="M583" s="47"/>
      <c r="N583" s="46"/>
      <c r="O583" s="57"/>
      <c r="P583" s="46"/>
      <c r="Q583" s="46"/>
      <c r="R583" s="57"/>
      <c r="S583" s="7"/>
      <c r="T583" s="54"/>
      <c r="U583" s="58"/>
      <c r="V583" s="47"/>
      <c r="W583" s="18"/>
      <c r="X583" s="46"/>
      <c r="Y583" s="46"/>
      <c r="Z583" s="46"/>
      <c r="AA583" s="7"/>
      <c r="AB583" s="46"/>
      <c r="AC583" s="46"/>
      <c r="AD583" s="47"/>
      <c r="AE583" s="47"/>
      <c r="AF583" s="7"/>
      <c r="AG583" s="7"/>
      <c r="AH583" s="47"/>
      <c r="AI583" s="47"/>
      <c r="AJ583" s="18"/>
      <c r="AK583" s="26"/>
      <c r="AL583" s="34"/>
      <c r="AM583" s="34"/>
      <c r="AN583" s="18"/>
      <c r="AO583" s="18"/>
      <c r="AP583" s="18"/>
      <c r="AQ583" s="18"/>
      <c r="AR583" s="47"/>
      <c r="AS583" s="47"/>
    </row>
    <row r="584">
      <c r="A584" s="51"/>
      <c r="B584" s="51"/>
      <c r="C584" s="52"/>
      <c r="D584" s="51"/>
      <c r="E584" s="53"/>
      <c r="F584" s="54"/>
      <c r="G584" s="54"/>
      <c r="H584" s="51"/>
      <c r="I584" s="55"/>
      <c r="J584" s="56"/>
      <c r="K584" s="46"/>
      <c r="L584" s="46"/>
      <c r="M584" s="47"/>
      <c r="N584" s="46"/>
      <c r="O584" s="57"/>
      <c r="P584" s="46"/>
      <c r="Q584" s="46"/>
      <c r="R584" s="57"/>
      <c r="S584" s="7"/>
      <c r="T584" s="54"/>
      <c r="U584" s="58"/>
      <c r="V584" s="47"/>
      <c r="W584" s="18"/>
      <c r="X584" s="46"/>
      <c r="Y584" s="46"/>
      <c r="Z584" s="46"/>
      <c r="AA584" s="7"/>
      <c r="AB584" s="46"/>
      <c r="AC584" s="46"/>
      <c r="AD584" s="47"/>
      <c r="AE584" s="47"/>
      <c r="AF584" s="7"/>
      <c r="AG584" s="7"/>
      <c r="AH584" s="47"/>
      <c r="AI584" s="47"/>
      <c r="AJ584" s="18"/>
      <c r="AK584" s="26"/>
      <c r="AL584" s="34"/>
      <c r="AM584" s="34"/>
      <c r="AN584" s="18"/>
      <c r="AO584" s="18"/>
      <c r="AP584" s="18"/>
      <c r="AQ584" s="18"/>
      <c r="AR584" s="47"/>
      <c r="AS584" s="47"/>
    </row>
    <row r="585">
      <c r="A585" s="51"/>
      <c r="B585" s="51"/>
      <c r="C585" s="52"/>
      <c r="D585" s="51"/>
      <c r="E585" s="53"/>
      <c r="F585" s="54"/>
      <c r="G585" s="54"/>
      <c r="H585" s="51"/>
      <c r="I585" s="55"/>
      <c r="J585" s="56"/>
      <c r="K585" s="46"/>
      <c r="L585" s="46"/>
      <c r="M585" s="47"/>
      <c r="N585" s="46"/>
      <c r="O585" s="57"/>
      <c r="P585" s="46"/>
      <c r="Q585" s="46"/>
      <c r="R585" s="57"/>
      <c r="S585" s="7"/>
      <c r="T585" s="54"/>
      <c r="U585" s="58"/>
      <c r="V585" s="47"/>
      <c r="W585" s="18"/>
      <c r="X585" s="46"/>
      <c r="Y585" s="46"/>
      <c r="Z585" s="46"/>
      <c r="AA585" s="7"/>
      <c r="AB585" s="46"/>
      <c r="AC585" s="46"/>
      <c r="AD585" s="47"/>
      <c r="AE585" s="47"/>
      <c r="AF585" s="7"/>
      <c r="AG585" s="7"/>
      <c r="AH585" s="47"/>
      <c r="AI585" s="47"/>
      <c r="AJ585" s="18"/>
      <c r="AK585" s="26"/>
      <c r="AL585" s="34"/>
      <c r="AM585" s="34"/>
      <c r="AN585" s="18"/>
      <c r="AO585" s="18"/>
      <c r="AP585" s="18"/>
      <c r="AQ585" s="18"/>
      <c r="AR585" s="47"/>
      <c r="AS585" s="47"/>
    </row>
    <row r="586">
      <c r="A586" s="51"/>
      <c r="B586" s="51"/>
      <c r="C586" s="52"/>
      <c r="D586" s="51"/>
      <c r="E586" s="53"/>
      <c r="F586" s="54"/>
      <c r="G586" s="54"/>
      <c r="H586" s="51"/>
      <c r="I586" s="55"/>
      <c r="J586" s="56"/>
      <c r="K586" s="46"/>
      <c r="L586" s="46"/>
      <c r="M586" s="47"/>
      <c r="N586" s="46"/>
      <c r="O586" s="57"/>
      <c r="P586" s="46"/>
      <c r="Q586" s="46"/>
      <c r="R586" s="57"/>
      <c r="S586" s="7"/>
      <c r="T586" s="54"/>
      <c r="U586" s="58"/>
      <c r="V586" s="47"/>
      <c r="W586" s="18"/>
      <c r="X586" s="46"/>
      <c r="Y586" s="46"/>
      <c r="Z586" s="46"/>
      <c r="AA586" s="7"/>
      <c r="AB586" s="46"/>
      <c r="AC586" s="46"/>
      <c r="AD586" s="47"/>
      <c r="AE586" s="47"/>
      <c r="AF586" s="7"/>
      <c r="AG586" s="7"/>
      <c r="AH586" s="47"/>
      <c r="AI586" s="47"/>
      <c r="AJ586" s="18"/>
      <c r="AK586" s="26"/>
      <c r="AL586" s="34"/>
      <c r="AM586" s="34"/>
      <c r="AN586" s="18"/>
      <c r="AO586" s="18"/>
      <c r="AP586" s="18"/>
      <c r="AQ586" s="18"/>
      <c r="AR586" s="47"/>
      <c r="AS586" s="47"/>
    </row>
    <row r="587">
      <c r="A587" s="51"/>
      <c r="B587" s="51"/>
      <c r="C587" s="52"/>
      <c r="D587" s="51"/>
      <c r="E587" s="53"/>
      <c r="F587" s="54"/>
      <c r="G587" s="54"/>
      <c r="H587" s="51"/>
      <c r="I587" s="55"/>
      <c r="J587" s="56"/>
      <c r="K587" s="46"/>
      <c r="L587" s="46"/>
      <c r="M587" s="47"/>
      <c r="N587" s="46"/>
      <c r="O587" s="57"/>
      <c r="P587" s="46"/>
      <c r="Q587" s="46"/>
      <c r="R587" s="57"/>
      <c r="S587" s="7"/>
      <c r="T587" s="54"/>
      <c r="U587" s="58"/>
      <c r="V587" s="47"/>
      <c r="W587" s="18"/>
      <c r="X587" s="46"/>
      <c r="Y587" s="46"/>
      <c r="Z587" s="46"/>
      <c r="AA587" s="7"/>
      <c r="AB587" s="46"/>
      <c r="AC587" s="46"/>
      <c r="AD587" s="47"/>
      <c r="AE587" s="47"/>
      <c r="AF587" s="7"/>
      <c r="AG587" s="7"/>
      <c r="AH587" s="47"/>
      <c r="AI587" s="47"/>
      <c r="AJ587" s="18"/>
      <c r="AK587" s="26"/>
      <c r="AL587" s="34"/>
      <c r="AM587" s="34"/>
      <c r="AN587" s="18"/>
      <c r="AO587" s="18"/>
      <c r="AP587" s="18"/>
      <c r="AQ587" s="18"/>
      <c r="AR587" s="47"/>
      <c r="AS587" s="47"/>
    </row>
    <row r="588">
      <c r="A588" s="51"/>
      <c r="B588" s="51"/>
      <c r="C588" s="52"/>
      <c r="D588" s="51"/>
      <c r="E588" s="53"/>
      <c r="F588" s="54"/>
      <c r="G588" s="54"/>
      <c r="H588" s="51"/>
      <c r="I588" s="55"/>
      <c r="J588" s="56"/>
      <c r="K588" s="46"/>
      <c r="L588" s="46"/>
      <c r="M588" s="47"/>
      <c r="N588" s="46"/>
      <c r="O588" s="57"/>
      <c r="P588" s="46"/>
      <c r="Q588" s="46"/>
      <c r="R588" s="57"/>
      <c r="S588" s="7"/>
      <c r="T588" s="54"/>
      <c r="U588" s="58"/>
      <c r="V588" s="47"/>
      <c r="W588" s="18"/>
      <c r="X588" s="46"/>
      <c r="Y588" s="46"/>
      <c r="Z588" s="46"/>
      <c r="AA588" s="7"/>
      <c r="AB588" s="46"/>
      <c r="AC588" s="46"/>
      <c r="AD588" s="47"/>
      <c r="AE588" s="47"/>
      <c r="AF588" s="7"/>
      <c r="AG588" s="7"/>
      <c r="AH588" s="47"/>
      <c r="AI588" s="47"/>
      <c r="AJ588" s="18"/>
      <c r="AK588" s="26"/>
      <c r="AL588" s="34"/>
      <c r="AM588" s="34"/>
      <c r="AN588" s="18"/>
      <c r="AO588" s="18"/>
      <c r="AP588" s="18"/>
      <c r="AQ588" s="18"/>
      <c r="AR588" s="47"/>
      <c r="AS588" s="47"/>
    </row>
    <row r="589">
      <c r="A589" s="51"/>
      <c r="B589" s="51"/>
      <c r="C589" s="52"/>
      <c r="D589" s="51"/>
      <c r="E589" s="53"/>
      <c r="F589" s="54"/>
      <c r="G589" s="54"/>
      <c r="H589" s="51"/>
      <c r="I589" s="55"/>
      <c r="J589" s="56"/>
      <c r="K589" s="46"/>
      <c r="L589" s="46"/>
      <c r="M589" s="47"/>
      <c r="N589" s="46"/>
      <c r="O589" s="57"/>
      <c r="P589" s="46"/>
      <c r="Q589" s="46"/>
      <c r="R589" s="57"/>
      <c r="S589" s="7"/>
      <c r="T589" s="54"/>
      <c r="U589" s="58"/>
      <c r="V589" s="47"/>
      <c r="W589" s="18"/>
      <c r="X589" s="46"/>
      <c r="Y589" s="46"/>
      <c r="Z589" s="46"/>
      <c r="AA589" s="7"/>
      <c r="AB589" s="46"/>
      <c r="AC589" s="46"/>
      <c r="AD589" s="47"/>
      <c r="AE589" s="47"/>
      <c r="AF589" s="7"/>
      <c r="AG589" s="7"/>
      <c r="AH589" s="47"/>
      <c r="AI589" s="47"/>
      <c r="AJ589" s="18"/>
      <c r="AK589" s="26"/>
      <c r="AL589" s="34"/>
      <c r="AM589" s="34"/>
      <c r="AN589" s="18"/>
      <c r="AO589" s="18"/>
      <c r="AP589" s="18"/>
      <c r="AQ589" s="18"/>
      <c r="AR589" s="47"/>
      <c r="AS589" s="47"/>
    </row>
    <row r="590">
      <c r="A590" s="51"/>
      <c r="B590" s="51"/>
      <c r="C590" s="52"/>
      <c r="D590" s="51"/>
      <c r="E590" s="53"/>
      <c r="F590" s="54"/>
      <c r="G590" s="54"/>
      <c r="H590" s="51"/>
      <c r="I590" s="55"/>
      <c r="J590" s="56"/>
      <c r="K590" s="46"/>
      <c r="L590" s="46"/>
      <c r="M590" s="47"/>
      <c r="N590" s="46"/>
      <c r="O590" s="57"/>
      <c r="P590" s="46"/>
      <c r="Q590" s="46"/>
      <c r="R590" s="57"/>
      <c r="S590" s="7"/>
      <c r="T590" s="54"/>
      <c r="U590" s="58"/>
      <c r="V590" s="47"/>
      <c r="W590" s="18"/>
      <c r="X590" s="46"/>
      <c r="Y590" s="46"/>
      <c r="Z590" s="46"/>
      <c r="AA590" s="7"/>
      <c r="AB590" s="46"/>
      <c r="AC590" s="46"/>
      <c r="AD590" s="47"/>
      <c r="AE590" s="47"/>
      <c r="AF590" s="7"/>
      <c r="AG590" s="7"/>
      <c r="AH590" s="47"/>
      <c r="AI590" s="47"/>
      <c r="AJ590" s="18"/>
      <c r="AK590" s="26"/>
      <c r="AL590" s="34"/>
      <c r="AM590" s="34"/>
      <c r="AN590" s="18"/>
      <c r="AO590" s="18"/>
      <c r="AP590" s="18"/>
      <c r="AQ590" s="18"/>
      <c r="AR590" s="47"/>
      <c r="AS590" s="47"/>
    </row>
    <row r="591">
      <c r="A591" s="51"/>
      <c r="B591" s="51"/>
      <c r="C591" s="52"/>
      <c r="D591" s="51"/>
      <c r="E591" s="53"/>
      <c r="F591" s="54"/>
      <c r="G591" s="54"/>
      <c r="H591" s="51"/>
      <c r="I591" s="55"/>
      <c r="J591" s="56"/>
      <c r="K591" s="46"/>
      <c r="L591" s="46"/>
      <c r="M591" s="47"/>
      <c r="N591" s="46"/>
      <c r="O591" s="57"/>
      <c r="P591" s="46"/>
      <c r="Q591" s="46"/>
      <c r="R591" s="57"/>
      <c r="S591" s="7"/>
      <c r="T591" s="54"/>
      <c r="U591" s="58"/>
      <c r="V591" s="47"/>
      <c r="W591" s="18"/>
      <c r="X591" s="46"/>
      <c r="Y591" s="46"/>
      <c r="Z591" s="46"/>
      <c r="AA591" s="7"/>
      <c r="AB591" s="46"/>
      <c r="AC591" s="46"/>
      <c r="AD591" s="47"/>
      <c r="AE591" s="47"/>
      <c r="AF591" s="7"/>
      <c r="AG591" s="7"/>
      <c r="AH591" s="47"/>
      <c r="AI591" s="47"/>
      <c r="AJ591" s="18"/>
      <c r="AK591" s="26"/>
      <c r="AL591" s="34"/>
      <c r="AM591" s="34"/>
      <c r="AN591" s="18"/>
      <c r="AO591" s="18"/>
      <c r="AP591" s="18"/>
      <c r="AQ591" s="18"/>
      <c r="AR591" s="47"/>
      <c r="AS591" s="47"/>
    </row>
    <row r="592">
      <c r="A592" s="51"/>
      <c r="B592" s="51"/>
      <c r="C592" s="52"/>
      <c r="D592" s="51"/>
      <c r="E592" s="53"/>
      <c r="F592" s="54"/>
      <c r="G592" s="54"/>
      <c r="H592" s="51"/>
      <c r="I592" s="55"/>
      <c r="J592" s="56"/>
      <c r="K592" s="46"/>
      <c r="L592" s="46"/>
      <c r="M592" s="47"/>
      <c r="N592" s="46"/>
      <c r="O592" s="57"/>
      <c r="P592" s="46"/>
      <c r="Q592" s="46"/>
      <c r="R592" s="57"/>
      <c r="S592" s="7"/>
      <c r="T592" s="54"/>
      <c r="U592" s="58"/>
      <c r="V592" s="47"/>
      <c r="W592" s="18"/>
      <c r="X592" s="46"/>
      <c r="Y592" s="46"/>
      <c r="Z592" s="46"/>
      <c r="AA592" s="7"/>
      <c r="AB592" s="46"/>
      <c r="AC592" s="46"/>
      <c r="AD592" s="47"/>
      <c r="AE592" s="47"/>
      <c r="AF592" s="7"/>
      <c r="AG592" s="7"/>
      <c r="AH592" s="47"/>
      <c r="AI592" s="47"/>
      <c r="AJ592" s="18"/>
      <c r="AK592" s="26"/>
      <c r="AL592" s="34"/>
      <c r="AM592" s="34"/>
      <c r="AN592" s="18"/>
      <c r="AO592" s="18"/>
      <c r="AP592" s="18"/>
      <c r="AQ592" s="18"/>
      <c r="AR592" s="47"/>
      <c r="AS592" s="47"/>
    </row>
    <row r="593">
      <c r="A593" s="51"/>
      <c r="B593" s="51"/>
      <c r="C593" s="52"/>
      <c r="D593" s="51"/>
      <c r="E593" s="53"/>
      <c r="F593" s="54"/>
      <c r="G593" s="54"/>
      <c r="H593" s="51"/>
      <c r="I593" s="55"/>
      <c r="J593" s="56"/>
      <c r="K593" s="46"/>
      <c r="L593" s="46"/>
      <c r="M593" s="47"/>
      <c r="N593" s="46"/>
      <c r="O593" s="57"/>
      <c r="P593" s="46"/>
      <c r="Q593" s="46"/>
      <c r="R593" s="57"/>
      <c r="S593" s="7"/>
      <c r="T593" s="54"/>
      <c r="U593" s="58"/>
      <c r="V593" s="47"/>
      <c r="W593" s="18"/>
      <c r="X593" s="46"/>
      <c r="Y593" s="46"/>
      <c r="Z593" s="46"/>
      <c r="AA593" s="7"/>
      <c r="AB593" s="46"/>
      <c r="AC593" s="46"/>
      <c r="AD593" s="47"/>
      <c r="AE593" s="47"/>
      <c r="AF593" s="7"/>
      <c r="AG593" s="7"/>
      <c r="AH593" s="47"/>
      <c r="AI593" s="47"/>
      <c r="AJ593" s="18"/>
      <c r="AK593" s="26"/>
      <c r="AL593" s="34"/>
      <c r="AM593" s="34"/>
      <c r="AN593" s="18"/>
      <c r="AO593" s="18"/>
      <c r="AP593" s="18"/>
      <c r="AQ593" s="18"/>
      <c r="AR593" s="47"/>
      <c r="AS593" s="47"/>
    </row>
    <row r="594">
      <c r="A594" s="51"/>
      <c r="B594" s="51"/>
      <c r="C594" s="52"/>
      <c r="D594" s="51"/>
      <c r="E594" s="53"/>
      <c r="F594" s="54"/>
      <c r="G594" s="54"/>
      <c r="H594" s="51"/>
      <c r="I594" s="55"/>
      <c r="J594" s="56"/>
      <c r="K594" s="46"/>
      <c r="L594" s="46"/>
      <c r="M594" s="47"/>
      <c r="N594" s="46"/>
      <c r="O594" s="57"/>
      <c r="P594" s="46"/>
      <c r="Q594" s="46"/>
      <c r="R594" s="57"/>
      <c r="S594" s="7"/>
      <c r="T594" s="54"/>
      <c r="U594" s="58"/>
      <c r="V594" s="47"/>
      <c r="W594" s="18"/>
      <c r="X594" s="46"/>
      <c r="Y594" s="46"/>
      <c r="Z594" s="46"/>
      <c r="AA594" s="7"/>
      <c r="AB594" s="46"/>
      <c r="AC594" s="46"/>
      <c r="AD594" s="47"/>
      <c r="AE594" s="47"/>
      <c r="AF594" s="7"/>
      <c r="AG594" s="7"/>
      <c r="AH594" s="47"/>
      <c r="AI594" s="47"/>
      <c r="AJ594" s="18"/>
      <c r="AK594" s="26"/>
      <c r="AL594" s="34"/>
      <c r="AM594" s="34"/>
      <c r="AN594" s="18"/>
      <c r="AO594" s="18"/>
      <c r="AP594" s="18"/>
      <c r="AQ594" s="18"/>
      <c r="AR594" s="47"/>
      <c r="AS594" s="47"/>
    </row>
    <row r="595">
      <c r="A595" s="51"/>
      <c r="B595" s="51"/>
      <c r="C595" s="52"/>
      <c r="D595" s="51"/>
      <c r="E595" s="53"/>
      <c r="F595" s="54"/>
      <c r="G595" s="54"/>
      <c r="H595" s="51"/>
      <c r="I595" s="55"/>
      <c r="J595" s="56"/>
      <c r="K595" s="46"/>
      <c r="L595" s="46"/>
      <c r="M595" s="47"/>
      <c r="N595" s="46"/>
      <c r="O595" s="57"/>
      <c r="P595" s="46"/>
      <c r="Q595" s="46"/>
      <c r="R595" s="57"/>
      <c r="S595" s="7"/>
      <c r="T595" s="54"/>
      <c r="U595" s="58"/>
      <c r="V595" s="47"/>
      <c r="W595" s="18"/>
      <c r="X595" s="46"/>
      <c r="Y595" s="46"/>
      <c r="Z595" s="46"/>
      <c r="AA595" s="7"/>
      <c r="AB595" s="46"/>
      <c r="AC595" s="46"/>
      <c r="AD595" s="47"/>
      <c r="AE595" s="47"/>
      <c r="AF595" s="7"/>
      <c r="AG595" s="7"/>
      <c r="AH595" s="47"/>
      <c r="AI595" s="47"/>
      <c r="AJ595" s="18"/>
      <c r="AK595" s="26"/>
      <c r="AL595" s="34"/>
      <c r="AM595" s="34"/>
      <c r="AN595" s="18"/>
      <c r="AO595" s="18"/>
      <c r="AP595" s="18"/>
      <c r="AQ595" s="18"/>
      <c r="AR595" s="47"/>
      <c r="AS595" s="47"/>
    </row>
    <row r="596">
      <c r="A596" s="51"/>
      <c r="B596" s="51"/>
      <c r="C596" s="52"/>
      <c r="D596" s="51"/>
      <c r="E596" s="53"/>
      <c r="F596" s="54"/>
      <c r="G596" s="54"/>
      <c r="H596" s="51"/>
      <c r="I596" s="55"/>
      <c r="J596" s="56"/>
      <c r="K596" s="46"/>
      <c r="L596" s="46"/>
      <c r="M596" s="47"/>
      <c r="N596" s="46"/>
      <c r="O596" s="57"/>
      <c r="P596" s="46"/>
      <c r="Q596" s="46"/>
      <c r="R596" s="57"/>
      <c r="S596" s="7"/>
      <c r="T596" s="54"/>
      <c r="U596" s="58"/>
      <c r="V596" s="47"/>
      <c r="W596" s="18"/>
      <c r="X596" s="46"/>
      <c r="Y596" s="46"/>
      <c r="Z596" s="46"/>
      <c r="AA596" s="7"/>
      <c r="AB596" s="46"/>
      <c r="AC596" s="46"/>
      <c r="AD596" s="47"/>
      <c r="AE596" s="47"/>
      <c r="AF596" s="7"/>
      <c r="AG596" s="7"/>
      <c r="AH596" s="47"/>
      <c r="AI596" s="47"/>
      <c r="AJ596" s="18"/>
      <c r="AK596" s="26"/>
      <c r="AL596" s="34"/>
      <c r="AM596" s="34"/>
      <c r="AN596" s="18"/>
      <c r="AO596" s="18"/>
      <c r="AP596" s="18"/>
      <c r="AQ596" s="18"/>
      <c r="AR596" s="47"/>
      <c r="AS596" s="47"/>
    </row>
    <row r="597">
      <c r="A597" s="51"/>
      <c r="B597" s="51"/>
      <c r="C597" s="52"/>
      <c r="D597" s="51"/>
      <c r="E597" s="53"/>
      <c r="F597" s="54"/>
      <c r="G597" s="54"/>
      <c r="H597" s="51"/>
      <c r="I597" s="55"/>
      <c r="J597" s="56"/>
      <c r="K597" s="46"/>
      <c r="L597" s="46"/>
      <c r="M597" s="47"/>
      <c r="N597" s="46"/>
      <c r="O597" s="57"/>
      <c r="P597" s="46"/>
      <c r="Q597" s="46"/>
      <c r="R597" s="57"/>
      <c r="S597" s="7"/>
      <c r="T597" s="54"/>
      <c r="U597" s="58"/>
      <c r="V597" s="47"/>
      <c r="W597" s="18"/>
      <c r="X597" s="46"/>
      <c r="Y597" s="46"/>
      <c r="Z597" s="46"/>
      <c r="AA597" s="7"/>
      <c r="AB597" s="46"/>
      <c r="AC597" s="46"/>
      <c r="AD597" s="47"/>
      <c r="AE597" s="47"/>
      <c r="AF597" s="7"/>
      <c r="AG597" s="7"/>
      <c r="AH597" s="47"/>
      <c r="AI597" s="47"/>
      <c r="AJ597" s="18"/>
      <c r="AK597" s="26"/>
      <c r="AL597" s="34"/>
      <c r="AM597" s="34"/>
      <c r="AN597" s="18"/>
      <c r="AO597" s="18"/>
      <c r="AP597" s="18"/>
      <c r="AQ597" s="18"/>
      <c r="AR597" s="47"/>
      <c r="AS597" s="47"/>
    </row>
    <row r="598">
      <c r="A598" s="51"/>
      <c r="B598" s="51"/>
      <c r="C598" s="52"/>
      <c r="D598" s="51"/>
      <c r="E598" s="53"/>
      <c r="F598" s="54"/>
      <c r="G598" s="54"/>
      <c r="H598" s="51"/>
      <c r="I598" s="55"/>
      <c r="J598" s="56"/>
      <c r="K598" s="46"/>
      <c r="L598" s="46"/>
      <c r="M598" s="47"/>
      <c r="N598" s="46"/>
      <c r="O598" s="57"/>
      <c r="P598" s="46"/>
      <c r="Q598" s="46"/>
      <c r="R598" s="57"/>
      <c r="S598" s="7"/>
      <c r="T598" s="54"/>
      <c r="U598" s="58"/>
      <c r="V598" s="47"/>
      <c r="W598" s="18"/>
      <c r="X598" s="46"/>
      <c r="Y598" s="46"/>
      <c r="Z598" s="46"/>
      <c r="AA598" s="7"/>
      <c r="AB598" s="46"/>
      <c r="AC598" s="46"/>
      <c r="AD598" s="47"/>
      <c r="AE598" s="47"/>
      <c r="AF598" s="7"/>
      <c r="AG598" s="7"/>
      <c r="AH598" s="47"/>
      <c r="AI598" s="47"/>
      <c r="AJ598" s="18"/>
      <c r="AK598" s="26"/>
      <c r="AL598" s="34"/>
      <c r="AM598" s="34"/>
      <c r="AN598" s="18"/>
      <c r="AO598" s="18"/>
      <c r="AP598" s="18"/>
      <c r="AQ598" s="18"/>
      <c r="AR598" s="47"/>
      <c r="AS598" s="47"/>
    </row>
    <row r="599">
      <c r="A599" s="51"/>
      <c r="B599" s="51"/>
      <c r="C599" s="52"/>
      <c r="D599" s="51"/>
      <c r="E599" s="53"/>
      <c r="F599" s="54"/>
      <c r="G599" s="54"/>
      <c r="H599" s="51"/>
      <c r="I599" s="55"/>
      <c r="J599" s="56"/>
      <c r="K599" s="46"/>
      <c r="L599" s="46"/>
      <c r="M599" s="47"/>
      <c r="N599" s="46"/>
      <c r="O599" s="57"/>
      <c r="P599" s="46"/>
      <c r="Q599" s="46"/>
      <c r="R599" s="57"/>
      <c r="S599" s="7"/>
      <c r="T599" s="54"/>
      <c r="U599" s="58"/>
      <c r="V599" s="47"/>
      <c r="W599" s="18"/>
      <c r="X599" s="46"/>
      <c r="Y599" s="46"/>
      <c r="Z599" s="46"/>
      <c r="AA599" s="7"/>
      <c r="AB599" s="46"/>
      <c r="AC599" s="46"/>
      <c r="AD599" s="47"/>
      <c r="AE599" s="47"/>
      <c r="AF599" s="7"/>
      <c r="AG599" s="7"/>
      <c r="AH599" s="47"/>
      <c r="AI599" s="47"/>
      <c r="AJ599" s="18"/>
      <c r="AK599" s="26"/>
      <c r="AL599" s="34"/>
      <c r="AM599" s="34"/>
      <c r="AN599" s="18"/>
      <c r="AO599" s="18"/>
      <c r="AP599" s="18"/>
      <c r="AQ599" s="18"/>
      <c r="AR599" s="47"/>
      <c r="AS599" s="47"/>
    </row>
    <row r="600">
      <c r="A600" s="51"/>
      <c r="B600" s="51"/>
      <c r="C600" s="52"/>
      <c r="D600" s="51"/>
      <c r="E600" s="53"/>
      <c r="F600" s="54"/>
      <c r="G600" s="54"/>
      <c r="H600" s="51"/>
      <c r="I600" s="55"/>
      <c r="J600" s="56"/>
      <c r="K600" s="46"/>
      <c r="L600" s="46"/>
      <c r="M600" s="47"/>
      <c r="N600" s="46"/>
      <c r="O600" s="57"/>
      <c r="P600" s="46"/>
      <c r="Q600" s="46"/>
      <c r="R600" s="57"/>
      <c r="S600" s="7"/>
      <c r="T600" s="54"/>
      <c r="U600" s="58"/>
      <c r="V600" s="47"/>
      <c r="W600" s="18"/>
      <c r="X600" s="46"/>
      <c r="Y600" s="46"/>
      <c r="Z600" s="46"/>
      <c r="AA600" s="7"/>
      <c r="AB600" s="46"/>
      <c r="AC600" s="46"/>
      <c r="AD600" s="47"/>
      <c r="AE600" s="47"/>
      <c r="AF600" s="7"/>
      <c r="AG600" s="7"/>
      <c r="AH600" s="47"/>
      <c r="AI600" s="47"/>
      <c r="AJ600" s="18"/>
      <c r="AK600" s="26"/>
      <c r="AL600" s="34"/>
      <c r="AM600" s="34"/>
      <c r="AN600" s="18"/>
      <c r="AO600" s="18"/>
      <c r="AP600" s="18"/>
      <c r="AQ600" s="18"/>
      <c r="AR600" s="47"/>
      <c r="AS600" s="47"/>
    </row>
    <row r="601">
      <c r="A601" s="51"/>
      <c r="B601" s="51"/>
      <c r="C601" s="52"/>
      <c r="D601" s="51"/>
      <c r="E601" s="53"/>
      <c r="F601" s="54"/>
      <c r="G601" s="54"/>
      <c r="H601" s="51"/>
      <c r="I601" s="55"/>
      <c r="J601" s="56"/>
      <c r="K601" s="46"/>
      <c r="L601" s="46"/>
      <c r="M601" s="47"/>
      <c r="N601" s="46"/>
      <c r="O601" s="57"/>
      <c r="P601" s="46"/>
      <c r="Q601" s="46"/>
      <c r="R601" s="57"/>
      <c r="S601" s="7"/>
      <c r="T601" s="54"/>
      <c r="U601" s="58"/>
      <c r="V601" s="47"/>
      <c r="W601" s="18"/>
      <c r="X601" s="46"/>
      <c r="Y601" s="46"/>
      <c r="Z601" s="46"/>
      <c r="AA601" s="7"/>
      <c r="AB601" s="46"/>
      <c r="AC601" s="46"/>
      <c r="AD601" s="47"/>
      <c r="AE601" s="47"/>
      <c r="AF601" s="7"/>
      <c r="AG601" s="7"/>
      <c r="AH601" s="47"/>
      <c r="AI601" s="47"/>
      <c r="AJ601" s="18"/>
      <c r="AK601" s="26"/>
      <c r="AL601" s="34"/>
      <c r="AM601" s="34"/>
      <c r="AN601" s="18"/>
      <c r="AO601" s="18"/>
      <c r="AP601" s="18"/>
      <c r="AQ601" s="18"/>
      <c r="AR601" s="47"/>
      <c r="AS601" s="47"/>
    </row>
    <row r="602">
      <c r="A602" s="51"/>
      <c r="B602" s="51"/>
      <c r="C602" s="52"/>
      <c r="D602" s="51"/>
      <c r="E602" s="53"/>
      <c r="F602" s="54"/>
      <c r="G602" s="54"/>
      <c r="H602" s="51"/>
      <c r="I602" s="55"/>
      <c r="J602" s="56"/>
      <c r="K602" s="46"/>
      <c r="L602" s="46"/>
      <c r="M602" s="47"/>
      <c r="N602" s="46"/>
      <c r="O602" s="57"/>
      <c r="P602" s="46"/>
      <c r="Q602" s="46"/>
      <c r="R602" s="57"/>
      <c r="S602" s="7"/>
      <c r="T602" s="54"/>
      <c r="U602" s="58"/>
      <c r="V602" s="47"/>
      <c r="W602" s="18"/>
      <c r="X602" s="46"/>
      <c r="Y602" s="46"/>
      <c r="Z602" s="46"/>
      <c r="AA602" s="7"/>
      <c r="AB602" s="46"/>
      <c r="AC602" s="46"/>
      <c r="AD602" s="47"/>
      <c r="AE602" s="47"/>
      <c r="AF602" s="7"/>
      <c r="AG602" s="7"/>
      <c r="AH602" s="47"/>
      <c r="AI602" s="47"/>
      <c r="AJ602" s="18"/>
      <c r="AK602" s="26"/>
      <c r="AL602" s="34"/>
      <c r="AM602" s="34"/>
      <c r="AN602" s="18"/>
      <c r="AO602" s="18"/>
      <c r="AP602" s="18"/>
      <c r="AQ602" s="18"/>
      <c r="AR602" s="47"/>
      <c r="AS602" s="47"/>
    </row>
    <row r="603">
      <c r="A603" s="51"/>
      <c r="B603" s="51"/>
      <c r="C603" s="52"/>
      <c r="D603" s="51"/>
      <c r="E603" s="53"/>
      <c r="F603" s="54"/>
      <c r="G603" s="54"/>
      <c r="H603" s="51"/>
      <c r="I603" s="55"/>
      <c r="J603" s="56"/>
      <c r="K603" s="46"/>
      <c r="L603" s="46"/>
      <c r="M603" s="47"/>
      <c r="N603" s="46"/>
      <c r="O603" s="57"/>
      <c r="P603" s="46"/>
      <c r="Q603" s="46"/>
      <c r="R603" s="57"/>
      <c r="S603" s="7"/>
      <c r="T603" s="54"/>
      <c r="U603" s="58"/>
      <c r="V603" s="47"/>
      <c r="W603" s="18"/>
      <c r="X603" s="46"/>
      <c r="Y603" s="46"/>
      <c r="Z603" s="46"/>
      <c r="AA603" s="7"/>
      <c r="AB603" s="46"/>
      <c r="AC603" s="46"/>
      <c r="AD603" s="47"/>
      <c r="AE603" s="47"/>
      <c r="AF603" s="7"/>
      <c r="AG603" s="7"/>
      <c r="AH603" s="47"/>
      <c r="AI603" s="47"/>
      <c r="AJ603" s="18"/>
      <c r="AK603" s="26"/>
      <c r="AL603" s="34"/>
      <c r="AM603" s="34"/>
      <c r="AN603" s="18"/>
      <c r="AO603" s="18"/>
      <c r="AP603" s="18"/>
      <c r="AQ603" s="18"/>
      <c r="AR603" s="47"/>
      <c r="AS603" s="47"/>
    </row>
    <row r="604">
      <c r="A604" s="51"/>
      <c r="B604" s="51"/>
      <c r="C604" s="52"/>
      <c r="D604" s="51"/>
      <c r="E604" s="53"/>
      <c r="F604" s="54"/>
      <c r="G604" s="54"/>
      <c r="H604" s="51"/>
      <c r="I604" s="55"/>
      <c r="J604" s="56"/>
      <c r="K604" s="46"/>
      <c r="L604" s="46"/>
      <c r="M604" s="47"/>
      <c r="N604" s="46"/>
      <c r="O604" s="57"/>
      <c r="P604" s="46"/>
      <c r="Q604" s="46"/>
      <c r="R604" s="57"/>
      <c r="S604" s="7"/>
      <c r="T604" s="54"/>
      <c r="U604" s="58"/>
      <c r="V604" s="47"/>
      <c r="W604" s="18"/>
      <c r="X604" s="46"/>
      <c r="Y604" s="46"/>
      <c r="Z604" s="46"/>
      <c r="AA604" s="7"/>
      <c r="AB604" s="46"/>
      <c r="AC604" s="46"/>
      <c r="AD604" s="47"/>
      <c r="AE604" s="47"/>
      <c r="AF604" s="7"/>
      <c r="AG604" s="7"/>
      <c r="AH604" s="47"/>
      <c r="AI604" s="47"/>
      <c r="AJ604" s="18"/>
      <c r="AK604" s="26"/>
      <c r="AL604" s="34"/>
      <c r="AM604" s="34"/>
      <c r="AN604" s="18"/>
      <c r="AO604" s="18"/>
      <c r="AP604" s="18"/>
      <c r="AQ604" s="18"/>
      <c r="AR604" s="47"/>
      <c r="AS604" s="47"/>
    </row>
    <row r="605">
      <c r="A605" s="51"/>
      <c r="B605" s="51"/>
      <c r="C605" s="52"/>
      <c r="D605" s="51"/>
      <c r="E605" s="53"/>
      <c r="F605" s="54"/>
      <c r="G605" s="54"/>
      <c r="H605" s="51"/>
      <c r="I605" s="55"/>
      <c r="J605" s="56"/>
      <c r="K605" s="46"/>
      <c r="L605" s="46"/>
      <c r="M605" s="47"/>
      <c r="N605" s="46"/>
      <c r="O605" s="57"/>
      <c r="P605" s="46"/>
      <c r="Q605" s="46"/>
      <c r="R605" s="57"/>
      <c r="S605" s="7"/>
      <c r="T605" s="54"/>
      <c r="U605" s="58"/>
      <c r="V605" s="47"/>
      <c r="W605" s="18"/>
      <c r="X605" s="46"/>
      <c r="Y605" s="46"/>
      <c r="Z605" s="46"/>
      <c r="AA605" s="7"/>
      <c r="AB605" s="46"/>
      <c r="AC605" s="46"/>
      <c r="AD605" s="47"/>
      <c r="AE605" s="47"/>
      <c r="AF605" s="7"/>
      <c r="AG605" s="7"/>
      <c r="AH605" s="47"/>
      <c r="AI605" s="47"/>
      <c r="AJ605" s="18"/>
      <c r="AK605" s="26"/>
      <c r="AL605" s="34"/>
      <c r="AM605" s="34"/>
      <c r="AN605" s="18"/>
      <c r="AO605" s="18"/>
      <c r="AP605" s="18"/>
      <c r="AQ605" s="18"/>
      <c r="AR605" s="47"/>
      <c r="AS605" s="47"/>
    </row>
    <row r="606">
      <c r="A606" s="51"/>
      <c r="B606" s="51"/>
      <c r="C606" s="52"/>
      <c r="D606" s="51"/>
      <c r="E606" s="53"/>
      <c r="F606" s="54"/>
      <c r="G606" s="54"/>
      <c r="H606" s="51"/>
      <c r="I606" s="55"/>
      <c r="J606" s="56"/>
      <c r="K606" s="46"/>
      <c r="L606" s="46"/>
      <c r="M606" s="47"/>
      <c r="N606" s="46"/>
      <c r="O606" s="57"/>
      <c r="P606" s="46"/>
      <c r="Q606" s="46"/>
      <c r="R606" s="57"/>
      <c r="S606" s="7"/>
      <c r="T606" s="54"/>
      <c r="U606" s="58"/>
      <c r="V606" s="47"/>
      <c r="W606" s="18"/>
      <c r="X606" s="46"/>
      <c r="Y606" s="46"/>
      <c r="Z606" s="46"/>
      <c r="AA606" s="7"/>
      <c r="AB606" s="46"/>
      <c r="AC606" s="46"/>
      <c r="AD606" s="47"/>
      <c r="AE606" s="47"/>
      <c r="AF606" s="7"/>
      <c r="AG606" s="7"/>
      <c r="AH606" s="47"/>
      <c r="AI606" s="47"/>
      <c r="AJ606" s="18"/>
      <c r="AK606" s="26"/>
      <c r="AL606" s="34"/>
      <c r="AM606" s="34"/>
      <c r="AN606" s="18"/>
      <c r="AO606" s="18"/>
      <c r="AP606" s="18"/>
      <c r="AQ606" s="18"/>
      <c r="AR606" s="47"/>
      <c r="AS606" s="47"/>
    </row>
    <row r="607">
      <c r="A607" s="51"/>
      <c r="B607" s="51"/>
      <c r="C607" s="52"/>
      <c r="D607" s="51"/>
      <c r="E607" s="53"/>
      <c r="F607" s="54"/>
      <c r="G607" s="54"/>
      <c r="H607" s="51"/>
      <c r="I607" s="55"/>
      <c r="J607" s="56"/>
      <c r="K607" s="46"/>
      <c r="L607" s="46"/>
      <c r="M607" s="47"/>
      <c r="N607" s="46"/>
      <c r="O607" s="57"/>
      <c r="P607" s="46"/>
      <c r="Q607" s="46"/>
      <c r="R607" s="57"/>
      <c r="S607" s="7"/>
      <c r="T607" s="54"/>
      <c r="U607" s="58"/>
      <c r="V607" s="47"/>
      <c r="W607" s="18"/>
      <c r="X607" s="46"/>
      <c r="Y607" s="46"/>
      <c r="Z607" s="46"/>
      <c r="AA607" s="7"/>
      <c r="AB607" s="46"/>
      <c r="AC607" s="46"/>
      <c r="AD607" s="47"/>
      <c r="AE607" s="47"/>
      <c r="AF607" s="7"/>
      <c r="AG607" s="7"/>
      <c r="AH607" s="47"/>
      <c r="AI607" s="47"/>
      <c r="AJ607" s="18"/>
      <c r="AK607" s="26"/>
      <c r="AL607" s="34"/>
      <c r="AM607" s="34"/>
      <c r="AN607" s="18"/>
      <c r="AO607" s="18"/>
      <c r="AP607" s="18"/>
      <c r="AQ607" s="18"/>
      <c r="AR607" s="47"/>
      <c r="AS607" s="47"/>
    </row>
    <row r="608">
      <c r="A608" s="51"/>
      <c r="B608" s="51"/>
      <c r="C608" s="52"/>
      <c r="D608" s="51"/>
      <c r="E608" s="53"/>
      <c r="F608" s="54"/>
      <c r="G608" s="54"/>
      <c r="H608" s="51"/>
      <c r="I608" s="55"/>
      <c r="J608" s="56"/>
      <c r="K608" s="46"/>
      <c r="L608" s="46"/>
      <c r="M608" s="47"/>
      <c r="N608" s="46"/>
      <c r="O608" s="57"/>
      <c r="P608" s="46"/>
      <c r="Q608" s="46"/>
      <c r="R608" s="57"/>
      <c r="S608" s="7"/>
      <c r="T608" s="54"/>
      <c r="U608" s="58"/>
      <c r="V608" s="47"/>
      <c r="W608" s="18"/>
      <c r="X608" s="46"/>
      <c r="Y608" s="46"/>
      <c r="Z608" s="46"/>
      <c r="AA608" s="7"/>
      <c r="AB608" s="46"/>
      <c r="AC608" s="46"/>
      <c r="AD608" s="47"/>
      <c r="AE608" s="47"/>
      <c r="AF608" s="7"/>
      <c r="AG608" s="7"/>
      <c r="AH608" s="47"/>
      <c r="AI608" s="47"/>
      <c r="AJ608" s="18"/>
      <c r="AK608" s="26"/>
      <c r="AL608" s="34"/>
      <c r="AM608" s="34"/>
      <c r="AN608" s="18"/>
      <c r="AO608" s="18"/>
      <c r="AP608" s="18"/>
      <c r="AQ608" s="18"/>
      <c r="AR608" s="47"/>
      <c r="AS608" s="47"/>
    </row>
    <row r="609">
      <c r="A609" s="51"/>
      <c r="B609" s="51"/>
      <c r="C609" s="52"/>
      <c r="D609" s="51"/>
      <c r="E609" s="53"/>
      <c r="F609" s="54"/>
      <c r="G609" s="54"/>
      <c r="H609" s="51"/>
      <c r="I609" s="55"/>
      <c r="J609" s="56"/>
      <c r="K609" s="46"/>
      <c r="L609" s="46"/>
      <c r="M609" s="47"/>
      <c r="N609" s="46"/>
      <c r="O609" s="57"/>
      <c r="P609" s="46"/>
      <c r="Q609" s="46"/>
      <c r="R609" s="57"/>
      <c r="S609" s="7"/>
      <c r="T609" s="54"/>
      <c r="U609" s="58"/>
      <c r="V609" s="47"/>
      <c r="W609" s="18"/>
      <c r="X609" s="46"/>
      <c r="Y609" s="46"/>
      <c r="Z609" s="46"/>
      <c r="AA609" s="7"/>
      <c r="AB609" s="46"/>
      <c r="AC609" s="46"/>
      <c r="AD609" s="47"/>
      <c r="AE609" s="47"/>
      <c r="AF609" s="7"/>
      <c r="AG609" s="7"/>
      <c r="AH609" s="47"/>
      <c r="AI609" s="47"/>
      <c r="AJ609" s="18"/>
      <c r="AK609" s="26"/>
      <c r="AL609" s="34"/>
      <c r="AM609" s="34"/>
      <c r="AN609" s="18"/>
      <c r="AO609" s="18"/>
      <c r="AP609" s="18"/>
      <c r="AQ609" s="18"/>
      <c r="AR609" s="47"/>
      <c r="AS609" s="47"/>
    </row>
    <row r="610">
      <c r="A610" s="51"/>
      <c r="B610" s="51"/>
      <c r="C610" s="52"/>
      <c r="D610" s="51"/>
      <c r="E610" s="53"/>
      <c r="F610" s="54"/>
      <c r="G610" s="54"/>
      <c r="H610" s="51"/>
      <c r="I610" s="55"/>
      <c r="J610" s="56"/>
      <c r="K610" s="46"/>
      <c r="L610" s="46"/>
      <c r="M610" s="47"/>
      <c r="N610" s="46"/>
      <c r="O610" s="57"/>
      <c r="P610" s="46"/>
      <c r="Q610" s="46"/>
      <c r="R610" s="57"/>
      <c r="S610" s="7"/>
      <c r="T610" s="54"/>
      <c r="U610" s="58"/>
      <c r="V610" s="47"/>
      <c r="W610" s="18"/>
      <c r="X610" s="46"/>
      <c r="Y610" s="46"/>
      <c r="Z610" s="46"/>
      <c r="AA610" s="7"/>
      <c r="AB610" s="46"/>
      <c r="AC610" s="46"/>
      <c r="AD610" s="47"/>
      <c r="AE610" s="47"/>
      <c r="AF610" s="7"/>
      <c r="AG610" s="7"/>
      <c r="AH610" s="47"/>
      <c r="AI610" s="47"/>
      <c r="AJ610" s="18"/>
      <c r="AK610" s="26"/>
      <c r="AL610" s="34"/>
      <c r="AM610" s="34"/>
      <c r="AN610" s="18"/>
      <c r="AO610" s="18"/>
      <c r="AP610" s="18"/>
      <c r="AQ610" s="18"/>
      <c r="AR610" s="47"/>
      <c r="AS610" s="47"/>
    </row>
    <row r="611">
      <c r="A611" s="51"/>
      <c r="B611" s="51"/>
      <c r="C611" s="52"/>
      <c r="D611" s="51"/>
      <c r="E611" s="53"/>
      <c r="F611" s="54"/>
      <c r="G611" s="54"/>
      <c r="H611" s="51"/>
      <c r="I611" s="55"/>
      <c r="J611" s="56"/>
      <c r="K611" s="46"/>
      <c r="L611" s="46"/>
      <c r="M611" s="47"/>
      <c r="N611" s="46"/>
      <c r="O611" s="57"/>
      <c r="P611" s="46"/>
      <c r="Q611" s="46"/>
      <c r="R611" s="57"/>
      <c r="S611" s="7"/>
      <c r="T611" s="54"/>
      <c r="U611" s="58"/>
      <c r="V611" s="47"/>
      <c r="W611" s="18"/>
      <c r="X611" s="46"/>
      <c r="Y611" s="46"/>
      <c r="Z611" s="46"/>
      <c r="AA611" s="7"/>
      <c r="AB611" s="46"/>
      <c r="AC611" s="46"/>
      <c r="AD611" s="47"/>
      <c r="AE611" s="47"/>
      <c r="AF611" s="7"/>
      <c r="AG611" s="7"/>
      <c r="AH611" s="47"/>
      <c r="AI611" s="47"/>
      <c r="AJ611" s="18"/>
      <c r="AK611" s="26"/>
      <c r="AL611" s="34"/>
      <c r="AM611" s="34"/>
      <c r="AN611" s="18"/>
      <c r="AO611" s="18"/>
      <c r="AP611" s="18"/>
      <c r="AQ611" s="18"/>
      <c r="AR611" s="47"/>
      <c r="AS611" s="47"/>
    </row>
    <row r="612">
      <c r="A612" s="51"/>
      <c r="B612" s="51"/>
      <c r="C612" s="52"/>
      <c r="D612" s="51"/>
      <c r="E612" s="53"/>
      <c r="F612" s="54"/>
      <c r="G612" s="54"/>
      <c r="H612" s="51"/>
      <c r="I612" s="55"/>
      <c r="J612" s="56"/>
      <c r="K612" s="46"/>
      <c r="L612" s="46"/>
      <c r="M612" s="47"/>
      <c r="N612" s="46"/>
      <c r="O612" s="57"/>
      <c r="P612" s="46"/>
      <c r="Q612" s="46"/>
      <c r="R612" s="57"/>
      <c r="S612" s="7"/>
      <c r="T612" s="54"/>
      <c r="U612" s="58"/>
      <c r="V612" s="47"/>
      <c r="W612" s="18"/>
      <c r="X612" s="46"/>
      <c r="Y612" s="46"/>
      <c r="Z612" s="46"/>
      <c r="AA612" s="7"/>
      <c r="AB612" s="46"/>
      <c r="AC612" s="46"/>
      <c r="AD612" s="47"/>
      <c r="AE612" s="47"/>
      <c r="AF612" s="7"/>
      <c r="AG612" s="7"/>
      <c r="AH612" s="47"/>
      <c r="AI612" s="47"/>
      <c r="AJ612" s="18"/>
      <c r="AK612" s="26"/>
      <c r="AL612" s="34"/>
      <c r="AM612" s="34"/>
      <c r="AN612" s="18"/>
      <c r="AO612" s="18"/>
      <c r="AP612" s="18"/>
      <c r="AQ612" s="18"/>
      <c r="AR612" s="47"/>
      <c r="AS612" s="47"/>
    </row>
    <row r="613">
      <c r="A613" s="51"/>
      <c r="B613" s="51"/>
      <c r="C613" s="52"/>
      <c r="D613" s="51"/>
      <c r="E613" s="53"/>
      <c r="F613" s="54"/>
      <c r="G613" s="54"/>
      <c r="H613" s="51"/>
      <c r="I613" s="55"/>
      <c r="J613" s="56"/>
      <c r="K613" s="46"/>
      <c r="L613" s="46"/>
      <c r="M613" s="47"/>
      <c r="N613" s="46"/>
      <c r="O613" s="57"/>
      <c r="P613" s="46"/>
      <c r="Q613" s="46"/>
      <c r="R613" s="57"/>
      <c r="S613" s="7"/>
      <c r="T613" s="54"/>
      <c r="U613" s="58"/>
      <c r="V613" s="47"/>
      <c r="W613" s="18"/>
      <c r="X613" s="46"/>
      <c r="Y613" s="46"/>
      <c r="Z613" s="46"/>
      <c r="AA613" s="7"/>
      <c r="AB613" s="46"/>
      <c r="AC613" s="46"/>
      <c r="AD613" s="47"/>
      <c r="AE613" s="47"/>
      <c r="AF613" s="7"/>
      <c r="AG613" s="7"/>
      <c r="AH613" s="47"/>
      <c r="AI613" s="47"/>
      <c r="AJ613" s="18"/>
      <c r="AK613" s="26"/>
      <c r="AL613" s="34"/>
      <c r="AM613" s="34"/>
      <c r="AN613" s="18"/>
      <c r="AO613" s="18"/>
      <c r="AP613" s="18"/>
      <c r="AQ613" s="18"/>
      <c r="AR613" s="47"/>
      <c r="AS613" s="47"/>
    </row>
    <row r="614">
      <c r="A614" s="51"/>
      <c r="B614" s="51"/>
      <c r="C614" s="52"/>
      <c r="D614" s="51"/>
      <c r="E614" s="53"/>
      <c r="F614" s="54"/>
      <c r="G614" s="54"/>
      <c r="H614" s="51"/>
      <c r="I614" s="55"/>
      <c r="J614" s="56"/>
      <c r="K614" s="46"/>
      <c r="L614" s="46"/>
      <c r="M614" s="47"/>
      <c r="N614" s="46"/>
      <c r="O614" s="57"/>
      <c r="P614" s="46"/>
      <c r="Q614" s="46"/>
      <c r="R614" s="57"/>
      <c r="S614" s="7"/>
      <c r="T614" s="54"/>
      <c r="U614" s="58"/>
      <c r="V614" s="47"/>
      <c r="W614" s="18"/>
      <c r="X614" s="46"/>
      <c r="Y614" s="46"/>
      <c r="Z614" s="46"/>
      <c r="AA614" s="7"/>
      <c r="AB614" s="46"/>
      <c r="AC614" s="46"/>
      <c r="AD614" s="47"/>
      <c r="AE614" s="47"/>
      <c r="AF614" s="7"/>
      <c r="AG614" s="7"/>
      <c r="AH614" s="47"/>
      <c r="AI614" s="47"/>
      <c r="AJ614" s="18"/>
      <c r="AK614" s="26"/>
      <c r="AL614" s="34"/>
      <c r="AM614" s="34"/>
      <c r="AN614" s="18"/>
      <c r="AO614" s="18"/>
      <c r="AP614" s="18"/>
      <c r="AQ614" s="18"/>
      <c r="AR614" s="47"/>
      <c r="AS614" s="47"/>
    </row>
    <row r="615">
      <c r="A615" s="51"/>
      <c r="B615" s="51"/>
      <c r="C615" s="52"/>
      <c r="D615" s="51"/>
      <c r="E615" s="53"/>
      <c r="F615" s="54"/>
      <c r="G615" s="54"/>
      <c r="H615" s="51"/>
      <c r="I615" s="55"/>
      <c r="J615" s="56"/>
      <c r="K615" s="46"/>
      <c r="L615" s="46"/>
      <c r="M615" s="47"/>
      <c r="N615" s="46"/>
      <c r="O615" s="57"/>
      <c r="P615" s="46"/>
      <c r="Q615" s="46"/>
      <c r="R615" s="57"/>
      <c r="S615" s="7"/>
      <c r="T615" s="54"/>
      <c r="U615" s="58"/>
      <c r="V615" s="47"/>
      <c r="W615" s="18"/>
      <c r="X615" s="46"/>
      <c r="Y615" s="46"/>
      <c r="Z615" s="46"/>
      <c r="AA615" s="7"/>
      <c r="AB615" s="46"/>
      <c r="AC615" s="46"/>
      <c r="AD615" s="47"/>
      <c r="AE615" s="47"/>
      <c r="AF615" s="7"/>
      <c r="AG615" s="7"/>
      <c r="AH615" s="47"/>
      <c r="AI615" s="47"/>
      <c r="AJ615" s="18"/>
      <c r="AK615" s="26"/>
      <c r="AL615" s="34"/>
      <c r="AM615" s="34"/>
      <c r="AN615" s="18"/>
      <c r="AO615" s="18"/>
      <c r="AP615" s="18"/>
      <c r="AQ615" s="18"/>
      <c r="AR615" s="47"/>
      <c r="AS615" s="47"/>
    </row>
    <row r="616">
      <c r="A616" s="51"/>
      <c r="B616" s="51"/>
      <c r="C616" s="52"/>
      <c r="D616" s="51"/>
      <c r="E616" s="53"/>
      <c r="F616" s="54"/>
      <c r="G616" s="54"/>
      <c r="H616" s="51"/>
      <c r="I616" s="55"/>
      <c r="J616" s="56"/>
      <c r="K616" s="46"/>
      <c r="L616" s="46"/>
      <c r="M616" s="47"/>
      <c r="N616" s="46"/>
      <c r="O616" s="57"/>
      <c r="P616" s="46"/>
      <c r="Q616" s="46"/>
      <c r="R616" s="57"/>
      <c r="S616" s="7"/>
      <c r="T616" s="54"/>
      <c r="U616" s="58"/>
      <c r="V616" s="47"/>
      <c r="W616" s="18"/>
      <c r="X616" s="46"/>
      <c r="Y616" s="46"/>
      <c r="Z616" s="46"/>
      <c r="AA616" s="7"/>
      <c r="AB616" s="46"/>
      <c r="AC616" s="46"/>
      <c r="AD616" s="47"/>
      <c r="AE616" s="47"/>
      <c r="AF616" s="7"/>
      <c r="AG616" s="7"/>
      <c r="AH616" s="47"/>
      <c r="AI616" s="47"/>
      <c r="AJ616" s="18"/>
      <c r="AK616" s="26"/>
      <c r="AL616" s="34"/>
      <c r="AM616" s="34"/>
      <c r="AN616" s="18"/>
      <c r="AO616" s="18"/>
      <c r="AP616" s="18"/>
      <c r="AQ616" s="18"/>
      <c r="AR616" s="47"/>
      <c r="AS616" s="47"/>
    </row>
    <row r="617">
      <c r="A617" s="51"/>
      <c r="B617" s="51"/>
      <c r="C617" s="52"/>
      <c r="D617" s="51"/>
      <c r="E617" s="53"/>
      <c r="F617" s="54"/>
      <c r="G617" s="54"/>
      <c r="H617" s="51"/>
      <c r="I617" s="55"/>
      <c r="J617" s="56"/>
      <c r="K617" s="46"/>
      <c r="L617" s="46"/>
      <c r="M617" s="47"/>
      <c r="N617" s="46"/>
      <c r="O617" s="57"/>
      <c r="P617" s="46"/>
      <c r="Q617" s="46"/>
      <c r="R617" s="57"/>
      <c r="S617" s="7"/>
      <c r="T617" s="54"/>
      <c r="U617" s="58"/>
      <c r="V617" s="47"/>
      <c r="W617" s="18"/>
      <c r="X617" s="46"/>
      <c r="Y617" s="46"/>
      <c r="Z617" s="46"/>
      <c r="AA617" s="7"/>
      <c r="AB617" s="46"/>
      <c r="AC617" s="46"/>
      <c r="AD617" s="47"/>
      <c r="AE617" s="47"/>
      <c r="AF617" s="7"/>
      <c r="AG617" s="7"/>
      <c r="AH617" s="47"/>
      <c r="AI617" s="47"/>
      <c r="AJ617" s="18"/>
      <c r="AK617" s="26"/>
      <c r="AL617" s="34"/>
      <c r="AM617" s="34"/>
      <c r="AN617" s="18"/>
      <c r="AO617" s="18"/>
      <c r="AP617" s="18"/>
      <c r="AQ617" s="18"/>
      <c r="AR617" s="47"/>
      <c r="AS617" s="47"/>
    </row>
    <row r="618">
      <c r="A618" s="51"/>
      <c r="B618" s="51"/>
      <c r="C618" s="52"/>
      <c r="D618" s="51"/>
      <c r="E618" s="53"/>
      <c r="F618" s="54"/>
      <c r="G618" s="54"/>
      <c r="H618" s="51"/>
      <c r="I618" s="55"/>
      <c r="J618" s="56"/>
      <c r="K618" s="46"/>
      <c r="L618" s="46"/>
      <c r="M618" s="47"/>
      <c r="N618" s="46"/>
      <c r="O618" s="57"/>
      <c r="P618" s="46"/>
      <c r="Q618" s="46"/>
      <c r="R618" s="57"/>
      <c r="S618" s="7"/>
      <c r="T618" s="54"/>
      <c r="U618" s="58"/>
      <c r="V618" s="47"/>
      <c r="W618" s="18"/>
      <c r="X618" s="46"/>
      <c r="Y618" s="46"/>
      <c r="Z618" s="46"/>
      <c r="AA618" s="7"/>
      <c r="AB618" s="46"/>
      <c r="AC618" s="46"/>
      <c r="AD618" s="47"/>
      <c r="AE618" s="47"/>
      <c r="AF618" s="7"/>
      <c r="AG618" s="7"/>
      <c r="AH618" s="47"/>
      <c r="AI618" s="47"/>
      <c r="AJ618" s="18"/>
      <c r="AK618" s="26"/>
      <c r="AL618" s="34"/>
      <c r="AM618" s="34"/>
      <c r="AN618" s="18"/>
      <c r="AO618" s="18"/>
      <c r="AP618" s="18"/>
      <c r="AQ618" s="18"/>
      <c r="AR618" s="47"/>
      <c r="AS618" s="47"/>
    </row>
    <row r="619">
      <c r="A619" s="51"/>
      <c r="B619" s="51"/>
      <c r="C619" s="52"/>
      <c r="D619" s="51"/>
      <c r="E619" s="53"/>
      <c r="F619" s="54"/>
      <c r="G619" s="54"/>
      <c r="H619" s="51"/>
      <c r="I619" s="55"/>
      <c r="J619" s="56"/>
      <c r="K619" s="46"/>
      <c r="L619" s="46"/>
      <c r="M619" s="47"/>
      <c r="N619" s="46"/>
      <c r="O619" s="57"/>
      <c r="P619" s="46"/>
      <c r="Q619" s="46"/>
      <c r="R619" s="57"/>
      <c r="S619" s="7"/>
      <c r="T619" s="54"/>
      <c r="U619" s="58"/>
      <c r="V619" s="47"/>
      <c r="W619" s="18"/>
      <c r="X619" s="46"/>
      <c r="Y619" s="46"/>
      <c r="Z619" s="46"/>
      <c r="AA619" s="7"/>
      <c r="AB619" s="46"/>
      <c r="AC619" s="46"/>
      <c r="AD619" s="47"/>
      <c r="AE619" s="47"/>
      <c r="AF619" s="7"/>
      <c r="AG619" s="7"/>
      <c r="AH619" s="47"/>
      <c r="AI619" s="47"/>
      <c r="AJ619" s="18"/>
      <c r="AK619" s="26"/>
      <c r="AL619" s="34"/>
      <c r="AM619" s="34"/>
      <c r="AN619" s="18"/>
      <c r="AO619" s="18"/>
      <c r="AP619" s="18"/>
      <c r="AQ619" s="18"/>
      <c r="AR619" s="47"/>
      <c r="AS619" s="47"/>
    </row>
    <row r="620">
      <c r="A620" s="51"/>
      <c r="B620" s="51"/>
      <c r="C620" s="52"/>
      <c r="D620" s="51"/>
      <c r="E620" s="53"/>
      <c r="F620" s="54"/>
      <c r="G620" s="54"/>
      <c r="H620" s="51"/>
      <c r="I620" s="55"/>
      <c r="J620" s="56"/>
      <c r="K620" s="46"/>
      <c r="L620" s="46"/>
      <c r="M620" s="47"/>
      <c r="N620" s="46"/>
      <c r="O620" s="57"/>
      <c r="P620" s="46"/>
      <c r="Q620" s="46"/>
      <c r="R620" s="57"/>
      <c r="S620" s="7"/>
      <c r="T620" s="54"/>
      <c r="U620" s="58"/>
      <c r="V620" s="47"/>
      <c r="W620" s="18"/>
      <c r="X620" s="46"/>
      <c r="Y620" s="46"/>
      <c r="Z620" s="46"/>
      <c r="AA620" s="7"/>
      <c r="AB620" s="46"/>
      <c r="AC620" s="46"/>
      <c r="AD620" s="47"/>
      <c r="AE620" s="47"/>
      <c r="AF620" s="7"/>
      <c r="AG620" s="7"/>
      <c r="AH620" s="47"/>
      <c r="AI620" s="47"/>
      <c r="AJ620" s="18"/>
      <c r="AK620" s="26"/>
      <c r="AL620" s="34"/>
      <c r="AM620" s="34"/>
      <c r="AN620" s="18"/>
      <c r="AO620" s="18"/>
      <c r="AP620" s="18"/>
      <c r="AQ620" s="18"/>
      <c r="AR620" s="47"/>
      <c r="AS620" s="47"/>
    </row>
    <row r="621">
      <c r="A621" s="51"/>
      <c r="B621" s="51"/>
      <c r="C621" s="52"/>
      <c r="D621" s="51"/>
      <c r="E621" s="53"/>
      <c r="F621" s="54"/>
      <c r="G621" s="54"/>
      <c r="H621" s="51"/>
      <c r="I621" s="55"/>
      <c r="J621" s="56"/>
      <c r="K621" s="46"/>
      <c r="L621" s="46"/>
      <c r="M621" s="47"/>
      <c r="N621" s="46"/>
      <c r="O621" s="57"/>
      <c r="P621" s="46"/>
      <c r="Q621" s="46"/>
      <c r="R621" s="57"/>
      <c r="S621" s="7"/>
      <c r="T621" s="54"/>
      <c r="U621" s="58"/>
      <c r="V621" s="47"/>
      <c r="W621" s="18"/>
      <c r="X621" s="46"/>
      <c r="Y621" s="46"/>
      <c r="Z621" s="46"/>
      <c r="AA621" s="7"/>
      <c r="AB621" s="46"/>
      <c r="AC621" s="46"/>
      <c r="AD621" s="47"/>
      <c r="AE621" s="47"/>
      <c r="AF621" s="7"/>
      <c r="AG621" s="7"/>
      <c r="AH621" s="47"/>
      <c r="AI621" s="47"/>
      <c r="AJ621" s="18"/>
      <c r="AK621" s="26"/>
      <c r="AL621" s="34"/>
      <c r="AM621" s="34"/>
      <c r="AN621" s="18"/>
      <c r="AO621" s="18"/>
      <c r="AP621" s="18"/>
      <c r="AQ621" s="18"/>
      <c r="AR621" s="47"/>
      <c r="AS621" s="47"/>
    </row>
    <row r="622">
      <c r="A622" s="51"/>
      <c r="B622" s="51"/>
      <c r="C622" s="52"/>
      <c r="D622" s="51"/>
      <c r="E622" s="53"/>
      <c r="F622" s="54"/>
      <c r="G622" s="54"/>
      <c r="H622" s="51"/>
      <c r="I622" s="55"/>
      <c r="J622" s="56"/>
      <c r="K622" s="46"/>
      <c r="L622" s="46"/>
      <c r="M622" s="47"/>
      <c r="N622" s="46"/>
      <c r="O622" s="57"/>
      <c r="P622" s="46"/>
      <c r="Q622" s="46"/>
      <c r="R622" s="57"/>
      <c r="S622" s="7"/>
      <c r="T622" s="54"/>
      <c r="U622" s="58"/>
      <c r="V622" s="47"/>
      <c r="W622" s="18"/>
      <c r="X622" s="46"/>
      <c r="Y622" s="46"/>
      <c r="Z622" s="46"/>
      <c r="AA622" s="7"/>
      <c r="AB622" s="46"/>
      <c r="AC622" s="46"/>
      <c r="AD622" s="47"/>
      <c r="AE622" s="47"/>
      <c r="AF622" s="7"/>
      <c r="AG622" s="7"/>
      <c r="AH622" s="47"/>
      <c r="AI622" s="47"/>
      <c r="AJ622" s="18"/>
      <c r="AK622" s="26"/>
      <c r="AL622" s="34"/>
      <c r="AM622" s="34"/>
      <c r="AN622" s="18"/>
      <c r="AO622" s="18"/>
      <c r="AP622" s="18"/>
      <c r="AQ622" s="18"/>
      <c r="AR622" s="47"/>
      <c r="AS622" s="47"/>
    </row>
    <row r="623">
      <c r="A623" s="51"/>
      <c r="B623" s="51"/>
      <c r="C623" s="52"/>
      <c r="D623" s="51"/>
      <c r="E623" s="53"/>
      <c r="F623" s="54"/>
      <c r="G623" s="54"/>
      <c r="H623" s="51"/>
      <c r="I623" s="55"/>
      <c r="J623" s="56"/>
      <c r="K623" s="46"/>
      <c r="L623" s="46"/>
      <c r="M623" s="47"/>
      <c r="N623" s="46"/>
      <c r="O623" s="57"/>
      <c r="P623" s="46"/>
      <c r="Q623" s="46"/>
      <c r="R623" s="57"/>
      <c r="S623" s="7"/>
      <c r="T623" s="54"/>
      <c r="U623" s="58"/>
      <c r="V623" s="47"/>
      <c r="W623" s="18"/>
      <c r="X623" s="46"/>
      <c r="Y623" s="46"/>
      <c r="Z623" s="46"/>
      <c r="AA623" s="7"/>
      <c r="AB623" s="46"/>
      <c r="AC623" s="46"/>
      <c r="AD623" s="47"/>
      <c r="AE623" s="47"/>
      <c r="AF623" s="7"/>
      <c r="AG623" s="7"/>
      <c r="AH623" s="47"/>
      <c r="AI623" s="47"/>
      <c r="AJ623" s="18"/>
      <c r="AK623" s="26"/>
      <c r="AL623" s="34"/>
      <c r="AM623" s="34"/>
      <c r="AN623" s="18"/>
      <c r="AO623" s="18"/>
      <c r="AP623" s="18"/>
      <c r="AQ623" s="18"/>
      <c r="AR623" s="47"/>
      <c r="AS623" s="47"/>
    </row>
    <row r="624">
      <c r="A624" s="51"/>
      <c r="B624" s="51"/>
      <c r="C624" s="52"/>
      <c r="D624" s="51"/>
      <c r="E624" s="53"/>
      <c r="F624" s="54"/>
      <c r="G624" s="54"/>
      <c r="H624" s="51"/>
      <c r="I624" s="55"/>
      <c r="J624" s="56"/>
      <c r="K624" s="46"/>
      <c r="L624" s="46"/>
      <c r="M624" s="47"/>
      <c r="N624" s="46"/>
      <c r="O624" s="57"/>
      <c r="P624" s="46"/>
      <c r="Q624" s="46"/>
      <c r="R624" s="57"/>
      <c r="S624" s="7"/>
      <c r="T624" s="54"/>
      <c r="U624" s="58"/>
      <c r="V624" s="47"/>
      <c r="W624" s="18"/>
      <c r="X624" s="46"/>
      <c r="Y624" s="46"/>
      <c r="Z624" s="46"/>
      <c r="AA624" s="7"/>
      <c r="AB624" s="46"/>
      <c r="AC624" s="46"/>
      <c r="AD624" s="47"/>
      <c r="AE624" s="47"/>
      <c r="AF624" s="7"/>
      <c r="AG624" s="7"/>
      <c r="AH624" s="47"/>
      <c r="AI624" s="47"/>
      <c r="AJ624" s="18"/>
      <c r="AK624" s="26"/>
      <c r="AL624" s="34"/>
      <c r="AM624" s="34"/>
      <c r="AN624" s="18"/>
      <c r="AO624" s="18"/>
      <c r="AP624" s="18"/>
      <c r="AQ624" s="18"/>
      <c r="AR624" s="47"/>
      <c r="AS624" s="47"/>
    </row>
    <row r="625">
      <c r="A625" s="51"/>
      <c r="B625" s="51"/>
      <c r="C625" s="52"/>
      <c r="D625" s="51"/>
      <c r="E625" s="53"/>
      <c r="F625" s="54"/>
      <c r="G625" s="54"/>
      <c r="H625" s="51"/>
      <c r="I625" s="55"/>
      <c r="J625" s="56"/>
      <c r="K625" s="46"/>
      <c r="L625" s="46"/>
      <c r="M625" s="47"/>
      <c r="N625" s="46"/>
      <c r="O625" s="57"/>
      <c r="P625" s="46"/>
      <c r="Q625" s="46"/>
      <c r="R625" s="57"/>
      <c r="S625" s="7"/>
      <c r="T625" s="54"/>
      <c r="U625" s="58"/>
      <c r="V625" s="47"/>
      <c r="W625" s="18"/>
      <c r="X625" s="46"/>
      <c r="Y625" s="46"/>
      <c r="Z625" s="46"/>
      <c r="AA625" s="7"/>
      <c r="AB625" s="46"/>
      <c r="AC625" s="46"/>
      <c r="AD625" s="47"/>
      <c r="AE625" s="47"/>
      <c r="AF625" s="7"/>
      <c r="AG625" s="7"/>
      <c r="AH625" s="47"/>
      <c r="AI625" s="47"/>
      <c r="AJ625" s="18"/>
      <c r="AK625" s="26"/>
      <c r="AL625" s="34"/>
      <c r="AM625" s="34"/>
      <c r="AN625" s="18"/>
      <c r="AO625" s="18"/>
      <c r="AP625" s="18"/>
      <c r="AQ625" s="18"/>
      <c r="AR625" s="47"/>
      <c r="AS625" s="47"/>
    </row>
    <row r="626">
      <c r="A626" s="51"/>
      <c r="B626" s="51"/>
      <c r="C626" s="52"/>
      <c r="D626" s="51"/>
      <c r="E626" s="53"/>
      <c r="F626" s="54"/>
      <c r="G626" s="54"/>
      <c r="H626" s="51"/>
      <c r="I626" s="55"/>
      <c r="J626" s="56"/>
      <c r="K626" s="46"/>
      <c r="L626" s="46"/>
      <c r="M626" s="47"/>
      <c r="N626" s="46"/>
      <c r="O626" s="57"/>
      <c r="P626" s="46"/>
      <c r="Q626" s="46"/>
      <c r="R626" s="57"/>
      <c r="S626" s="7"/>
      <c r="T626" s="54"/>
      <c r="U626" s="58"/>
      <c r="V626" s="47"/>
      <c r="W626" s="18"/>
      <c r="X626" s="46"/>
      <c r="Y626" s="46"/>
      <c r="Z626" s="46"/>
      <c r="AA626" s="7"/>
      <c r="AB626" s="46"/>
      <c r="AC626" s="46"/>
      <c r="AD626" s="47"/>
      <c r="AE626" s="47"/>
      <c r="AF626" s="7"/>
      <c r="AG626" s="7"/>
      <c r="AH626" s="47"/>
      <c r="AI626" s="47"/>
      <c r="AJ626" s="18"/>
      <c r="AK626" s="26"/>
      <c r="AL626" s="34"/>
      <c r="AM626" s="34"/>
      <c r="AN626" s="18"/>
      <c r="AO626" s="18"/>
      <c r="AP626" s="18"/>
      <c r="AQ626" s="18"/>
      <c r="AR626" s="47"/>
      <c r="AS626" s="47"/>
    </row>
    <row r="627">
      <c r="A627" s="51"/>
      <c r="B627" s="51"/>
      <c r="C627" s="52"/>
      <c r="D627" s="51"/>
      <c r="E627" s="53"/>
      <c r="F627" s="54"/>
      <c r="G627" s="54"/>
      <c r="H627" s="51"/>
      <c r="I627" s="55"/>
      <c r="J627" s="56"/>
      <c r="K627" s="46"/>
      <c r="L627" s="46"/>
      <c r="M627" s="47"/>
      <c r="N627" s="46"/>
      <c r="O627" s="57"/>
      <c r="P627" s="46"/>
      <c r="Q627" s="46"/>
      <c r="R627" s="57"/>
      <c r="S627" s="7"/>
      <c r="T627" s="54"/>
      <c r="U627" s="58"/>
      <c r="V627" s="47"/>
      <c r="W627" s="18"/>
      <c r="X627" s="46"/>
      <c r="Y627" s="46"/>
      <c r="Z627" s="46"/>
      <c r="AA627" s="7"/>
      <c r="AB627" s="46"/>
      <c r="AC627" s="46"/>
      <c r="AD627" s="47"/>
      <c r="AE627" s="47"/>
      <c r="AF627" s="7"/>
      <c r="AG627" s="7"/>
      <c r="AH627" s="47"/>
      <c r="AI627" s="47"/>
      <c r="AJ627" s="18"/>
      <c r="AK627" s="26"/>
      <c r="AL627" s="34"/>
      <c r="AM627" s="34"/>
      <c r="AN627" s="18"/>
      <c r="AO627" s="18"/>
      <c r="AP627" s="18"/>
      <c r="AQ627" s="18"/>
      <c r="AR627" s="47"/>
      <c r="AS627" s="47"/>
    </row>
    <row r="628">
      <c r="A628" s="51"/>
      <c r="B628" s="51"/>
      <c r="C628" s="52"/>
      <c r="D628" s="51"/>
      <c r="E628" s="53"/>
      <c r="F628" s="54"/>
      <c r="G628" s="54"/>
      <c r="H628" s="51"/>
      <c r="I628" s="55"/>
      <c r="J628" s="56"/>
      <c r="K628" s="46"/>
      <c r="L628" s="46"/>
      <c r="M628" s="47"/>
      <c r="N628" s="46"/>
      <c r="O628" s="57"/>
      <c r="P628" s="46"/>
      <c r="Q628" s="46"/>
      <c r="R628" s="57"/>
      <c r="S628" s="7"/>
      <c r="T628" s="54"/>
      <c r="U628" s="58"/>
      <c r="V628" s="47"/>
      <c r="W628" s="18"/>
      <c r="X628" s="46"/>
      <c r="Y628" s="46"/>
      <c r="Z628" s="46"/>
      <c r="AA628" s="7"/>
      <c r="AB628" s="46"/>
      <c r="AC628" s="46"/>
      <c r="AD628" s="47"/>
      <c r="AE628" s="47"/>
      <c r="AF628" s="7"/>
      <c r="AG628" s="7"/>
      <c r="AH628" s="47"/>
      <c r="AI628" s="47"/>
      <c r="AJ628" s="18"/>
      <c r="AK628" s="26"/>
      <c r="AL628" s="34"/>
      <c r="AM628" s="34"/>
      <c r="AN628" s="18"/>
      <c r="AO628" s="18"/>
      <c r="AP628" s="18"/>
      <c r="AQ628" s="18"/>
      <c r="AR628" s="47"/>
      <c r="AS628" s="47"/>
    </row>
    <row r="629">
      <c r="A629" s="51"/>
      <c r="B629" s="51"/>
      <c r="C629" s="52"/>
      <c r="D629" s="51"/>
      <c r="E629" s="53"/>
      <c r="F629" s="54"/>
      <c r="G629" s="54"/>
      <c r="H629" s="51"/>
      <c r="I629" s="55"/>
      <c r="J629" s="56"/>
      <c r="K629" s="46"/>
      <c r="L629" s="46"/>
      <c r="M629" s="47"/>
      <c r="N629" s="46"/>
      <c r="O629" s="57"/>
      <c r="P629" s="46"/>
      <c r="Q629" s="46"/>
      <c r="R629" s="57"/>
      <c r="S629" s="7"/>
      <c r="T629" s="54"/>
      <c r="U629" s="58"/>
      <c r="V629" s="47"/>
      <c r="W629" s="18"/>
      <c r="X629" s="46"/>
      <c r="Y629" s="46"/>
      <c r="Z629" s="46"/>
      <c r="AA629" s="7"/>
      <c r="AB629" s="46"/>
      <c r="AC629" s="46"/>
      <c r="AD629" s="47"/>
      <c r="AE629" s="47"/>
      <c r="AF629" s="7"/>
      <c r="AG629" s="7"/>
      <c r="AH629" s="47"/>
      <c r="AI629" s="47"/>
      <c r="AJ629" s="18"/>
      <c r="AK629" s="26"/>
      <c r="AL629" s="34"/>
      <c r="AM629" s="34"/>
      <c r="AN629" s="18"/>
      <c r="AO629" s="18"/>
      <c r="AP629" s="18"/>
      <c r="AQ629" s="18"/>
      <c r="AR629" s="47"/>
      <c r="AS629" s="47"/>
    </row>
    <row r="630">
      <c r="A630" s="51"/>
      <c r="B630" s="51"/>
      <c r="C630" s="52"/>
      <c r="D630" s="51"/>
      <c r="E630" s="53"/>
      <c r="F630" s="54"/>
      <c r="G630" s="54"/>
      <c r="H630" s="51"/>
      <c r="I630" s="55"/>
      <c r="J630" s="56"/>
      <c r="K630" s="46"/>
      <c r="L630" s="46"/>
      <c r="M630" s="47"/>
      <c r="N630" s="46"/>
      <c r="O630" s="57"/>
      <c r="P630" s="46"/>
      <c r="Q630" s="46"/>
      <c r="R630" s="57"/>
      <c r="S630" s="7"/>
      <c r="T630" s="54"/>
      <c r="U630" s="58"/>
      <c r="V630" s="47"/>
      <c r="W630" s="18"/>
      <c r="X630" s="46"/>
      <c r="Y630" s="46"/>
      <c r="Z630" s="46"/>
      <c r="AA630" s="7"/>
      <c r="AB630" s="46"/>
      <c r="AC630" s="46"/>
      <c r="AD630" s="47"/>
      <c r="AE630" s="47"/>
      <c r="AF630" s="7"/>
      <c r="AG630" s="7"/>
      <c r="AH630" s="47"/>
      <c r="AI630" s="47"/>
      <c r="AJ630" s="18"/>
      <c r="AK630" s="26"/>
      <c r="AL630" s="34"/>
      <c r="AM630" s="34"/>
      <c r="AN630" s="18"/>
      <c r="AO630" s="18"/>
      <c r="AP630" s="18"/>
      <c r="AQ630" s="18"/>
      <c r="AR630" s="47"/>
      <c r="AS630" s="47"/>
    </row>
    <row r="631">
      <c r="A631" s="51"/>
      <c r="B631" s="51"/>
      <c r="C631" s="52"/>
      <c r="D631" s="51"/>
      <c r="E631" s="53"/>
      <c r="F631" s="54"/>
      <c r="G631" s="54"/>
      <c r="H631" s="51"/>
      <c r="I631" s="55"/>
      <c r="J631" s="56"/>
      <c r="K631" s="46"/>
      <c r="L631" s="46"/>
      <c r="M631" s="47"/>
      <c r="N631" s="46"/>
      <c r="O631" s="57"/>
      <c r="P631" s="46"/>
      <c r="Q631" s="46"/>
      <c r="R631" s="57"/>
      <c r="S631" s="7"/>
      <c r="T631" s="54"/>
      <c r="U631" s="58"/>
      <c r="V631" s="47"/>
      <c r="W631" s="18"/>
      <c r="X631" s="46"/>
      <c r="Y631" s="46"/>
      <c r="Z631" s="46"/>
      <c r="AA631" s="7"/>
      <c r="AB631" s="46"/>
      <c r="AC631" s="46"/>
      <c r="AD631" s="47"/>
      <c r="AE631" s="47"/>
      <c r="AF631" s="7"/>
      <c r="AG631" s="7"/>
      <c r="AH631" s="47"/>
      <c r="AI631" s="47"/>
      <c r="AJ631" s="18"/>
      <c r="AK631" s="26"/>
      <c r="AL631" s="34"/>
      <c r="AM631" s="34"/>
      <c r="AN631" s="18"/>
      <c r="AO631" s="18"/>
      <c r="AP631" s="18"/>
      <c r="AQ631" s="18"/>
      <c r="AR631" s="47"/>
      <c r="AS631" s="47"/>
    </row>
    <row r="632">
      <c r="A632" s="51"/>
      <c r="B632" s="51"/>
      <c r="C632" s="52"/>
      <c r="D632" s="51"/>
      <c r="E632" s="53"/>
      <c r="F632" s="54"/>
      <c r="G632" s="54"/>
      <c r="H632" s="51"/>
      <c r="I632" s="55"/>
      <c r="J632" s="56"/>
      <c r="K632" s="46"/>
      <c r="L632" s="46"/>
      <c r="M632" s="47"/>
      <c r="N632" s="46"/>
      <c r="O632" s="57"/>
      <c r="P632" s="46"/>
      <c r="Q632" s="46"/>
      <c r="R632" s="57"/>
      <c r="S632" s="7"/>
      <c r="T632" s="54"/>
      <c r="U632" s="58"/>
      <c r="V632" s="47"/>
      <c r="W632" s="18"/>
      <c r="X632" s="46"/>
      <c r="Y632" s="46"/>
      <c r="Z632" s="46"/>
      <c r="AA632" s="7"/>
      <c r="AB632" s="46"/>
      <c r="AC632" s="46"/>
      <c r="AD632" s="47"/>
      <c r="AE632" s="47"/>
      <c r="AF632" s="7"/>
      <c r="AG632" s="7"/>
      <c r="AH632" s="47"/>
      <c r="AI632" s="47"/>
      <c r="AJ632" s="18"/>
      <c r="AK632" s="26"/>
      <c r="AL632" s="34"/>
      <c r="AM632" s="34"/>
      <c r="AN632" s="18"/>
      <c r="AO632" s="18"/>
      <c r="AP632" s="18"/>
      <c r="AQ632" s="18"/>
      <c r="AR632" s="47"/>
      <c r="AS632" s="47"/>
    </row>
    <row r="633">
      <c r="A633" s="51"/>
      <c r="B633" s="51"/>
      <c r="C633" s="52"/>
      <c r="D633" s="51"/>
      <c r="E633" s="53"/>
      <c r="F633" s="54"/>
      <c r="G633" s="54"/>
      <c r="H633" s="51"/>
      <c r="I633" s="55"/>
      <c r="J633" s="56"/>
      <c r="K633" s="46"/>
      <c r="L633" s="46"/>
      <c r="M633" s="47"/>
      <c r="N633" s="46"/>
      <c r="O633" s="57"/>
      <c r="P633" s="46"/>
      <c r="Q633" s="46"/>
      <c r="R633" s="57"/>
      <c r="S633" s="7"/>
      <c r="T633" s="54"/>
      <c r="U633" s="58"/>
      <c r="V633" s="47"/>
      <c r="W633" s="18"/>
      <c r="X633" s="46"/>
      <c r="Y633" s="46"/>
      <c r="Z633" s="46"/>
      <c r="AA633" s="7"/>
      <c r="AB633" s="46"/>
      <c r="AC633" s="46"/>
      <c r="AD633" s="47"/>
      <c r="AE633" s="47"/>
      <c r="AF633" s="7"/>
      <c r="AG633" s="7"/>
      <c r="AH633" s="47"/>
      <c r="AI633" s="47"/>
      <c r="AJ633" s="18"/>
      <c r="AK633" s="26"/>
      <c r="AL633" s="34"/>
      <c r="AM633" s="34"/>
      <c r="AN633" s="18"/>
      <c r="AO633" s="18"/>
      <c r="AP633" s="18"/>
      <c r="AQ633" s="18"/>
      <c r="AR633" s="47"/>
      <c r="AS633" s="47"/>
    </row>
    <row r="634">
      <c r="A634" s="51"/>
      <c r="B634" s="51"/>
      <c r="C634" s="52"/>
      <c r="D634" s="51"/>
      <c r="E634" s="53"/>
      <c r="F634" s="54"/>
      <c r="G634" s="54"/>
      <c r="H634" s="51"/>
      <c r="I634" s="55"/>
      <c r="J634" s="56"/>
      <c r="K634" s="46"/>
      <c r="L634" s="46"/>
      <c r="M634" s="47"/>
      <c r="N634" s="46"/>
      <c r="O634" s="57"/>
      <c r="P634" s="46"/>
      <c r="Q634" s="46"/>
      <c r="R634" s="57"/>
      <c r="S634" s="7"/>
      <c r="T634" s="54"/>
      <c r="U634" s="58"/>
      <c r="V634" s="47"/>
      <c r="W634" s="18"/>
      <c r="X634" s="46"/>
      <c r="Y634" s="46"/>
      <c r="Z634" s="46"/>
      <c r="AA634" s="7"/>
      <c r="AB634" s="46"/>
      <c r="AC634" s="46"/>
      <c r="AD634" s="47"/>
      <c r="AE634" s="47"/>
      <c r="AF634" s="7"/>
      <c r="AG634" s="7"/>
      <c r="AH634" s="47"/>
      <c r="AI634" s="47"/>
      <c r="AJ634" s="18"/>
      <c r="AK634" s="26"/>
      <c r="AL634" s="34"/>
      <c r="AM634" s="34"/>
      <c r="AN634" s="18"/>
      <c r="AO634" s="18"/>
      <c r="AP634" s="18"/>
      <c r="AQ634" s="18"/>
      <c r="AR634" s="47"/>
      <c r="AS634" s="47"/>
    </row>
    <row r="635">
      <c r="A635" s="51"/>
      <c r="B635" s="51"/>
      <c r="C635" s="52"/>
      <c r="D635" s="51"/>
      <c r="E635" s="53"/>
      <c r="F635" s="54"/>
      <c r="G635" s="54"/>
      <c r="H635" s="51"/>
      <c r="I635" s="55"/>
      <c r="J635" s="56"/>
      <c r="K635" s="46"/>
      <c r="L635" s="46"/>
      <c r="M635" s="47"/>
      <c r="N635" s="46"/>
      <c r="O635" s="57"/>
      <c r="P635" s="46"/>
      <c r="Q635" s="46"/>
      <c r="R635" s="57"/>
      <c r="S635" s="7"/>
      <c r="T635" s="54"/>
      <c r="U635" s="58"/>
      <c r="V635" s="47"/>
      <c r="W635" s="18"/>
      <c r="X635" s="46"/>
      <c r="Y635" s="46"/>
      <c r="Z635" s="46"/>
      <c r="AA635" s="7"/>
      <c r="AB635" s="46"/>
      <c r="AC635" s="46"/>
      <c r="AD635" s="47"/>
      <c r="AE635" s="47"/>
      <c r="AF635" s="7"/>
      <c r="AG635" s="7"/>
      <c r="AH635" s="47"/>
      <c r="AI635" s="47"/>
      <c r="AJ635" s="18"/>
      <c r="AK635" s="26"/>
      <c r="AL635" s="34"/>
      <c r="AM635" s="34"/>
      <c r="AN635" s="18"/>
      <c r="AO635" s="18"/>
      <c r="AP635" s="18"/>
      <c r="AQ635" s="18"/>
      <c r="AR635" s="47"/>
      <c r="AS635" s="47"/>
    </row>
    <row r="636">
      <c r="A636" s="51"/>
      <c r="B636" s="51"/>
      <c r="C636" s="52"/>
      <c r="D636" s="51"/>
      <c r="E636" s="53"/>
      <c r="F636" s="54"/>
      <c r="G636" s="54"/>
      <c r="H636" s="51"/>
      <c r="I636" s="55"/>
      <c r="J636" s="56"/>
      <c r="K636" s="46"/>
      <c r="L636" s="46"/>
      <c r="M636" s="47"/>
      <c r="N636" s="46"/>
      <c r="O636" s="57"/>
      <c r="P636" s="46"/>
      <c r="Q636" s="46"/>
      <c r="R636" s="57"/>
      <c r="S636" s="7"/>
      <c r="T636" s="54"/>
      <c r="U636" s="58"/>
      <c r="V636" s="47"/>
      <c r="W636" s="18"/>
      <c r="X636" s="46"/>
      <c r="Y636" s="46"/>
      <c r="Z636" s="46"/>
      <c r="AA636" s="7"/>
      <c r="AB636" s="46"/>
      <c r="AC636" s="46"/>
      <c r="AD636" s="47"/>
      <c r="AE636" s="47"/>
      <c r="AF636" s="7"/>
      <c r="AG636" s="7"/>
      <c r="AH636" s="47"/>
      <c r="AI636" s="47"/>
      <c r="AJ636" s="18"/>
      <c r="AK636" s="26"/>
      <c r="AL636" s="34"/>
      <c r="AM636" s="34"/>
      <c r="AN636" s="18"/>
      <c r="AO636" s="18"/>
      <c r="AP636" s="18"/>
      <c r="AQ636" s="18"/>
      <c r="AR636" s="47"/>
      <c r="AS636" s="47"/>
    </row>
    <row r="637">
      <c r="A637" s="51"/>
      <c r="B637" s="51"/>
      <c r="C637" s="52"/>
      <c r="D637" s="51"/>
      <c r="E637" s="53"/>
      <c r="F637" s="54"/>
      <c r="G637" s="54"/>
      <c r="H637" s="51"/>
      <c r="I637" s="55"/>
      <c r="J637" s="56"/>
      <c r="K637" s="46"/>
      <c r="L637" s="46"/>
      <c r="M637" s="47"/>
      <c r="N637" s="46"/>
      <c r="O637" s="57"/>
      <c r="P637" s="46"/>
      <c r="Q637" s="46"/>
      <c r="R637" s="57"/>
      <c r="S637" s="7"/>
      <c r="T637" s="54"/>
      <c r="U637" s="58"/>
      <c r="V637" s="47"/>
      <c r="W637" s="18"/>
      <c r="X637" s="46"/>
      <c r="Y637" s="46"/>
      <c r="Z637" s="46"/>
      <c r="AA637" s="7"/>
      <c r="AB637" s="46"/>
      <c r="AC637" s="46"/>
      <c r="AD637" s="47"/>
      <c r="AE637" s="47"/>
      <c r="AF637" s="7"/>
      <c r="AG637" s="7"/>
      <c r="AH637" s="47"/>
      <c r="AI637" s="47"/>
      <c r="AJ637" s="18"/>
      <c r="AK637" s="26"/>
      <c r="AL637" s="34"/>
      <c r="AM637" s="34"/>
      <c r="AN637" s="18"/>
      <c r="AO637" s="18"/>
      <c r="AP637" s="18"/>
      <c r="AQ637" s="18"/>
      <c r="AR637" s="47"/>
      <c r="AS637" s="47"/>
    </row>
    <row r="638">
      <c r="A638" s="51"/>
      <c r="B638" s="51"/>
      <c r="C638" s="52"/>
      <c r="D638" s="51"/>
      <c r="E638" s="53"/>
      <c r="F638" s="54"/>
      <c r="G638" s="54"/>
      <c r="H638" s="51"/>
      <c r="I638" s="55"/>
      <c r="J638" s="56"/>
      <c r="K638" s="46"/>
      <c r="L638" s="46"/>
      <c r="M638" s="47"/>
      <c r="N638" s="46"/>
      <c r="O638" s="57"/>
      <c r="P638" s="46"/>
      <c r="Q638" s="46"/>
      <c r="R638" s="57"/>
      <c r="S638" s="7"/>
      <c r="T638" s="54"/>
      <c r="U638" s="58"/>
      <c r="V638" s="47"/>
      <c r="W638" s="18"/>
      <c r="X638" s="46"/>
      <c r="Y638" s="46"/>
      <c r="Z638" s="46"/>
      <c r="AA638" s="7"/>
      <c r="AB638" s="46"/>
      <c r="AC638" s="46"/>
      <c r="AD638" s="47"/>
      <c r="AE638" s="47"/>
      <c r="AF638" s="7"/>
      <c r="AG638" s="7"/>
      <c r="AH638" s="47"/>
      <c r="AI638" s="47"/>
      <c r="AJ638" s="18"/>
      <c r="AK638" s="26"/>
      <c r="AL638" s="34"/>
      <c r="AM638" s="34"/>
      <c r="AN638" s="18"/>
      <c r="AO638" s="18"/>
      <c r="AP638" s="18"/>
      <c r="AQ638" s="18"/>
      <c r="AR638" s="47"/>
      <c r="AS638" s="47"/>
    </row>
    <row r="639">
      <c r="A639" s="51"/>
      <c r="B639" s="51"/>
      <c r="C639" s="52"/>
      <c r="D639" s="51"/>
      <c r="E639" s="53"/>
      <c r="F639" s="54"/>
      <c r="G639" s="54"/>
      <c r="H639" s="51"/>
      <c r="I639" s="55"/>
      <c r="J639" s="56"/>
      <c r="K639" s="46"/>
      <c r="L639" s="46"/>
      <c r="M639" s="47"/>
      <c r="N639" s="46"/>
      <c r="O639" s="57"/>
      <c r="P639" s="46"/>
      <c r="Q639" s="46"/>
      <c r="R639" s="57"/>
      <c r="S639" s="7"/>
      <c r="T639" s="54"/>
      <c r="U639" s="58"/>
      <c r="V639" s="47"/>
      <c r="W639" s="18"/>
      <c r="X639" s="46"/>
      <c r="Y639" s="46"/>
      <c r="Z639" s="46"/>
      <c r="AA639" s="7"/>
      <c r="AB639" s="46"/>
      <c r="AC639" s="46"/>
      <c r="AD639" s="47"/>
      <c r="AE639" s="47"/>
      <c r="AF639" s="7"/>
      <c r="AG639" s="7"/>
      <c r="AH639" s="47"/>
      <c r="AI639" s="47"/>
      <c r="AJ639" s="18"/>
      <c r="AK639" s="26"/>
      <c r="AL639" s="34"/>
      <c r="AM639" s="34"/>
      <c r="AN639" s="18"/>
      <c r="AO639" s="18"/>
      <c r="AP639" s="18"/>
      <c r="AQ639" s="18"/>
      <c r="AR639" s="47"/>
      <c r="AS639" s="47"/>
    </row>
    <row r="640">
      <c r="A640" s="51"/>
      <c r="B640" s="51"/>
      <c r="C640" s="52"/>
      <c r="D640" s="51"/>
      <c r="E640" s="53"/>
      <c r="F640" s="54"/>
      <c r="G640" s="54"/>
      <c r="H640" s="51"/>
      <c r="I640" s="55"/>
      <c r="J640" s="56"/>
      <c r="K640" s="46"/>
      <c r="L640" s="46"/>
      <c r="M640" s="47"/>
      <c r="N640" s="46"/>
      <c r="O640" s="57"/>
      <c r="P640" s="46"/>
      <c r="Q640" s="46"/>
      <c r="R640" s="57"/>
      <c r="S640" s="7"/>
      <c r="T640" s="54"/>
      <c r="U640" s="58"/>
      <c r="V640" s="47"/>
      <c r="W640" s="18"/>
      <c r="X640" s="46"/>
      <c r="Y640" s="46"/>
      <c r="Z640" s="46"/>
      <c r="AA640" s="7"/>
      <c r="AB640" s="46"/>
      <c r="AC640" s="46"/>
      <c r="AD640" s="47"/>
      <c r="AE640" s="47"/>
      <c r="AF640" s="7"/>
      <c r="AG640" s="7"/>
      <c r="AH640" s="47"/>
      <c r="AI640" s="47"/>
      <c r="AJ640" s="18"/>
      <c r="AK640" s="26"/>
      <c r="AL640" s="34"/>
      <c r="AM640" s="34"/>
      <c r="AN640" s="18"/>
      <c r="AO640" s="18"/>
      <c r="AP640" s="18"/>
      <c r="AQ640" s="18"/>
      <c r="AR640" s="47"/>
      <c r="AS640" s="47"/>
    </row>
    <row r="641">
      <c r="A641" s="51"/>
      <c r="B641" s="51"/>
      <c r="C641" s="52"/>
      <c r="D641" s="51"/>
      <c r="E641" s="53"/>
      <c r="F641" s="54"/>
      <c r="G641" s="54"/>
      <c r="H641" s="51"/>
      <c r="I641" s="55"/>
      <c r="J641" s="56"/>
      <c r="K641" s="46"/>
      <c r="L641" s="46"/>
      <c r="M641" s="47"/>
      <c r="N641" s="46"/>
      <c r="O641" s="57"/>
      <c r="P641" s="46"/>
      <c r="Q641" s="46"/>
      <c r="R641" s="57"/>
      <c r="S641" s="7"/>
      <c r="T641" s="54"/>
      <c r="U641" s="58"/>
      <c r="V641" s="47"/>
      <c r="W641" s="18"/>
      <c r="X641" s="46"/>
      <c r="Y641" s="46"/>
      <c r="Z641" s="46"/>
      <c r="AA641" s="7"/>
      <c r="AB641" s="46"/>
      <c r="AC641" s="46"/>
      <c r="AD641" s="47"/>
      <c r="AE641" s="47"/>
      <c r="AF641" s="7"/>
      <c r="AG641" s="7"/>
      <c r="AH641" s="47"/>
      <c r="AI641" s="47"/>
      <c r="AJ641" s="18"/>
      <c r="AK641" s="26"/>
      <c r="AL641" s="34"/>
      <c r="AM641" s="34"/>
      <c r="AN641" s="18"/>
      <c r="AO641" s="18"/>
      <c r="AP641" s="18"/>
      <c r="AQ641" s="18"/>
      <c r="AR641" s="47"/>
      <c r="AS641" s="47"/>
    </row>
    <row r="642">
      <c r="A642" s="51"/>
      <c r="B642" s="51"/>
      <c r="C642" s="52"/>
      <c r="D642" s="51"/>
      <c r="E642" s="53"/>
      <c r="F642" s="54"/>
      <c r="G642" s="54"/>
      <c r="H642" s="51"/>
      <c r="I642" s="55"/>
      <c r="J642" s="56"/>
      <c r="K642" s="46"/>
      <c r="L642" s="46"/>
      <c r="M642" s="47"/>
      <c r="N642" s="46"/>
      <c r="O642" s="57"/>
      <c r="P642" s="46"/>
      <c r="Q642" s="46"/>
      <c r="R642" s="57"/>
      <c r="S642" s="7"/>
      <c r="T642" s="54"/>
      <c r="U642" s="58"/>
      <c r="V642" s="47"/>
      <c r="W642" s="18"/>
      <c r="X642" s="46"/>
      <c r="Y642" s="46"/>
      <c r="Z642" s="46"/>
      <c r="AA642" s="7"/>
      <c r="AB642" s="46"/>
      <c r="AC642" s="46"/>
      <c r="AD642" s="47"/>
      <c r="AE642" s="47"/>
      <c r="AF642" s="7"/>
      <c r="AG642" s="7"/>
      <c r="AH642" s="47"/>
      <c r="AI642" s="47"/>
      <c r="AJ642" s="18"/>
      <c r="AK642" s="26"/>
      <c r="AL642" s="34"/>
      <c r="AM642" s="34"/>
      <c r="AN642" s="18"/>
      <c r="AO642" s="18"/>
      <c r="AP642" s="18"/>
      <c r="AQ642" s="18"/>
      <c r="AR642" s="47"/>
      <c r="AS642" s="47"/>
    </row>
    <row r="643">
      <c r="A643" s="51"/>
      <c r="B643" s="51"/>
      <c r="C643" s="52"/>
      <c r="D643" s="51"/>
      <c r="E643" s="53"/>
      <c r="F643" s="54"/>
      <c r="G643" s="54"/>
      <c r="H643" s="51"/>
      <c r="I643" s="55"/>
      <c r="J643" s="56"/>
      <c r="K643" s="46"/>
      <c r="L643" s="46"/>
      <c r="M643" s="47"/>
      <c r="N643" s="46"/>
      <c r="O643" s="57"/>
      <c r="P643" s="46"/>
      <c r="Q643" s="46"/>
      <c r="R643" s="57"/>
      <c r="S643" s="7"/>
      <c r="T643" s="54"/>
      <c r="U643" s="58"/>
      <c r="V643" s="47"/>
      <c r="W643" s="18"/>
      <c r="X643" s="46"/>
      <c r="Y643" s="46"/>
      <c r="Z643" s="46"/>
      <c r="AA643" s="7"/>
      <c r="AB643" s="46"/>
      <c r="AC643" s="46"/>
      <c r="AD643" s="47"/>
      <c r="AE643" s="47"/>
      <c r="AF643" s="7"/>
      <c r="AG643" s="7"/>
      <c r="AH643" s="47"/>
      <c r="AI643" s="47"/>
      <c r="AJ643" s="18"/>
      <c r="AK643" s="26"/>
      <c r="AL643" s="34"/>
      <c r="AM643" s="34"/>
      <c r="AN643" s="18"/>
      <c r="AO643" s="18"/>
      <c r="AP643" s="18"/>
      <c r="AQ643" s="18"/>
      <c r="AR643" s="47"/>
      <c r="AS643" s="47"/>
    </row>
    <row r="644">
      <c r="A644" s="51"/>
      <c r="B644" s="51"/>
      <c r="C644" s="52"/>
      <c r="D644" s="51"/>
      <c r="E644" s="53"/>
      <c r="F644" s="54"/>
      <c r="G644" s="54"/>
      <c r="H644" s="51"/>
      <c r="I644" s="55"/>
      <c r="J644" s="56"/>
      <c r="K644" s="46"/>
      <c r="L644" s="46"/>
      <c r="M644" s="47"/>
      <c r="N644" s="46"/>
      <c r="O644" s="57"/>
      <c r="P644" s="46"/>
      <c r="Q644" s="46"/>
      <c r="R644" s="57"/>
      <c r="S644" s="7"/>
      <c r="T644" s="54"/>
      <c r="U644" s="58"/>
      <c r="V644" s="47"/>
      <c r="W644" s="18"/>
      <c r="X644" s="46"/>
      <c r="Y644" s="46"/>
      <c r="Z644" s="46"/>
      <c r="AA644" s="7"/>
      <c r="AB644" s="46"/>
      <c r="AC644" s="46"/>
      <c r="AD644" s="47"/>
      <c r="AE644" s="47"/>
      <c r="AF644" s="7"/>
      <c r="AG644" s="7"/>
      <c r="AH644" s="47"/>
      <c r="AI644" s="47"/>
      <c r="AJ644" s="18"/>
      <c r="AK644" s="26"/>
      <c r="AL644" s="34"/>
      <c r="AM644" s="34"/>
      <c r="AN644" s="18"/>
      <c r="AO644" s="18"/>
      <c r="AP644" s="18"/>
      <c r="AQ644" s="18"/>
      <c r="AR644" s="47"/>
      <c r="AS644" s="47"/>
    </row>
    <row r="645">
      <c r="A645" s="51"/>
      <c r="B645" s="51"/>
      <c r="C645" s="52"/>
      <c r="D645" s="51"/>
      <c r="E645" s="53"/>
      <c r="F645" s="54"/>
      <c r="G645" s="54"/>
      <c r="H645" s="51"/>
      <c r="I645" s="55"/>
      <c r="J645" s="56"/>
      <c r="K645" s="46"/>
      <c r="L645" s="46"/>
      <c r="M645" s="47"/>
      <c r="N645" s="46"/>
      <c r="O645" s="57"/>
      <c r="P645" s="46"/>
      <c r="Q645" s="46"/>
      <c r="R645" s="57"/>
      <c r="S645" s="7"/>
      <c r="T645" s="54"/>
      <c r="U645" s="58"/>
      <c r="V645" s="47"/>
      <c r="W645" s="18"/>
      <c r="X645" s="46"/>
      <c r="Y645" s="46"/>
      <c r="Z645" s="46"/>
      <c r="AA645" s="7"/>
      <c r="AB645" s="46"/>
      <c r="AC645" s="46"/>
      <c r="AD645" s="47"/>
      <c r="AE645" s="47"/>
      <c r="AF645" s="7"/>
      <c r="AG645" s="7"/>
      <c r="AH645" s="47"/>
      <c r="AI645" s="47"/>
      <c r="AJ645" s="18"/>
      <c r="AK645" s="26"/>
      <c r="AL645" s="34"/>
      <c r="AM645" s="34"/>
      <c r="AN645" s="18"/>
      <c r="AO645" s="18"/>
      <c r="AP645" s="18"/>
      <c r="AQ645" s="18"/>
      <c r="AR645" s="47"/>
      <c r="AS645" s="47"/>
    </row>
    <row r="646">
      <c r="A646" s="51"/>
      <c r="B646" s="51"/>
      <c r="C646" s="52"/>
      <c r="D646" s="51"/>
      <c r="E646" s="53"/>
      <c r="F646" s="54"/>
      <c r="G646" s="54"/>
      <c r="H646" s="51"/>
      <c r="I646" s="55"/>
      <c r="J646" s="56"/>
      <c r="K646" s="46"/>
      <c r="L646" s="46"/>
      <c r="M646" s="47"/>
      <c r="N646" s="46"/>
      <c r="O646" s="57"/>
      <c r="P646" s="46"/>
      <c r="Q646" s="46"/>
      <c r="R646" s="57"/>
      <c r="S646" s="7"/>
      <c r="T646" s="54"/>
      <c r="U646" s="58"/>
      <c r="V646" s="47"/>
      <c r="W646" s="18"/>
      <c r="X646" s="46"/>
      <c r="Y646" s="46"/>
      <c r="Z646" s="46"/>
      <c r="AA646" s="7"/>
      <c r="AB646" s="46"/>
      <c r="AC646" s="46"/>
      <c r="AD646" s="47"/>
      <c r="AE646" s="47"/>
      <c r="AF646" s="7"/>
      <c r="AG646" s="7"/>
      <c r="AH646" s="47"/>
      <c r="AI646" s="47"/>
      <c r="AJ646" s="18"/>
      <c r="AK646" s="26"/>
      <c r="AL646" s="34"/>
      <c r="AM646" s="34"/>
      <c r="AN646" s="18"/>
      <c r="AO646" s="18"/>
      <c r="AP646" s="18"/>
      <c r="AQ646" s="18"/>
      <c r="AR646" s="47"/>
      <c r="AS646" s="47"/>
    </row>
  </sheetData>
  <mergeCells count="19">
    <mergeCell ref="AR1:AS1"/>
    <mergeCell ref="AK18:AK19"/>
    <mergeCell ref="AL18:AL19"/>
    <mergeCell ref="AM18:AM19"/>
    <mergeCell ref="AN18:AN19"/>
    <mergeCell ref="AO18:AO19"/>
    <mergeCell ref="AP18:AP19"/>
    <mergeCell ref="AL22:AL23"/>
    <mergeCell ref="AM22:AM23"/>
    <mergeCell ref="AN22:AN23"/>
    <mergeCell ref="AO22:AO23"/>
    <mergeCell ref="AK20:AK21"/>
    <mergeCell ref="AL20:AL21"/>
    <mergeCell ref="AM20:AM21"/>
    <mergeCell ref="AN20:AN21"/>
    <mergeCell ref="AO20:AO21"/>
    <mergeCell ref="AP20:AP21"/>
    <mergeCell ref="AK22:AK23"/>
    <mergeCell ref="AP22:AP23"/>
  </mergeCells>
  <conditionalFormatting sqref="U1:U646 S2:S646">
    <cfRule type="cellIs" dxfId="0" priority="1" operator="greaterThanOrEqual">
      <formula>"10%"</formula>
    </cfRule>
  </conditionalFormatting>
  <conditionalFormatting sqref="U1:U646 S2:S646">
    <cfRule type="cellIs" dxfId="1" priority="2" operator="between">
      <formula>"1%"</formula>
      <formula>"10%"</formula>
    </cfRule>
  </conditionalFormatting>
  <conditionalFormatting sqref="U1:U646 S2:S646">
    <cfRule type="cellIs" dxfId="2" priority="3" operator="lessThanOrEqual">
      <formula>"-10%"</formula>
    </cfRule>
  </conditionalFormatting>
  <conditionalFormatting sqref="U1:U646 S2:S646">
    <cfRule type="cellIs" dxfId="3" priority="4" operator="between">
      <formula>"-1%"</formula>
      <formula>"-10%"</formula>
    </cfRule>
  </conditionalFormatting>
  <conditionalFormatting sqref="U1:U646 S2:S646">
    <cfRule type="cellIs" dxfId="4" priority="5" operator="between">
      <formula>"-1%"</formula>
      <formula>"1%"</formula>
    </cfRule>
  </conditionalFormatting>
  <conditionalFormatting sqref="K2:L646">
    <cfRule type="expression" dxfId="5" priority="6">
      <formula>K2&gt;I2</formula>
    </cfRule>
  </conditionalFormatting>
  <conditionalFormatting sqref="K2:L646">
    <cfRule type="expression" dxfId="6" priority="7">
      <formula>K2&lt;I2</formula>
    </cfRule>
  </conditionalFormatting>
  <conditionalFormatting sqref="D2:D646">
    <cfRule type="containsText" dxfId="7" priority="8" operator="containsText" text="ABIERTA">
      <formula>NOT(ISERROR(SEARCH(("ABIERTA"),(D2))))</formula>
    </cfRule>
  </conditionalFormatting>
  <conditionalFormatting sqref="D2:D646">
    <cfRule type="containsText" dxfId="8" priority="9" operator="containsText" text="CERRADA">
      <formula>NOT(ISERROR(SEARCH(("CERRADA"),(D2))))</formula>
    </cfRule>
  </conditionalFormatting>
  <conditionalFormatting sqref="U4:U6">
    <cfRule type="notContainsBlanks" dxfId="9" priority="10">
      <formula>LEN(TRIM(U4))&gt;0</formula>
    </cfRule>
  </conditionalFormatting>
  <dataValidations>
    <dataValidation type="list" allowBlank="1" sqref="D2:D646">
      <formula1>"ABIERTA,CERRADA"</formula1>
    </dataValidation>
    <dataValidation type="list" allowBlank="1" sqref="A2:A646">
      <formula1>Config!$A$3:$A$5</formula1>
    </dataValidation>
    <dataValidation type="list" allowBlank="1" showErrorMessage="1" sqref="B2:B4">
      <formula1>Bonds!$AR$3:$AR646</formula1>
    </dataValidation>
    <dataValidation type="custom" allowBlank="1" showDropDown="1" sqref="C2:C646 E2:E646">
      <formula1>OR(NOT(ISERROR(DATEVALUE(C2))), AND(ISNUMBER(C2), LEFT(CELL("format", C2))="D"))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5" t="s">
        <v>96</v>
      </c>
    </row>
    <row r="2">
      <c r="A2" s="66" t="s">
        <v>97</v>
      </c>
      <c r="B2" s="67" t="s">
        <v>18</v>
      </c>
    </row>
    <row r="3">
      <c r="A3" s="66">
        <v>45303.0</v>
      </c>
      <c r="B3" s="68">
        <v>1136.65</v>
      </c>
    </row>
    <row r="4">
      <c r="A4" s="66">
        <v>45308.0</v>
      </c>
      <c r="B4" s="68">
        <v>1273.34</v>
      </c>
    </row>
    <row r="5">
      <c r="A5" s="66">
        <v>45301.0</v>
      </c>
      <c r="B5" s="68">
        <v>1182.72</v>
      </c>
    </row>
    <row r="6">
      <c r="A6" s="66">
        <v>40231.0</v>
      </c>
      <c r="B6" s="69" t="s">
        <v>98</v>
      </c>
    </row>
    <row r="7">
      <c r="A7" s="66">
        <v>40235.0</v>
      </c>
      <c r="B7" s="69" t="s">
        <v>99</v>
      </c>
    </row>
    <row r="8">
      <c r="A8" s="66">
        <v>40246.0</v>
      </c>
      <c r="B8" s="69" t="s">
        <v>100</v>
      </c>
    </row>
    <row r="9">
      <c r="A9" s="66">
        <v>40249.0</v>
      </c>
      <c r="B9" s="69" t="s">
        <v>101</v>
      </c>
    </row>
    <row r="10">
      <c r="A10" s="66">
        <v>40253.0</v>
      </c>
      <c r="B10" s="69" t="s">
        <v>102</v>
      </c>
    </row>
    <row r="11">
      <c r="A11" s="66">
        <v>40254.0</v>
      </c>
      <c r="B11" s="69" t="s">
        <v>103</v>
      </c>
    </row>
    <row r="12">
      <c r="A12" s="66">
        <v>40262.0</v>
      </c>
      <c r="B12" s="69" t="s">
        <v>104</v>
      </c>
    </row>
    <row r="13">
      <c r="A13" s="66">
        <v>40277.0</v>
      </c>
      <c r="B13" s="69" t="s">
        <v>105</v>
      </c>
    </row>
    <row r="14">
      <c r="A14" s="66">
        <v>40280.0</v>
      </c>
      <c r="B14" s="69" t="s">
        <v>106</v>
      </c>
    </row>
    <row r="15">
      <c r="A15" s="66">
        <v>40281.0</v>
      </c>
      <c r="B15" s="69" t="s">
        <v>107</v>
      </c>
    </row>
    <row r="16">
      <c r="A16" s="66">
        <v>40287.0</v>
      </c>
      <c r="B16" s="69" t="s">
        <v>108</v>
      </c>
    </row>
    <row r="17">
      <c r="A17" s="66">
        <v>40295.0</v>
      </c>
      <c r="B17" s="69" t="s">
        <v>109</v>
      </c>
    </row>
    <row r="18">
      <c r="A18" s="66">
        <v>40301.0</v>
      </c>
      <c r="B18" s="69" t="s">
        <v>110</v>
      </c>
    </row>
    <row r="19">
      <c r="A19" s="66">
        <v>40302.0</v>
      </c>
      <c r="B19" s="69" t="s">
        <v>111</v>
      </c>
    </row>
    <row r="20">
      <c r="A20" s="66">
        <v>40303.0</v>
      </c>
      <c r="B20" s="69" t="s">
        <v>112</v>
      </c>
    </row>
    <row r="21">
      <c r="A21" s="66">
        <v>40308.0</v>
      </c>
      <c r="B21" s="69" t="s">
        <v>113</v>
      </c>
    </row>
    <row r="22">
      <c r="A22" s="66">
        <v>40309.0</v>
      </c>
      <c r="B22" s="69" t="s">
        <v>114</v>
      </c>
    </row>
    <row r="23">
      <c r="A23" s="66">
        <v>40338.0</v>
      </c>
      <c r="B23" s="69" t="s">
        <v>115</v>
      </c>
    </row>
    <row r="24">
      <c r="A24" s="66">
        <v>40360.0</v>
      </c>
      <c r="B24" s="69" t="s">
        <v>116</v>
      </c>
    </row>
    <row r="25">
      <c r="A25" s="66">
        <v>40365.0</v>
      </c>
      <c r="B25" s="69" t="s">
        <v>117</v>
      </c>
    </row>
    <row r="26">
      <c r="A26" s="66">
        <v>40373.0</v>
      </c>
      <c r="B26" s="69" t="s">
        <v>118</v>
      </c>
    </row>
    <row r="27">
      <c r="A27" s="66">
        <v>40382.0</v>
      </c>
      <c r="B27" s="69" t="s">
        <v>119</v>
      </c>
    </row>
    <row r="28">
      <c r="A28" s="66">
        <v>40385.0</v>
      </c>
      <c r="B28" s="69" t="s">
        <v>120</v>
      </c>
    </row>
    <row r="29">
      <c r="A29" s="66">
        <v>40386.0</v>
      </c>
      <c r="B29" s="69" t="s">
        <v>121</v>
      </c>
    </row>
    <row r="30">
      <c r="A30" s="66">
        <v>40388.0</v>
      </c>
      <c r="B30" s="69" t="s">
        <v>120</v>
      </c>
    </row>
    <row r="31">
      <c r="A31" s="66">
        <v>40389.0</v>
      </c>
      <c r="B31" s="69" t="s">
        <v>122</v>
      </c>
    </row>
    <row r="32">
      <c r="A32" s="66">
        <v>40402.0</v>
      </c>
      <c r="B32" s="69" t="s">
        <v>123</v>
      </c>
    </row>
    <row r="33">
      <c r="A33" s="66">
        <v>40407.0</v>
      </c>
      <c r="B33" s="69" t="s">
        <v>124</v>
      </c>
    </row>
    <row r="34">
      <c r="A34" s="66">
        <v>40408.0</v>
      </c>
      <c r="B34" s="69" t="s">
        <v>125</v>
      </c>
    </row>
    <row r="35">
      <c r="A35" s="66">
        <v>40415.0</v>
      </c>
      <c r="B35" s="69" t="s">
        <v>126</v>
      </c>
    </row>
    <row r="36">
      <c r="A36" s="66">
        <v>40421.0</v>
      </c>
      <c r="B36" s="69" t="s">
        <v>127</v>
      </c>
    </row>
    <row r="37">
      <c r="A37" s="66">
        <v>40430.0</v>
      </c>
      <c r="B37" s="69" t="s">
        <v>128</v>
      </c>
    </row>
    <row r="38">
      <c r="A38" s="66">
        <v>40431.0</v>
      </c>
      <c r="B38" s="69" t="s">
        <v>129</v>
      </c>
    </row>
    <row r="39">
      <c r="A39" s="66">
        <v>40434.0</v>
      </c>
      <c r="B39" s="69" t="s">
        <v>130</v>
      </c>
    </row>
    <row r="40">
      <c r="A40" s="66">
        <v>40441.0</v>
      </c>
      <c r="B40" s="69" t="s">
        <v>131</v>
      </c>
    </row>
    <row r="41">
      <c r="A41" s="66">
        <v>40442.0</v>
      </c>
      <c r="B41" s="69" t="s">
        <v>132</v>
      </c>
    </row>
    <row r="42">
      <c r="A42" s="66">
        <v>40443.0</v>
      </c>
      <c r="B42" s="69" t="s">
        <v>133</v>
      </c>
    </row>
    <row r="43">
      <c r="A43" s="66">
        <v>40451.0</v>
      </c>
      <c r="B43" s="69" t="s">
        <v>134</v>
      </c>
    </row>
    <row r="44">
      <c r="A44" s="66">
        <v>40457.0</v>
      </c>
      <c r="B44" s="69" t="s">
        <v>135</v>
      </c>
    </row>
    <row r="45">
      <c r="A45" s="66">
        <v>40470.0</v>
      </c>
      <c r="B45" s="69" t="s">
        <v>136</v>
      </c>
    </row>
    <row r="46">
      <c r="A46" s="66">
        <v>40472.0</v>
      </c>
      <c r="B46" s="69" t="s">
        <v>137</v>
      </c>
    </row>
    <row r="47">
      <c r="A47" s="66">
        <v>40477.0</v>
      </c>
      <c r="B47" s="69" t="s">
        <v>138</v>
      </c>
    </row>
    <row r="48">
      <c r="A48" s="66">
        <v>40484.0</v>
      </c>
      <c r="B48" s="69" t="s">
        <v>139</v>
      </c>
    </row>
    <row r="49">
      <c r="A49" s="66">
        <v>40486.0</v>
      </c>
      <c r="B49" s="69" t="s">
        <v>140</v>
      </c>
    </row>
    <row r="50">
      <c r="A50" s="66">
        <v>40491.0</v>
      </c>
      <c r="B50" s="69" t="s">
        <v>141</v>
      </c>
    </row>
    <row r="51">
      <c r="A51" s="66">
        <v>40492.0</v>
      </c>
      <c r="B51" s="69" t="s">
        <v>142</v>
      </c>
    </row>
    <row r="52">
      <c r="A52" s="66">
        <v>40493.0</v>
      </c>
      <c r="B52" s="69" t="s">
        <v>143</v>
      </c>
    </row>
    <row r="53">
      <c r="A53" s="66">
        <v>40494.0</v>
      </c>
      <c r="B53" s="69" t="s">
        <v>144</v>
      </c>
    </row>
    <row r="54">
      <c r="A54" s="66">
        <v>40497.0</v>
      </c>
      <c r="B54" s="69" t="s">
        <v>145</v>
      </c>
    </row>
    <row r="55">
      <c r="A55" s="66">
        <v>40498.0</v>
      </c>
      <c r="B55" s="69" t="s">
        <v>146</v>
      </c>
    </row>
    <row r="56">
      <c r="A56" s="66">
        <v>40522.0</v>
      </c>
      <c r="B56" s="69" t="s">
        <v>147</v>
      </c>
    </row>
    <row r="57">
      <c r="A57" s="66">
        <v>40533.0</v>
      </c>
      <c r="B57" s="69" t="s">
        <v>148</v>
      </c>
    </row>
    <row r="58">
      <c r="A58" s="66">
        <v>40535.0</v>
      </c>
      <c r="B58" s="69" t="s">
        <v>149</v>
      </c>
    </row>
    <row r="59">
      <c r="A59" s="66">
        <v>40547.0</v>
      </c>
      <c r="B59" s="69" t="s">
        <v>150</v>
      </c>
    </row>
    <row r="60">
      <c r="A60" s="66">
        <v>40560.0</v>
      </c>
      <c r="B60" s="69" t="s">
        <v>151</v>
      </c>
    </row>
    <row r="61">
      <c r="A61" s="66">
        <v>40561.0</v>
      </c>
      <c r="B61" s="69" t="s">
        <v>152</v>
      </c>
    </row>
    <row r="62">
      <c r="A62" s="66">
        <v>40563.0</v>
      </c>
      <c r="B62" s="69" t="s">
        <v>153</v>
      </c>
    </row>
    <row r="63">
      <c r="A63" s="66">
        <v>40564.0</v>
      </c>
      <c r="B63" s="69" t="s">
        <v>154</v>
      </c>
    </row>
    <row r="64">
      <c r="A64" s="66">
        <v>40569.0</v>
      </c>
      <c r="B64" s="69" t="s">
        <v>155</v>
      </c>
    </row>
    <row r="65">
      <c r="A65" s="66">
        <v>40570.0</v>
      </c>
      <c r="B65" s="69" t="s">
        <v>156</v>
      </c>
    </row>
    <row r="66">
      <c r="A66" s="66">
        <v>40571.0</v>
      </c>
      <c r="B66" s="69" t="s">
        <v>157</v>
      </c>
    </row>
    <row r="67">
      <c r="A67" s="66">
        <v>40574.0</v>
      </c>
      <c r="B67" s="69" t="s">
        <v>158</v>
      </c>
    </row>
    <row r="68">
      <c r="A68" s="66">
        <v>40576.0</v>
      </c>
      <c r="B68" s="69" t="s">
        <v>159</v>
      </c>
    </row>
    <row r="69">
      <c r="A69" s="66">
        <v>40581.0</v>
      </c>
      <c r="B69" s="69" t="s">
        <v>160</v>
      </c>
    </row>
    <row r="70">
      <c r="A70" s="66">
        <v>40582.0</v>
      </c>
      <c r="B70" s="69" t="s">
        <v>161</v>
      </c>
    </row>
    <row r="71">
      <c r="A71" s="66">
        <v>40588.0</v>
      </c>
      <c r="B71" s="69" t="s">
        <v>162</v>
      </c>
    </row>
    <row r="72">
      <c r="A72" s="66">
        <v>40590.0</v>
      </c>
      <c r="B72" s="69" t="s">
        <v>162</v>
      </c>
    </row>
    <row r="73">
      <c r="A73" s="66">
        <v>40596.0</v>
      </c>
      <c r="B73" s="69" t="s">
        <v>163</v>
      </c>
    </row>
    <row r="74">
      <c r="A74" s="66">
        <v>40597.0</v>
      </c>
      <c r="B74" s="69" t="s">
        <v>164</v>
      </c>
    </row>
    <row r="75">
      <c r="A75" s="66">
        <v>40598.0</v>
      </c>
      <c r="B75" s="69" t="s">
        <v>165</v>
      </c>
    </row>
    <row r="76">
      <c r="A76" s="66">
        <v>40599.0</v>
      </c>
      <c r="B76" s="69" t="s">
        <v>166</v>
      </c>
    </row>
    <row r="77">
      <c r="A77" s="66">
        <v>40602.0</v>
      </c>
      <c r="B77" s="69" t="s">
        <v>167</v>
      </c>
    </row>
    <row r="78">
      <c r="A78" s="66">
        <v>40605.0</v>
      </c>
      <c r="B78" s="69" t="s">
        <v>168</v>
      </c>
    </row>
    <row r="79">
      <c r="A79" s="66">
        <v>40611.0</v>
      </c>
      <c r="B79" s="69" t="s">
        <v>169</v>
      </c>
    </row>
    <row r="80">
      <c r="A80" s="66">
        <v>40612.0</v>
      </c>
      <c r="B80" s="69" t="s">
        <v>170</v>
      </c>
    </row>
    <row r="81">
      <c r="A81" s="66">
        <v>40613.0</v>
      </c>
      <c r="B81" s="69" t="s">
        <v>170</v>
      </c>
    </row>
    <row r="82">
      <c r="A82" s="66">
        <v>40616.0</v>
      </c>
      <c r="B82" s="69" t="s">
        <v>171</v>
      </c>
    </row>
    <row r="83">
      <c r="A83" s="66">
        <v>40617.0</v>
      </c>
      <c r="B83" s="69" t="s">
        <v>172</v>
      </c>
    </row>
    <row r="84">
      <c r="A84" s="66">
        <v>40618.0</v>
      </c>
      <c r="B84" s="69" t="s">
        <v>173</v>
      </c>
    </row>
    <row r="85">
      <c r="A85" s="66">
        <v>40619.0</v>
      </c>
      <c r="B85" s="69" t="s">
        <v>174</v>
      </c>
    </row>
    <row r="86">
      <c r="A86" s="66">
        <v>40620.0</v>
      </c>
      <c r="B86" s="69" t="s">
        <v>175</v>
      </c>
    </row>
    <row r="87">
      <c r="A87" s="66">
        <v>40624.0</v>
      </c>
      <c r="B87" s="69" t="s">
        <v>176</v>
      </c>
    </row>
    <row r="88">
      <c r="A88" s="66">
        <v>40625.0</v>
      </c>
      <c r="B88" s="69" t="s">
        <v>177</v>
      </c>
    </row>
    <row r="89">
      <c r="A89" s="66">
        <v>40630.0</v>
      </c>
      <c r="B89" s="69" t="s">
        <v>178</v>
      </c>
    </row>
    <row r="90">
      <c r="A90" s="66">
        <v>40637.0</v>
      </c>
      <c r="B90" s="69" t="s">
        <v>179</v>
      </c>
    </row>
    <row r="91">
      <c r="A91" s="66">
        <v>40640.0</v>
      </c>
      <c r="B91" s="69" t="s">
        <v>180</v>
      </c>
    </row>
    <row r="92">
      <c r="A92" s="66">
        <v>40641.0</v>
      </c>
      <c r="B92" s="69" t="s">
        <v>181</v>
      </c>
    </row>
    <row r="93">
      <c r="A93" s="66">
        <v>40645.0</v>
      </c>
      <c r="B93" s="69" t="s">
        <v>182</v>
      </c>
    </row>
    <row r="94">
      <c r="A94" s="66">
        <v>40646.0</v>
      </c>
      <c r="B94" s="69" t="s">
        <v>183</v>
      </c>
    </row>
    <row r="95">
      <c r="A95" s="66">
        <v>40647.0</v>
      </c>
      <c r="B95" s="69" t="s">
        <v>184</v>
      </c>
    </row>
    <row r="96">
      <c r="A96" s="66">
        <v>40648.0</v>
      </c>
      <c r="B96" s="69" t="s">
        <v>185</v>
      </c>
    </row>
    <row r="97">
      <c r="A97" s="66">
        <v>40653.0</v>
      </c>
      <c r="B97" s="69" t="s">
        <v>186</v>
      </c>
    </row>
    <row r="98">
      <c r="A98" s="66">
        <v>40658.0</v>
      </c>
      <c r="B98" s="69" t="s">
        <v>187</v>
      </c>
    </row>
    <row r="99">
      <c r="A99" s="66">
        <v>40662.0</v>
      </c>
      <c r="B99" s="69" t="s">
        <v>188</v>
      </c>
    </row>
    <row r="100">
      <c r="A100" s="66">
        <v>40666.0</v>
      </c>
      <c r="B100" s="69" t="s">
        <v>189</v>
      </c>
    </row>
    <row r="101">
      <c r="A101" s="66">
        <v>40672.0</v>
      </c>
      <c r="B101" s="69" t="s">
        <v>190</v>
      </c>
    </row>
    <row r="102">
      <c r="A102" s="66">
        <v>40673.0</v>
      </c>
      <c r="B102" s="69" t="s">
        <v>191</v>
      </c>
    </row>
    <row r="103">
      <c r="A103" s="66">
        <v>40682.0</v>
      </c>
      <c r="B103" s="69" t="s">
        <v>192</v>
      </c>
    </row>
    <row r="104">
      <c r="A104" s="66">
        <v>40687.0</v>
      </c>
      <c r="B104" s="69" t="s">
        <v>193</v>
      </c>
    </row>
    <row r="105">
      <c r="A105" s="66">
        <v>40689.0</v>
      </c>
      <c r="B105" s="69" t="s">
        <v>194</v>
      </c>
    </row>
    <row r="106">
      <c r="A106" s="66">
        <v>40697.0</v>
      </c>
      <c r="B106" s="69" t="s">
        <v>195</v>
      </c>
    </row>
    <row r="107">
      <c r="A107" s="66">
        <v>40700.0</v>
      </c>
      <c r="B107" s="69" t="s">
        <v>196</v>
      </c>
    </row>
    <row r="108">
      <c r="A108" s="66">
        <v>40701.0</v>
      </c>
      <c r="B108" s="69" t="s">
        <v>197</v>
      </c>
    </row>
    <row r="109">
      <c r="A109" s="66">
        <v>40702.0</v>
      </c>
      <c r="B109" s="69" t="s">
        <v>198</v>
      </c>
    </row>
    <row r="110">
      <c r="A110" s="66">
        <v>40704.0</v>
      </c>
      <c r="B110" s="69" t="s">
        <v>199</v>
      </c>
    </row>
    <row r="111">
      <c r="A111" s="66">
        <v>40716.0</v>
      </c>
      <c r="B111" s="69" t="s">
        <v>200</v>
      </c>
    </row>
    <row r="112">
      <c r="A112" s="66">
        <v>40722.0</v>
      </c>
      <c r="B112" s="69" t="s">
        <v>201</v>
      </c>
    </row>
    <row r="113">
      <c r="A113" s="66">
        <v>40724.0</v>
      </c>
      <c r="B113" s="69" t="s">
        <v>202</v>
      </c>
    </row>
    <row r="114">
      <c r="A114" s="66">
        <v>40725.0</v>
      </c>
      <c r="B114" s="69" t="s">
        <v>203</v>
      </c>
    </row>
    <row r="115">
      <c r="A115" s="66">
        <v>40728.0</v>
      </c>
      <c r="B115" s="69" t="s">
        <v>204</v>
      </c>
    </row>
    <row r="116">
      <c r="A116" s="66">
        <v>40729.0</v>
      </c>
      <c r="B116" s="69" t="s">
        <v>205</v>
      </c>
    </row>
    <row r="117">
      <c r="A117" s="66">
        <v>40736.0</v>
      </c>
      <c r="B117" s="69" t="s">
        <v>206</v>
      </c>
    </row>
    <row r="118">
      <c r="A118" s="66">
        <v>40737.0</v>
      </c>
      <c r="B118" s="69" t="s">
        <v>207</v>
      </c>
    </row>
    <row r="119">
      <c r="A119" s="66">
        <v>40738.0</v>
      </c>
      <c r="B119" s="69" t="s">
        <v>208</v>
      </c>
    </row>
    <row r="120">
      <c r="A120" s="66">
        <v>40739.0</v>
      </c>
      <c r="B120" s="69" t="s">
        <v>208</v>
      </c>
    </row>
    <row r="121">
      <c r="A121" s="66">
        <v>40742.0</v>
      </c>
      <c r="B121" s="69" t="s">
        <v>209</v>
      </c>
    </row>
    <row r="122">
      <c r="A122" s="66">
        <v>40743.0</v>
      </c>
      <c r="B122" s="69" t="s">
        <v>210</v>
      </c>
    </row>
    <row r="123">
      <c r="A123" s="66">
        <v>40744.0</v>
      </c>
      <c r="B123" s="69" t="s">
        <v>211</v>
      </c>
    </row>
    <row r="124">
      <c r="A124" s="66">
        <v>40745.0</v>
      </c>
      <c r="B124" s="69" t="s">
        <v>212</v>
      </c>
    </row>
    <row r="125">
      <c r="A125" s="66">
        <v>40746.0</v>
      </c>
      <c r="B125" s="69" t="s">
        <v>213</v>
      </c>
    </row>
    <row r="126">
      <c r="A126" s="66">
        <v>40750.0</v>
      </c>
      <c r="B126" s="69" t="s">
        <v>214</v>
      </c>
    </row>
    <row r="127">
      <c r="A127" s="66">
        <v>40756.0</v>
      </c>
      <c r="B127" s="69" t="s">
        <v>215</v>
      </c>
    </row>
    <row r="128">
      <c r="A128" s="66">
        <v>40757.0</v>
      </c>
      <c r="B128" s="69" t="s">
        <v>216</v>
      </c>
    </row>
    <row r="129">
      <c r="A129" s="66">
        <v>40758.0</v>
      </c>
      <c r="B129" s="69" t="s">
        <v>217</v>
      </c>
    </row>
    <row r="130">
      <c r="A130" s="66">
        <v>40759.0</v>
      </c>
      <c r="B130" s="69" t="s">
        <v>218</v>
      </c>
    </row>
    <row r="131">
      <c r="A131" s="66">
        <v>40760.0</v>
      </c>
      <c r="B131" s="69" t="s">
        <v>219</v>
      </c>
    </row>
    <row r="132">
      <c r="A132" s="66">
        <v>40763.0</v>
      </c>
      <c r="B132" s="69" t="s">
        <v>220</v>
      </c>
    </row>
    <row r="133">
      <c r="A133" s="66">
        <v>40764.0</v>
      </c>
      <c r="B133" s="69" t="s">
        <v>221</v>
      </c>
    </row>
    <row r="134">
      <c r="A134" s="66">
        <v>40765.0</v>
      </c>
      <c r="B134" s="69" t="s">
        <v>222</v>
      </c>
    </row>
    <row r="135">
      <c r="A135" s="66">
        <v>40766.0</v>
      </c>
      <c r="B135" s="69" t="s">
        <v>223</v>
      </c>
    </row>
    <row r="136">
      <c r="A136" s="66">
        <v>40767.0</v>
      </c>
      <c r="B136" s="69" t="s">
        <v>224</v>
      </c>
    </row>
    <row r="137">
      <c r="A137" s="66">
        <v>40770.0</v>
      </c>
      <c r="B137" s="69" t="s">
        <v>225</v>
      </c>
    </row>
    <row r="138">
      <c r="A138" s="66">
        <v>40771.0</v>
      </c>
      <c r="B138" s="69" t="s">
        <v>198</v>
      </c>
    </row>
    <row r="139">
      <c r="A139" s="66">
        <v>40772.0</v>
      </c>
      <c r="B139" s="69" t="s">
        <v>226</v>
      </c>
    </row>
    <row r="140">
      <c r="A140" s="66">
        <v>40773.0</v>
      </c>
      <c r="B140" s="69" t="s">
        <v>227</v>
      </c>
    </row>
    <row r="141">
      <c r="A141" s="66">
        <v>40778.0</v>
      </c>
      <c r="B141" s="69" t="s">
        <v>228</v>
      </c>
    </row>
    <row r="142">
      <c r="A142" s="66">
        <v>40779.0</v>
      </c>
      <c r="B142" s="69" t="s">
        <v>229</v>
      </c>
    </row>
    <row r="143">
      <c r="A143" s="66">
        <v>40781.0</v>
      </c>
      <c r="B143" s="69" t="s">
        <v>230</v>
      </c>
    </row>
    <row r="144">
      <c r="A144" s="66">
        <v>40784.0</v>
      </c>
      <c r="B144" s="69" t="s">
        <v>231</v>
      </c>
    </row>
    <row r="145">
      <c r="A145" s="66">
        <v>40785.0</v>
      </c>
      <c r="B145" s="69" t="s">
        <v>232</v>
      </c>
    </row>
    <row r="146">
      <c r="A146" s="66">
        <v>40786.0</v>
      </c>
      <c r="B146" s="69" t="s">
        <v>233</v>
      </c>
    </row>
    <row r="147">
      <c r="A147" s="66">
        <v>40787.0</v>
      </c>
      <c r="B147" s="69" t="s">
        <v>234</v>
      </c>
    </row>
    <row r="148">
      <c r="A148" s="66">
        <v>40793.0</v>
      </c>
      <c r="B148" s="69" t="s">
        <v>235</v>
      </c>
    </row>
    <row r="149">
      <c r="A149" s="66">
        <v>40795.0</v>
      </c>
      <c r="B149" s="69" t="s">
        <v>236</v>
      </c>
    </row>
    <row r="150">
      <c r="A150" s="66">
        <v>40800.0</v>
      </c>
      <c r="B150" s="69" t="s">
        <v>237</v>
      </c>
    </row>
    <row r="151">
      <c r="A151" s="66">
        <v>40802.0</v>
      </c>
      <c r="B151" s="69" t="s">
        <v>238</v>
      </c>
    </row>
    <row r="152">
      <c r="A152" s="66">
        <v>40806.0</v>
      </c>
      <c r="B152" s="69" t="s">
        <v>239</v>
      </c>
    </row>
    <row r="153">
      <c r="A153" s="66">
        <v>40807.0</v>
      </c>
      <c r="B153" s="69" t="s">
        <v>240</v>
      </c>
    </row>
    <row r="154">
      <c r="A154" s="66">
        <v>40808.0</v>
      </c>
      <c r="B154" s="69" t="s">
        <v>241</v>
      </c>
    </row>
    <row r="155">
      <c r="A155" s="66">
        <v>40809.0</v>
      </c>
      <c r="B155" s="69" t="s">
        <v>242</v>
      </c>
    </row>
    <row r="156">
      <c r="A156" s="66">
        <v>40812.0</v>
      </c>
      <c r="B156" s="69" t="s">
        <v>243</v>
      </c>
    </row>
    <row r="157">
      <c r="A157" s="66">
        <v>40813.0</v>
      </c>
      <c r="B157" s="69" t="s">
        <v>244</v>
      </c>
    </row>
    <row r="158">
      <c r="A158" s="66">
        <v>40814.0</v>
      </c>
      <c r="B158" s="69" t="s">
        <v>245</v>
      </c>
    </row>
    <row r="159">
      <c r="A159" s="66">
        <v>40815.0</v>
      </c>
      <c r="B159" s="69" t="s">
        <v>246</v>
      </c>
    </row>
    <row r="160">
      <c r="A160" s="66">
        <v>40819.0</v>
      </c>
      <c r="B160" s="69" t="s">
        <v>247</v>
      </c>
    </row>
    <row r="161">
      <c r="A161" s="66">
        <v>40820.0</v>
      </c>
      <c r="B161" s="69" t="s">
        <v>248</v>
      </c>
    </row>
    <row r="162">
      <c r="A162" s="66">
        <v>40822.0</v>
      </c>
      <c r="B162" s="69" t="s">
        <v>249</v>
      </c>
    </row>
    <row r="163">
      <c r="A163" s="66">
        <v>40823.0</v>
      </c>
      <c r="B163" s="69" t="s">
        <v>250</v>
      </c>
    </row>
    <row r="164">
      <c r="A164" s="66">
        <v>40827.0</v>
      </c>
      <c r="B164" s="69" t="s">
        <v>251</v>
      </c>
    </row>
    <row r="165">
      <c r="A165" s="66">
        <v>40829.0</v>
      </c>
      <c r="B165" s="69" t="s">
        <v>252</v>
      </c>
    </row>
    <row r="166">
      <c r="A166" s="66">
        <v>40834.0</v>
      </c>
      <c r="B166" s="69" t="s">
        <v>253</v>
      </c>
    </row>
    <row r="167">
      <c r="A167" s="66">
        <v>40835.0</v>
      </c>
      <c r="B167" s="69" t="s">
        <v>254</v>
      </c>
    </row>
    <row r="168">
      <c r="A168" s="66">
        <v>40836.0</v>
      </c>
      <c r="B168" s="69" t="s">
        <v>255</v>
      </c>
    </row>
    <row r="169">
      <c r="A169" s="66">
        <v>40837.0</v>
      </c>
      <c r="B169" s="69" t="s">
        <v>256</v>
      </c>
    </row>
    <row r="170">
      <c r="A170" s="66">
        <v>40840.0</v>
      </c>
      <c r="B170" s="69" t="s">
        <v>257</v>
      </c>
    </row>
    <row r="171">
      <c r="A171" s="66">
        <v>40844.0</v>
      </c>
      <c r="B171" s="69" t="s">
        <v>258</v>
      </c>
    </row>
    <row r="172">
      <c r="A172" s="66">
        <v>40847.0</v>
      </c>
      <c r="B172" s="69" t="s">
        <v>259</v>
      </c>
    </row>
    <row r="173">
      <c r="A173" s="66">
        <v>40848.0</v>
      </c>
      <c r="B173" s="69" t="s">
        <v>260</v>
      </c>
    </row>
    <row r="174">
      <c r="A174" s="66">
        <v>40849.0</v>
      </c>
      <c r="B174" s="69" t="s">
        <v>261</v>
      </c>
    </row>
    <row r="175">
      <c r="A175" s="66">
        <v>40850.0</v>
      </c>
      <c r="B175" s="69" t="s">
        <v>262</v>
      </c>
    </row>
    <row r="176">
      <c r="A176" s="66">
        <v>40854.0</v>
      </c>
      <c r="B176" s="69" t="s">
        <v>263</v>
      </c>
    </row>
    <row r="177">
      <c r="A177" s="66">
        <v>40855.0</v>
      </c>
      <c r="B177" s="69" t="s">
        <v>264</v>
      </c>
    </row>
    <row r="178">
      <c r="A178" s="66">
        <v>40858.0</v>
      </c>
      <c r="B178" s="69" t="s">
        <v>265</v>
      </c>
    </row>
    <row r="179">
      <c r="A179" s="66">
        <v>40861.0</v>
      </c>
      <c r="B179" s="69" t="s">
        <v>266</v>
      </c>
    </row>
    <row r="180">
      <c r="A180" s="66">
        <v>40863.0</v>
      </c>
      <c r="B180" s="69" t="s">
        <v>267</v>
      </c>
    </row>
    <row r="181">
      <c r="A181" s="66">
        <v>40864.0</v>
      </c>
      <c r="B181" s="69" t="s">
        <v>268</v>
      </c>
    </row>
    <row r="182">
      <c r="A182" s="66">
        <v>40870.0</v>
      </c>
      <c r="B182" s="69" t="s">
        <v>269</v>
      </c>
    </row>
    <row r="183">
      <c r="A183" s="66">
        <v>40876.0</v>
      </c>
      <c r="B183" s="69" t="s">
        <v>270</v>
      </c>
    </row>
    <row r="184">
      <c r="A184" s="66">
        <v>40877.0</v>
      </c>
      <c r="B184" s="69" t="s">
        <v>271</v>
      </c>
    </row>
    <row r="185">
      <c r="A185" s="66">
        <v>40878.0</v>
      </c>
      <c r="B185" s="69" t="s">
        <v>272</v>
      </c>
    </row>
    <row r="186">
      <c r="A186" s="66">
        <v>40879.0</v>
      </c>
      <c r="B186" s="69" t="s">
        <v>273</v>
      </c>
    </row>
    <row r="187">
      <c r="A187" s="66">
        <v>40883.0</v>
      </c>
      <c r="B187" s="69" t="s">
        <v>274</v>
      </c>
    </row>
    <row r="188">
      <c r="A188" s="66">
        <v>40890.0</v>
      </c>
      <c r="B188" s="69" t="s">
        <v>275</v>
      </c>
    </row>
    <row r="189">
      <c r="A189" s="66">
        <v>40892.0</v>
      </c>
      <c r="B189" s="69" t="s">
        <v>276</v>
      </c>
    </row>
    <row r="190">
      <c r="A190" s="66">
        <v>40897.0</v>
      </c>
      <c r="B190" s="69" t="s">
        <v>277</v>
      </c>
    </row>
    <row r="191">
      <c r="A191" s="66">
        <v>40898.0</v>
      </c>
      <c r="B191" s="69" t="s">
        <v>278</v>
      </c>
    </row>
    <row r="192">
      <c r="A192" s="66">
        <v>40900.0</v>
      </c>
      <c r="B192" s="69" t="s">
        <v>279</v>
      </c>
    </row>
    <row r="193">
      <c r="A193" s="66">
        <v>40914.0</v>
      </c>
      <c r="B193" s="69" t="s">
        <v>280</v>
      </c>
    </row>
    <row r="194">
      <c r="A194" s="66">
        <v>40918.0</v>
      </c>
      <c r="B194" s="69" t="s">
        <v>281</v>
      </c>
    </row>
    <row r="195">
      <c r="A195" s="66">
        <v>40919.0</v>
      </c>
      <c r="B195" s="69" t="s">
        <v>282</v>
      </c>
    </row>
    <row r="196">
      <c r="A196" s="66">
        <v>40920.0</v>
      </c>
      <c r="B196" s="69" t="s">
        <v>283</v>
      </c>
    </row>
    <row r="197">
      <c r="A197" s="66">
        <v>40926.0</v>
      </c>
      <c r="B197" s="69" t="s">
        <v>284</v>
      </c>
    </row>
    <row r="198">
      <c r="A198" s="66">
        <v>40932.0</v>
      </c>
      <c r="B198" s="69" t="s">
        <v>285</v>
      </c>
    </row>
    <row r="199">
      <c r="A199" s="66">
        <v>40934.0</v>
      </c>
      <c r="B199" s="69" t="s">
        <v>286</v>
      </c>
    </row>
    <row r="200">
      <c r="A200" s="66">
        <v>40940.0</v>
      </c>
      <c r="B200" s="69" t="s">
        <v>287</v>
      </c>
    </row>
    <row r="201">
      <c r="A201" s="66">
        <v>40949.0</v>
      </c>
      <c r="B201" s="69" t="s">
        <v>288</v>
      </c>
    </row>
    <row r="202">
      <c r="A202" s="66">
        <v>40953.0</v>
      </c>
      <c r="B202" s="69" t="s">
        <v>289</v>
      </c>
    </row>
    <row r="203">
      <c r="A203" s="66">
        <v>40954.0</v>
      </c>
      <c r="B203" s="69" t="s">
        <v>290</v>
      </c>
    </row>
    <row r="204">
      <c r="A204" s="66">
        <v>40955.0</v>
      </c>
      <c r="B204" s="69" t="s">
        <v>291</v>
      </c>
    </row>
    <row r="205">
      <c r="A205" s="66">
        <v>40956.0</v>
      </c>
      <c r="B205" s="69" t="s">
        <v>292</v>
      </c>
    </row>
    <row r="206">
      <c r="A206" s="66">
        <v>40962.0</v>
      </c>
      <c r="B206" s="69" t="s">
        <v>293</v>
      </c>
    </row>
    <row r="207">
      <c r="A207" s="66">
        <v>40967.0</v>
      </c>
      <c r="B207" s="69" t="s">
        <v>294</v>
      </c>
    </row>
    <row r="208">
      <c r="A208" s="66">
        <v>40968.0</v>
      </c>
      <c r="B208" s="69" t="s">
        <v>295</v>
      </c>
    </row>
    <row r="209">
      <c r="A209" s="66">
        <v>40974.0</v>
      </c>
      <c r="B209" s="69" t="s">
        <v>296</v>
      </c>
    </row>
    <row r="210">
      <c r="A210" s="66">
        <v>40976.0</v>
      </c>
      <c r="B210" s="69" t="s">
        <v>297</v>
      </c>
    </row>
    <row r="211">
      <c r="A211" s="66">
        <v>40977.0</v>
      </c>
      <c r="B211" s="69" t="s">
        <v>298</v>
      </c>
    </row>
    <row r="212">
      <c r="A212" s="66">
        <v>40980.0</v>
      </c>
      <c r="B212" s="69" t="s">
        <v>299</v>
      </c>
    </row>
    <row r="213">
      <c r="A213" s="66">
        <v>40982.0</v>
      </c>
      <c r="B213" s="69" t="s">
        <v>300</v>
      </c>
    </row>
    <row r="214">
      <c r="A214" s="66">
        <v>40987.0</v>
      </c>
      <c r="B214" s="69" t="s">
        <v>301</v>
      </c>
    </row>
    <row r="215">
      <c r="A215" s="66">
        <v>40988.0</v>
      </c>
      <c r="B215" s="69" t="s">
        <v>302</v>
      </c>
    </row>
    <row r="216">
      <c r="A216" s="66">
        <v>40991.0</v>
      </c>
      <c r="B216" s="69" t="s">
        <v>303</v>
      </c>
    </row>
    <row r="217">
      <c r="A217" s="66">
        <v>41003.0</v>
      </c>
      <c r="B217" s="69" t="s">
        <v>304</v>
      </c>
    </row>
    <row r="218">
      <c r="A218" s="66">
        <v>41008.0</v>
      </c>
      <c r="B218" s="69" t="s">
        <v>305</v>
      </c>
    </row>
    <row r="219">
      <c r="A219" s="66">
        <v>41009.0</v>
      </c>
      <c r="B219" s="69" t="s">
        <v>306</v>
      </c>
    </row>
    <row r="220">
      <c r="A220" s="66">
        <v>41011.0</v>
      </c>
      <c r="B220" s="69" t="s">
        <v>307</v>
      </c>
    </row>
    <row r="221">
      <c r="A221" s="66">
        <v>41012.0</v>
      </c>
      <c r="B221" s="69" t="s">
        <v>308</v>
      </c>
    </row>
    <row r="222">
      <c r="A222" s="66">
        <v>41015.0</v>
      </c>
      <c r="B222" s="69" t="s">
        <v>309</v>
      </c>
    </row>
    <row r="223">
      <c r="A223" s="66">
        <v>41017.0</v>
      </c>
      <c r="B223" s="69" t="s">
        <v>310</v>
      </c>
    </row>
    <row r="224">
      <c r="A224" s="66">
        <v>41023.0</v>
      </c>
      <c r="B224" s="69" t="s">
        <v>311</v>
      </c>
    </row>
    <row r="225">
      <c r="A225" s="66">
        <v>41024.0</v>
      </c>
      <c r="B225" s="69" t="s">
        <v>312</v>
      </c>
    </row>
    <row r="226">
      <c r="A226" s="66">
        <v>41033.0</v>
      </c>
      <c r="B226" s="69" t="s">
        <v>313</v>
      </c>
    </row>
    <row r="227">
      <c r="A227" s="66">
        <v>41037.0</v>
      </c>
      <c r="B227" s="69" t="s">
        <v>314</v>
      </c>
    </row>
    <row r="228">
      <c r="A228" s="66">
        <v>41050.0</v>
      </c>
      <c r="B228" s="69" t="s">
        <v>315</v>
      </c>
    </row>
    <row r="229">
      <c r="A229" s="66">
        <v>41052.0</v>
      </c>
      <c r="B229" s="69" t="s">
        <v>316</v>
      </c>
    </row>
    <row r="230">
      <c r="A230" s="66">
        <v>41057.0</v>
      </c>
      <c r="B230" s="69" t="s">
        <v>317</v>
      </c>
    </row>
    <row r="231">
      <c r="A231" s="66">
        <v>41058.0</v>
      </c>
      <c r="B231" s="69" t="s">
        <v>318</v>
      </c>
    </row>
    <row r="232">
      <c r="A232" s="66">
        <v>41060.0</v>
      </c>
      <c r="B232" s="69" t="s">
        <v>319</v>
      </c>
    </row>
    <row r="233">
      <c r="A233" s="66">
        <v>41061.0</v>
      </c>
      <c r="B233" s="69" t="s">
        <v>320</v>
      </c>
    </row>
    <row r="234">
      <c r="A234" s="66">
        <v>41064.0</v>
      </c>
      <c r="B234" s="69" t="s">
        <v>321</v>
      </c>
    </row>
    <row r="235">
      <c r="A235" s="66">
        <v>41065.0</v>
      </c>
      <c r="B235" s="69" t="s">
        <v>322</v>
      </c>
    </row>
    <row r="236">
      <c r="A236" s="66">
        <v>41067.0</v>
      </c>
      <c r="B236" s="69" t="s">
        <v>323</v>
      </c>
    </row>
    <row r="237">
      <c r="A237" s="66">
        <v>41071.0</v>
      </c>
      <c r="B237" s="69" t="s">
        <v>324</v>
      </c>
    </row>
    <row r="238">
      <c r="A238" s="66">
        <v>41074.0</v>
      </c>
      <c r="B238" s="69" t="s">
        <v>325</v>
      </c>
    </row>
    <row r="239">
      <c r="A239" s="66">
        <v>41075.0</v>
      </c>
      <c r="B239" s="69" t="s">
        <v>326</v>
      </c>
    </row>
    <row r="240">
      <c r="A240" s="66">
        <v>41078.0</v>
      </c>
      <c r="B240" s="69" t="s">
        <v>327</v>
      </c>
    </row>
    <row r="241">
      <c r="A241" s="66">
        <v>41079.0</v>
      </c>
      <c r="B241" s="69" t="s">
        <v>328</v>
      </c>
    </row>
    <row r="242">
      <c r="A242" s="66">
        <v>41081.0</v>
      </c>
      <c r="B242" s="69" t="s">
        <v>329</v>
      </c>
    </row>
    <row r="243">
      <c r="A243" s="66">
        <v>41082.0</v>
      </c>
      <c r="B243" s="69" t="s">
        <v>330</v>
      </c>
    </row>
    <row r="244">
      <c r="A244" s="66">
        <v>41085.0</v>
      </c>
      <c r="B244" s="69" t="s">
        <v>331</v>
      </c>
    </row>
    <row r="245">
      <c r="A245" s="66">
        <v>41086.0</v>
      </c>
      <c r="B245" s="69" t="s">
        <v>332</v>
      </c>
    </row>
    <row r="246">
      <c r="A246" s="66">
        <v>41087.0</v>
      </c>
      <c r="B246" s="69" t="s">
        <v>333</v>
      </c>
    </row>
    <row r="247">
      <c r="A247" s="66">
        <v>41088.0</v>
      </c>
      <c r="B247" s="69" t="s">
        <v>334</v>
      </c>
    </row>
    <row r="248">
      <c r="A248" s="66">
        <v>41095.0</v>
      </c>
      <c r="B248" s="69" t="s">
        <v>335</v>
      </c>
    </row>
    <row r="249">
      <c r="A249" s="66">
        <v>41100.0</v>
      </c>
      <c r="B249" s="69" t="s">
        <v>336</v>
      </c>
    </row>
    <row r="250">
      <c r="A250" s="66">
        <v>41101.0</v>
      </c>
      <c r="B250" s="69" t="s">
        <v>337</v>
      </c>
    </row>
    <row r="251">
      <c r="A251" s="66">
        <v>41102.0</v>
      </c>
      <c r="B251" s="69" t="s">
        <v>338</v>
      </c>
    </row>
    <row r="252">
      <c r="A252" s="66">
        <v>41107.0</v>
      </c>
      <c r="B252" s="69" t="s">
        <v>339</v>
      </c>
    </row>
    <row r="253">
      <c r="A253" s="66">
        <v>41108.0</v>
      </c>
      <c r="B253" s="69" t="s">
        <v>340</v>
      </c>
    </row>
    <row r="254">
      <c r="A254" s="66">
        <v>41109.0</v>
      </c>
      <c r="B254" s="69" t="s">
        <v>341</v>
      </c>
    </row>
    <row r="255">
      <c r="A255" s="66">
        <v>41113.0</v>
      </c>
      <c r="B255" s="69" t="s">
        <v>342</v>
      </c>
    </row>
    <row r="256">
      <c r="A256" s="66">
        <v>41114.0</v>
      </c>
      <c r="B256" s="69" t="s">
        <v>343</v>
      </c>
    </row>
    <row r="257">
      <c r="A257" s="66">
        <v>41115.0</v>
      </c>
      <c r="B257" s="69" t="s">
        <v>344</v>
      </c>
    </row>
    <row r="258">
      <c r="A258" s="66">
        <v>41116.0</v>
      </c>
      <c r="B258" s="69" t="s">
        <v>345</v>
      </c>
    </row>
    <row r="259">
      <c r="A259" s="66">
        <v>41117.0</v>
      </c>
      <c r="B259" s="69" t="s">
        <v>346</v>
      </c>
    </row>
    <row r="260">
      <c r="A260" s="66">
        <v>41120.0</v>
      </c>
      <c r="B260" s="69" t="s">
        <v>347</v>
      </c>
    </row>
    <row r="261">
      <c r="A261" s="66">
        <v>41121.0</v>
      </c>
      <c r="B261" s="69" t="s">
        <v>348</v>
      </c>
    </row>
    <row r="262">
      <c r="A262" s="66">
        <v>41122.0</v>
      </c>
      <c r="B262" s="69" t="s">
        <v>349</v>
      </c>
    </row>
    <row r="263">
      <c r="A263" s="66">
        <v>41123.0</v>
      </c>
      <c r="B263" s="69" t="s">
        <v>350</v>
      </c>
    </row>
    <row r="264">
      <c r="A264" s="66">
        <v>41124.0</v>
      </c>
      <c r="B264" s="69" t="s">
        <v>351</v>
      </c>
    </row>
    <row r="265">
      <c r="A265" s="66">
        <v>41127.0</v>
      </c>
      <c r="B265" s="69" t="s">
        <v>352</v>
      </c>
    </row>
    <row r="266">
      <c r="A266" s="66">
        <v>41128.0</v>
      </c>
      <c r="B266" s="69" t="s">
        <v>353</v>
      </c>
    </row>
    <row r="267">
      <c r="A267" s="66">
        <v>41129.0</v>
      </c>
      <c r="B267" s="69" t="s">
        <v>354</v>
      </c>
    </row>
    <row r="268">
      <c r="A268" s="66">
        <v>41130.0</v>
      </c>
      <c r="B268" s="69" t="s">
        <v>355</v>
      </c>
    </row>
    <row r="269">
      <c r="A269" s="66">
        <v>41131.0</v>
      </c>
      <c r="B269" s="69" t="s">
        <v>356</v>
      </c>
    </row>
    <row r="270">
      <c r="A270" s="66">
        <v>41134.0</v>
      </c>
      <c r="B270" s="69" t="s">
        <v>357</v>
      </c>
    </row>
    <row r="271">
      <c r="A271" s="66">
        <v>41135.0</v>
      </c>
      <c r="B271" s="69" t="s">
        <v>358</v>
      </c>
    </row>
    <row r="272">
      <c r="A272" s="66">
        <v>41137.0</v>
      </c>
      <c r="B272" s="69" t="s">
        <v>359</v>
      </c>
    </row>
    <row r="273">
      <c r="A273" s="66">
        <v>41138.0</v>
      </c>
      <c r="B273" s="69" t="s">
        <v>360</v>
      </c>
    </row>
    <row r="274">
      <c r="A274" s="66">
        <v>41143.0</v>
      </c>
      <c r="B274" s="69" t="s">
        <v>361</v>
      </c>
    </row>
    <row r="275">
      <c r="A275" s="66">
        <v>41144.0</v>
      </c>
      <c r="B275" s="69" t="s">
        <v>362</v>
      </c>
    </row>
    <row r="276">
      <c r="A276" s="66">
        <v>41145.0</v>
      </c>
      <c r="B276" s="69" t="s">
        <v>363</v>
      </c>
    </row>
    <row r="277">
      <c r="A277" s="66">
        <v>41148.0</v>
      </c>
      <c r="B277" s="69" t="s">
        <v>364</v>
      </c>
    </row>
    <row r="278">
      <c r="A278" s="66">
        <v>41149.0</v>
      </c>
      <c r="B278" s="69" t="s">
        <v>365</v>
      </c>
    </row>
    <row r="279">
      <c r="A279" s="66">
        <v>41150.0</v>
      </c>
      <c r="B279" s="69" t="s">
        <v>366</v>
      </c>
    </row>
    <row r="280">
      <c r="A280" s="66">
        <v>41151.0</v>
      </c>
      <c r="B280" s="69" t="s">
        <v>367</v>
      </c>
    </row>
    <row r="281">
      <c r="A281" s="66">
        <v>41152.0</v>
      </c>
      <c r="B281" s="69" t="s">
        <v>368</v>
      </c>
    </row>
    <row r="282">
      <c r="A282" s="66">
        <v>41155.0</v>
      </c>
      <c r="B282" s="69" t="s">
        <v>369</v>
      </c>
    </row>
    <row r="283">
      <c r="A283" s="66">
        <v>41156.0</v>
      </c>
      <c r="B283" s="69" t="s">
        <v>370</v>
      </c>
    </row>
    <row r="284">
      <c r="A284" s="66">
        <v>41157.0</v>
      </c>
      <c r="B284" s="69" t="s">
        <v>371</v>
      </c>
    </row>
    <row r="285">
      <c r="A285" s="66">
        <v>41158.0</v>
      </c>
      <c r="B285" s="69" t="s">
        <v>372</v>
      </c>
    </row>
    <row r="286">
      <c r="A286" s="66">
        <v>41159.0</v>
      </c>
      <c r="B286" s="69" t="s">
        <v>373</v>
      </c>
    </row>
    <row r="287">
      <c r="A287" s="66">
        <v>41162.0</v>
      </c>
      <c r="B287" s="69" t="s">
        <v>374</v>
      </c>
    </row>
    <row r="288">
      <c r="A288" s="66">
        <v>41163.0</v>
      </c>
      <c r="B288" s="69" t="s">
        <v>375</v>
      </c>
    </row>
    <row r="289">
      <c r="A289" s="66">
        <v>41164.0</v>
      </c>
      <c r="B289" s="69" t="s">
        <v>376</v>
      </c>
    </row>
    <row r="290">
      <c r="A290" s="66">
        <v>41165.0</v>
      </c>
      <c r="B290" s="69" t="s">
        <v>377</v>
      </c>
    </row>
    <row r="291">
      <c r="A291" s="66">
        <v>41166.0</v>
      </c>
      <c r="B291" s="69" t="s">
        <v>378</v>
      </c>
    </row>
    <row r="292">
      <c r="A292" s="66">
        <v>41169.0</v>
      </c>
      <c r="B292" s="69" t="s">
        <v>379</v>
      </c>
    </row>
    <row r="293">
      <c r="A293" s="66">
        <v>41170.0</v>
      </c>
      <c r="B293" s="69" t="s">
        <v>380</v>
      </c>
    </row>
    <row r="294">
      <c r="A294" s="66">
        <v>41172.0</v>
      </c>
      <c r="B294" s="69" t="s">
        <v>381</v>
      </c>
    </row>
    <row r="295">
      <c r="A295" s="66">
        <v>41173.0</v>
      </c>
      <c r="B295" s="69" t="s">
        <v>382</v>
      </c>
    </row>
    <row r="296">
      <c r="A296" s="66">
        <v>41177.0</v>
      </c>
      <c r="B296" s="69" t="s">
        <v>383</v>
      </c>
    </row>
    <row r="297">
      <c r="A297" s="66">
        <v>41179.0</v>
      </c>
      <c r="B297" s="69" t="s">
        <v>384</v>
      </c>
    </row>
    <row r="298">
      <c r="A298" s="66">
        <v>41180.0</v>
      </c>
      <c r="B298" s="69" t="s">
        <v>385</v>
      </c>
    </row>
    <row r="299">
      <c r="A299" s="66">
        <v>41183.0</v>
      </c>
      <c r="B299" s="69" t="s">
        <v>386</v>
      </c>
    </row>
    <row r="300">
      <c r="A300" s="66">
        <v>41184.0</v>
      </c>
      <c r="B300" s="69" t="s">
        <v>387</v>
      </c>
    </row>
    <row r="301">
      <c r="A301" s="66">
        <v>41185.0</v>
      </c>
      <c r="B301" s="69" t="s">
        <v>388</v>
      </c>
    </row>
    <row r="302">
      <c r="A302" s="66">
        <v>41186.0</v>
      </c>
      <c r="B302" s="69" t="s">
        <v>389</v>
      </c>
    </row>
    <row r="303">
      <c r="A303" s="66">
        <v>41187.0</v>
      </c>
      <c r="B303" s="69" t="s">
        <v>390</v>
      </c>
    </row>
    <row r="304">
      <c r="A304" s="66">
        <v>41192.0</v>
      </c>
      <c r="B304" s="69" t="s">
        <v>391</v>
      </c>
    </row>
    <row r="305">
      <c r="A305" s="66">
        <v>41193.0</v>
      </c>
      <c r="B305" s="69" t="s">
        <v>392</v>
      </c>
    </row>
    <row r="306">
      <c r="A306" s="66">
        <v>41194.0</v>
      </c>
      <c r="B306" s="69" t="s">
        <v>393</v>
      </c>
    </row>
    <row r="307">
      <c r="A307" s="66">
        <v>41197.0</v>
      </c>
      <c r="B307" s="69" t="s">
        <v>394</v>
      </c>
    </row>
    <row r="308">
      <c r="A308" s="66">
        <v>41198.0</v>
      </c>
      <c r="B308" s="69" t="s">
        <v>395</v>
      </c>
    </row>
    <row r="309">
      <c r="A309" s="66">
        <v>41199.0</v>
      </c>
      <c r="B309" s="69" t="s">
        <v>396</v>
      </c>
    </row>
    <row r="310">
      <c r="A310" s="66">
        <v>41200.0</v>
      </c>
      <c r="B310" s="69" t="s">
        <v>397</v>
      </c>
    </row>
    <row r="311">
      <c r="A311" s="66">
        <v>41201.0</v>
      </c>
      <c r="B311" s="69" t="s">
        <v>398</v>
      </c>
    </row>
    <row r="312">
      <c r="A312" s="66">
        <v>41204.0</v>
      </c>
      <c r="B312" s="69" t="s">
        <v>399</v>
      </c>
    </row>
    <row r="313">
      <c r="A313" s="66">
        <v>41205.0</v>
      </c>
      <c r="B313" s="69" t="s">
        <v>400</v>
      </c>
    </row>
    <row r="314">
      <c r="A314" s="66">
        <v>41206.0</v>
      </c>
      <c r="B314" s="69" t="s">
        <v>401</v>
      </c>
    </row>
    <row r="315">
      <c r="A315" s="66">
        <v>41207.0</v>
      </c>
      <c r="B315" s="69" t="s">
        <v>402</v>
      </c>
    </row>
    <row r="316">
      <c r="A316" s="66">
        <v>41208.0</v>
      </c>
      <c r="B316" s="69" t="s">
        <v>403</v>
      </c>
    </row>
    <row r="317">
      <c r="A317" s="66">
        <v>41211.0</v>
      </c>
      <c r="B317" s="69" t="s">
        <v>404</v>
      </c>
    </row>
    <row r="318">
      <c r="A318" s="66">
        <v>41212.0</v>
      </c>
      <c r="B318" s="69" t="s">
        <v>405</v>
      </c>
    </row>
    <row r="319">
      <c r="A319" s="66">
        <v>41213.0</v>
      </c>
      <c r="B319" s="69" t="s">
        <v>406</v>
      </c>
    </row>
    <row r="320">
      <c r="A320" s="66">
        <v>41214.0</v>
      </c>
      <c r="B320" s="69" t="s">
        <v>407</v>
      </c>
    </row>
    <row r="321">
      <c r="A321" s="66">
        <v>41215.0</v>
      </c>
      <c r="B321" s="69" t="s">
        <v>408</v>
      </c>
    </row>
    <row r="322">
      <c r="A322" s="66">
        <v>41218.0</v>
      </c>
      <c r="B322" s="69" t="s">
        <v>409</v>
      </c>
    </row>
    <row r="323">
      <c r="A323" s="66">
        <v>41220.0</v>
      </c>
      <c r="B323" s="69" t="s">
        <v>410</v>
      </c>
    </row>
    <row r="324">
      <c r="A324" s="66">
        <v>41221.0</v>
      </c>
      <c r="B324" s="69" t="s">
        <v>411</v>
      </c>
    </row>
    <row r="325">
      <c r="A325" s="66">
        <v>41222.0</v>
      </c>
      <c r="B325" s="69" t="s">
        <v>412</v>
      </c>
    </row>
    <row r="326">
      <c r="A326" s="66">
        <v>41225.0</v>
      </c>
      <c r="B326" s="69" t="s">
        <v>413</v>
      </c>
    </row>
    <row r="327">
      <c r="A327" s="66">
        <v>41226.0</v>
      </c>
      <c r="B327" s="69" t="s">
        <v>414</v>
      </c>
    </row>
    <row r="328">
      <c r="A328" s="66">
        <v>41228.0</v>
      </c>
      <c r="B328" s="69" t="s">
        <v>415</v>
      </c>
    </row>
    <row r="329">
      <c r="A329" s="66">
        <v>41229.0</v>
      </c>
      <c r="B329" s="69" t="s">
        <v>416</v>
      </c>
    </row>
    <row r="330">
      <c r="A330" s="66">
        <v>41232.0</v>
      </c>
      <c r="B330" s="69" t="s">
        <v>417</v>
      </c>
    </row>
    <row r="331">
      <c r="A331" s="66">
        <v>41233.0</v>
      </c>
      <c r="B331" s="69" t="s">
        <v>418</v>
      </c>
    </row>
    <row r="332">
      <c r="A332" s="66">
        <v>41234.0</v>
      </c>
      <c r="B332" s="69" t="s">
        <v>419</v>
      </c>
    </row>
    <row r="333">
      <c r="A333" s="66">
        <v>41236.0</v>
      </c>
      <c r="B333" s="69" t="s">
        <v>420</v>
      </c>
    </row>
    <row r="334">
      <c r="A334" s="66">
        <v>41240.0</v>
      </c>
      <c r="B334" s="69" t="s">
        <v>421</v>
      </c>
    </row>
    <row r="335">
      <c r="A335" s="66">
        <v>41241.0</v>
      </c>
      <c r="B335" s="69" t="s">
        <v>422</v>
      </c>
    </row>
    <row r="336">
      <c r="A336" s="66">
        <v>41242.0</v>
      </c>
      <c r="B336" s="69" t="s">
        <v>423</v>
      </c>
    </row>
    <row r="337">
      <c r="A337" s="66">
        <v>41243.0</v>
      </c>
      <c r="B337" s="69" t="s">
        <v>417</v>
      </c>
    </row>
    <row r="338">
      <c r="A338" s="66">
        <v>41246.0</v>
      </c>
      <c r="B338" s="69" t="s">
        <v>424</v>
      </c>
    </row>
    <row r="339">
      <c r="A339" s="66">
        <v>41247.0</v>
      </c>
      <c r="B339" s="69" t="s">
        <v>425</v>
      </c>
    </row>
    <row r="340">
      <c r="A340" s="66">
        <v>41248.0</v>
      </c>
      <c r="B340" s="69" t="s">
        <v>426</v>
      </c>
    </row>
    <row r="341">
      <c r="A341" s="66">
        <v>41249.0</v>
      </c>
      <c r="B341" s="69" t="s">
        <v>427</v>
      </c>
    </row>
    <row r="342">
      <c r="A342" s="66">
        <v>41250.0</v>
      </c>
      <c r="B342" s="69" t="s">
        <v>428</v>
      </c>
    </row>
    <row r="343">
      <c r="A343" s="66">
        <v>41253.0</v>
      </c>
      <c r="B343" s="69" t="s">
        <v>429</v>
      </c>
    </row>
    <row r="344">
      <c r="A344" s="66">
        <v>41254.0</v>
      </c>
      <c r="B344" s="69" t="s">
        <v>430</v>
      </c>
    </row>
    <row r="345">
      <c r="A345" s="66">
        <v>41255.0</v>
      </c>
      <c r="B345" s="69" t="s">
        <v>431</v>
      </c>
    </row>
    <row r="346">
      <c r="A346" s="66">
        <v>41256.0</v>
      </c>
      <c r="B346" s="69" t="s">
        <v>432</v>
      </c>
    </row>
    <row r="347">
      <c r="A347" s="66">
        <v>41260.0</v>
      </c>
      <c r="B347" s="69" t="s">
        <v>433</v>
      </c>
    </row>
    <row r="348">
      <c r="A348" s="66">
        <v>41261.0</v>
      </c>
      <c r="B348" s="69" t="s">
        <v>434</v>
      </c>
    </row>
    <row r="349">
      <c r="A349" s="66">
        <v>41262.0</v>
      </c>
      <c r="B349" s="69" t="s">
        <v>435</v>
      </c>
    </row>
    <row r="350">
      <c r="A350" s="66">
        <v>41263.0</v>
      </c>
      <c r="B350" s="69" t="s">
        <v>436</v>
      </c>
    </row>
    <row r="351">
      <c r="A351" s="66">
        <v>41264.0</v>
      </c>
      <c r="B351" s="69" t="s">
        <v>437</v>
      </c>
    </row>
    <row r="352">
      <c r="A352" s="66">
        <v>41269.0</v>
      </c>
      <c r="B352" s="69" t="s">
        <v>438</v>
      </c>
    </row>
    <row r="353">
      <c r="A353" s="66">
        <v>41270.0</v>
      </c>
      <c r="B353" s="69" t="s">
        <v>407</v>
      </c>
    </row>
    <row r="354">
      <c r="A354" s="66">
        <v>41271.0</v>
      </c>
      <c r="B354" s="69" t="s">
        <v>439</v>
      </c>
    </row>
    <row r="355">
      <c r="A355" s="66">
        <v>41276.0</v>
      </c>
      <c r="B355" s="69" t="s">
        <v>440</v>
      </c>
    </row>
    <row r="356">
      <c r="A356" s="66">
        <v>41277.0</v>
      </c>
      <c r="B356" s="69" t="s">
        <v>441</v>
      </c>
    </row>
    <row r="357">
      <c r="A357" s="66">
        <v>41278.0</v>
      </c>
      <c r="B357" s="69" t="s">
        <v>442</v>
      </c>
    </row>
    <row r="358">
      <c r="A358" s="66">
        <v>41281.0</v>
      </c>
      <c r="B358" s="69" t="s">
        <v>443</v>
      </c>
    </row>
    <row r="359">
      <c r="A359" s="66">
        <v>41282.0</v>
      </c>
      <c r="B359" s="69" t="s">
        <v>444</v>
      </c>
    </row>
    <row r="360">
      <c r="A360" s="66">
        <v>41283.0</v>
      </c>
      <c r="B360" s="69" t="s">
        <v>445</v>
      </c>
    </row>
    <row r="361">
      <c r="A361" s="66">
        <v>41284.0</v>
      </c>
      <c r="B361" s="69" t="s">
        <v>446</v>
      </c>
    </row>
    <row r="362">
      <c r="A362" s="66">
        <v>41285.0</v>
      </c>
      <c r="B362" s="69" t="s">
        <v>447</v>
      </c>
    </row>
    <row r="363">
      <c r="A363" s="66">
        <v>41288.0</v>
      </c>
      <c r="B363" s="69" t="s">
        <v>448</v>
      </c>
    </row>
    <row r="364">
      <c r="A364" s="66">
        <v>41289.0</v>
      </c>
      <c r="B364" s="69" t="s">
        <v>449</v>
      </c>
    </row>
    <row r="365">
      <c r="A365" s="66">
        <v>41290.0</v>
      </c>
      <c r="B365" s="69" t="s">
        <v>450</v>
      </c>
    </row>
    <row r="366">
      <c r="A366" s="66">
        <v>41291.0</v>
      </c>
      <c r="B366" s="69" t="s">
        <v>451</v>
      </c>
    </row>
    <row r="367">
      <c r="A367" s="66">
        <v>41292.0</v>
      </c>
      <c r="B367" s="69" t="s">
        <v>452</v>
      </c>
    </row>
    <row r="368">
      <c r="A368" s="66">
        <v>41295.0</v>
      </c>
      <c r="B368" s="69" t="s">
        <v>453</v>
      </c>
    </row>
    <row r="369">
      <c r="A369" s="66">
        <v>41296.0</v>
      </c>
      <c r="B369" s="69" t="s">
        <v>454</v>
      </c>
    </row>
    <row r="370">
      <c r="A370" s="66">
        <v>41297.0</v>
      </c>
      <c r="B370" s="69" t="s">
        <v>455</v>
      </c>
    </row>
    <row r="371">
      <c r="A371" s="66">
        <v>41298.0</v>
      </c>
      <c r="B371" s="69" t="s">
        <v>456</v>
      </c>
    </row>
    <row r="372">
      <c r="A372" s="66">
        <v>41299.0</v>
      </c>
      <c r="B372" s="69" t="s">
        <v>457</v>
      </c>
    </row>
    <row r="373">
      <c r="A373" s="66">
        <v>41302.0</v>
      </c>
      <c r="B373" s="69" t="s">
        <v>458</v>
      </c>
    </row>
    <row r="374">
      <c r="A374" s="66">
        <v>41303.0</v>
      </c>
      <c r="B374" s="69" t="s">
        <v>459</v>
      </c>
    </row>
    <row r="375">
      <c r="A375" s="66">
        <v>41304.0</v>
      </c>
      <c r="B375" s="69" t="s">
        <v>460</v>
      </c>
    </row>
    <row r="376">
      <c r="A376" s="66">
        <v>41306.0</v>
      </c>
      <c r="B376" s="69" t="s">
        <v>461</v>
      </c>
    </row>
    <row r="377">
      <c r="A377" s="66">
        <v>41309.0</v>
      </c>
      <c r="B377" s="69" t="s">
        <v>462</v>
      </c>
    </row>
    <row r="378">
      <c r="A378" s="66">
        <v>41310.0</v>
      </c>
      <c r="B378" s="69" t="s">
        <v>463</v>
      </c>
    </row>
    <row r="379">
      <c r="A379" s="66">
        <v>41311.0</v>
      </c>
      <c r="B379" s="69" t="s">
        <v>464</v>
      </c>
    </row>
    <row r="380">
      <c r="A380" s="66">
        <v>41312.0</v>
      </c>
      <c r="B380" s="69" t="s">
        <v>465</v>
      </c>
    </row>
    <row r="381">
      <c r="A381" s="66">
        <v>41313.0</v>
      </c>
      <c r="B381" s="69" t="s">
        <v>466</v>
      </c>
    </row>
    <row r="382">
      <c r="A382" s="66">
        <v>41318.0</v>
      </c>
      <c r="B382" s="69" t="s">
        <v>467</v>
      </c>
    </row>
    <row r="383">
      <c r="A383" s="66">
        <v>41319.0</v>
      </c>
      <c r="B383" s="69" t="s">
        <v>468</v>
      </c>
    </row>
    <row r="384">
      <c r="A384" s="66">
        <v>41320.0</v>
      </c>
      <c r="B384" s="69" t="s">
        <v>469</v>
      </c>
    </row>
    <row r="385">
      <c r="A385" s="66">
        <v>41324.0</v>
      </c>
      <c r="B385" s="69" t="s">
        <v>470</v>
      </c>
    </row>
    <row r="386">
      <c r="A386" s="66">
        <v>41326.0</v>
      </c>
      <c r="B386" s="69" t="s">
        <v>471</v>
      </c>
    </row>
    <row r="387">
      <c r="A387" s="66">
        <v>41327.0</v>
      </c>
      <c r="B387" s="69" t="s">
        <v>472</v>
      </c>
    </row>
    <row r="388">
      <c r="A388" s="66">
        <v>41330.0</v>
      </c>
      <c r="B388" s="69" t="s">
        <v>473</v>
      </c>
    </row>
    <row r="389">
      <c r="A389" s="66">
        <v>41331.0</v>
      </c>
      <c r="B389" s="69" t="s">
        <v>474</v>
      </c>
    </row>
    <row r="390">
      <c r="A390" s="66">
        <v>41332.0</v>
      </c>
      <c r="B390" s="69" t="s">
        <v>475</v>
      </c>
    </row>
    <row r="391">
      <c r="A391" s="66">
        <v>41333.0</v>
      </c>
      <c r="B391" s="69" t="s">
        <v>476</v>
      </c>
    </row>
    <row r="392">
      <c r="A392" s="66">
        <v>41334.0</v>
      </c>
      <c r="B392" s="69" t="s">
        <v>477</v>
      </c>
    </row>
    <row r="393">
      <c r="A393" s="66">
        <v>41337.0</v>
      </c>
      <c r="B393" s="69" t="s">
        <v>478</v>
      </c>
    </row>
    <row r="394">
      <c r="A394" s="66">
        <v>41338.0</v>
      </c>
      <c r="B394" s="69" t="s">
        <v>479</v>
      </c>
    </row>
    <row r="395">
      <c r="A395" s="66">
        <v>41339.0</v>
      </c>
      <c r="B395" s="69" t="s">
        <v>480</v>
      </c>
    </row>
    <row r="396">
      <c r="A396" s="66">
        <v>41340.0</v>
      </c>
      <c r="B396" s="69" t="s">
        <v>481</v>
      </c>
    </row>
    <row r="397">
      <c r="A397" s="66">
        <v>41341.0</v>
      </c>
      <c r="B397" s="69" t="s">
        <v>482</v>
      </c>
    </row>
    <row r="398">
      <c r="A398" s="66">
        <v>41344.0</v>
      </c>
      <c r="B398" s="69" t="s">
        <v>483</v>
      </c>
    </row>
    <row r="399">
      <c r="A399" s="66">
        <v>41345.0</v>
      </c>
      <c r="B399" s="69" t="s">
        <v>484</v>
      </c>
    </row>
    <row r="400">
      <c r="A400" s="66">
        <v>41346.0</v>
      </c>
      <c r="B400" s="69" t="s">
        <v>485</v>
      </c>
    </row>
    <row r="401">
      <c r="A401" s="66">
        <v>41347.0</v>
      </c>
      <c r="B401" s="69" t="s">
        <v>486</v>
      </c>
    </row>
    <row r="402">
      <c r="A402" s="66">
        <v>41348.0</v>
      </c>
      <c r="B402" s="69" t="s">
        <v>487</v>
      </c>
    </row>
    <row r="403">
      <c r="A403" s="66">
        <v>41351.0</v>
      </c>
      <c r="B403" s="69" t="s">
        <v>488</v>
      </c>
    </row>
    <row r="404">
      <c r="A404" s="66">
        <v>41352.0</v>
      </c>
      <c r="B404" s="69" t="s">
        <v>489</v>
      </c>
    </row>
    <row r="405">
      <c r="A405" s="66">
        <v>41353.0</v>
      </c>
      <c r="B405" s="69" t="s">
        <v>490</v>
      </c>
    </row>
    <row r="406">
      <c r="A406" s="66">
        <v>41354.0</v>
      </c>
      <c r="B406" s="69" t="s">
        <v>491</v>
      </c>
    </row>
    <row r="407">
      <c r="A407" s="66">
        <v>41355.0</v>
      </c>
      <c r="B407" s="69" t="s">
        <v>492</v>
      </c>
    </row>
    <row r="408">
      <c r="A408" s="66">
        <v>41358.0</v>
      </c>
      <c r="B408" s="69" t="s">
        <v>493</v>
      </c>
    </row>
    <row r="409">
      <c r="A409" s="66">
        <v>41359.0</v>
      </c>
      <c r="B409" s="69" t="s">
        <v>494</v>
      </c>
    </row>
    <row r="410">
      <c r="A410" s="66">
        <v>41360.0</v>
      </c>
      <c r="B410" s="69" t="s">
        <v>495</v>
      </c>
    </row>
    <row r="411">
      <c r="A411" s="66">
        <v>41367.0</v>
      </c>
      <c r="B411" s="69" t="s">
        <v>496</v>
      </c>
    </row>
    <row r="412">
      <c r="A412" s="66">
        <v>41368.0</v>
      </c>
      <c r="B412" s="69" t="s">
        <v>497</v>
      </c>
    </row>
    <row r="413">
      <c r="A413" s="66">
        <v>41369.0</v>
      </c>
      <c r="B413" s="69" t="s">
        <v>498</v>
      </c>
    </row>
    <row r="414">
      <c r="A414" s="66">
        <v>41372.0</v>
      </c>
      <c r="B414" s="69" t="s">
        <v>499</v>
      </c>
    </row>
    <row r="415">
      <c r="A415" s="66">
        <v>41373.0</v>
      </c>
      <c r="B415" s="69" t="s">
        <v>500</v>
      </c>
    </row>
    <row r="416">
      <c r="A416" s="66">
        <v>41374.0</v>
      </c>
      <c r="B416" s="69" t="s">
        <v>501</v>
      </c>
    </row>
    <row r="417">
      <c r="A417" s="66">
        <v>41375.0</v>
      </c>
      <c r="B417" s="69" t="s">
        <v>502</v>
      </c>
    </row>
    <row r="418">
      <c r="A418" s="66">
        <v>41376.0</v>
      </c>
      <c r="B418" s="69" t="s">
        <v>503</v>
      </c>
    </row>
    <row r="419">
      <c r="A419" s="66">
        <v>41379.0</v>
      </c>
      <c r="B419" s="69" t="s">
        <v>504</v>
      </c>
    </row>
    <row r="420">
      <c r="A420" s="66">
        <v>41380.0</v>
      </c>
      <c r="B420" s="69" t="s">
        <v>505</v>
      </c>
    </row>
    <row r="421">
      <c r="A421" s="66">
        <v>41381.0</v>
      </c>
      <c r="B421" s="69" t="s">
        <v>506</v>
      </c>
    </row>
    <row r="422">
      <c r="A422" s="66">
        <v>41382.0</v>
      </c>
      <c r="B422" s="69" t="s">
        <v>507</v>
      </c>
    </row>
    <row r="423">
      <c r="A423" s="66">
        <v>41383.0</v>
      </c>
      <c r="B423" s="69" t="s">
        <v>508</v>
      </c>
    </row>
    <row r="424">
      <c r="A424" s="66">
        <v>41386.0</v>
      </c>
      <c r="B424" s="69" t="s">
        <v>509</v>
      </c>
    </row>
    <row r="425">
      <c r="A425" s="66">
        <v>41387.0</v>
      </c>
      <c r="B425" s="69" t="s">
        <v>510</v>
      </c>
    </row>
    <row r="426">
      <c r="A426" s="66">
        <v>41388.0</v>
      </c>
      <c r="B426" s="69" t="s">
        <v>511</v>
      </c>
    </row>
    <row r="427">
      <c r="A427" s="66">
        <v>41389.0</v>
      </c>
      <c r="B427" s="69" t="s">
        <v>512</v>
      </c>
    </row>
    <row r="428">
      <c r="A428" s="66">
        <v>41390.0</v>
      </c>
      <c r="B428" s="69" t="s">
        <v>513</v>
      </c>
    </row>
    <row r="429">
      <c r="A429" s="66">
        <v>41393.0</v>
      </c>
      <c r="B429" s="69" t="s">
        <v>514</v>
      </c>
    </row>
    <row r="430">
      <c r="A430" s="66">
        <v>41394.0</v>
      </c>
      <c r="B430" s="69" t="s">
        <v>515</v>
      </c>
    </row>
    <row r="431">
      <c r="A431" s="66">
        <v>41396.0</v>
      </c>
      <c r="B431" s="69" t="s">
        <v>516</v>
      </c>
    </row>
    <row r="432">
      <c r="A432" s="66">
        <v>41397.0</v>
      </c>
      <c r="B432" s="69" t="s">
        <v>517</v>
      </c>
    </row>
    <row r="433">
      <c r="A433" s="66">
        <v>41400.0</v>
      </c>
      <c r="B433" s="69" t="s">
        <v>518</v>
      </c>
    </row>
    <row r="434">
      <c r="A434" s="66">
        <v>41401.0</v>
      </c>
      <c r="B434" s="69" t="s">
        <v>519</v>
      </c>
    </row>
    <row r="435">
      <c r="A435" s="66">
        <v>41402.0</v>
      </c>
      <c r="B435" s="69" t="s">
        <v>520</v>
      </c>
    </row>
    <row r="436">
      <c r="A436" s="66">
        <v>41403.0</v>
      </c>
      <c r="B436" s="69" t="s">
        <v>521</v>
      </c>
    </row>
    <row r="437">
      <c r="A437" s="66">
        <v>41404.0</v>
      </c>
      <c r="B437" s="69" t="s">
        <v>522</v>
      </c>
    </row>
    <row r="438">
      <c r="A438" s="66">
        <v>41407.0</v>
      </c>
      <c r="B438" s="69" t="s">
        <v>523</v>
      </c>
    </row>
    <row r="439">
      <c r="A439" s="66">
        <v>41408.0</v>
      </c>
      <c r="B439" s="69" t="s">
        <v>524</v>
      </c>
    </row>
    <row r="440">
      <c r="A440" s="66">
        <v>41409.0</v>
      </c>
      <c r="B440" s="69" t="s">
        <v>512</v>
      </c>
    </row>
    <row r="441">
      <c r="A441" s="66">
        <v>41410.0</v>
      </c>
      <c r="B441" s="69" t="s">
        <v>525</v>
      </c>
    </row>
    <row r="442">
      <c r="A442" s="66">
        <v>41411.0</v>
      </c>
      <c r="B442" s="69" t="s">
        <v>526</v>
      </c>
    </row>
    <row r="443">
      <c r="A443" s="66">
        <v>41414.0</v>
      </c>
      <c r="B443" s="69" t="s">
        <v>527</v>
      </c>
    </row>
    <row r="444">
      <c r="A444" s="66">
        <v>41415.0</v>
      </c>
      <c r="B444" s="69" t="s">
        <v>528</v>
      </c>
    </row>
    <row r="445">
      <c r="A445" s="66">
        <v>41416.0</v>
      </c>
      <c r="B445" s="69" t="s">
        <v>529</v>
      </c>
    </row>
    <row r="446">
      <c r="A446" s="66">
        <v>41417.0</v>
      </c>
      <c r="B446" s="69" t="s">
        <v>530</v>
      </c>
    </row>
    <row r="447">
      <c r="A447" s="66">
        <v>41418.0</v>
      </c>
      <c r="B447" s="69" t="s">
        <v>531</v>
      </c>
    </row>
    <row r="448">
      <c r="A448" s="66">
        <v>41421.0</v>
      </c>
      <c r="B448" s="69" t="s">
        <v>532</v>
      </c>
    </row>
    <row r="449">
      <c r="A449" s="66">
        <v>41422.0</v>
      </c>
      <c r="B449" s="69" t="s">
        <v>533</v>
      </c>
    </row>
    <row r="450">
      <c r="A450" s="66">
        <v>41423.0</v>
      </c>
      <c r="B450" s="69" t="s">
        <v>534</v>
      </c>
    </row>
    <row r="451">
      <c r="A451" s="66">
        <v>41424.0</v>
      </c>
      <c r="B451" s="69" t="s">
        <v>535</v>
      </c>
    </row>
    <row r="452">
      <c r="A452" s="66">
        <v>41425.0</v>
      </c>
      <c r="B452" s="69" t="s">
        <v>536</v>
      </c>
    </row>
    <row r="453">
      <c r="A453" s="66">
        <v>41428.0</v>
      </c>
      <c r="B453" s="69" t="s">
        <v>537</v>
      </c>
    </row>
    <row r="454">
      <c r="A454" s="66">
        <v>41429.0</v>
      </c>
      <c r="B454" s="69" t="s">
        <v>538</v>
      </c>
    </row>
    <row r="455">
      <c r="A455" s="66">
        <v>41430.0</v>
      </c>
      <c r="B455" s="69" t="s">
        <v>539</v>
      </c>
    </row>
    <row r="456">
      <c r="A456" s="66">
        <v>41431.0</v>
      </c>
      <c r="B456" s="69" t="s">
        <v>540</v>
      </c>
    </row>
    <row r="457">
      <c r="A457" s="66">
        <v>41432.0</v>
      </c>
      <c r="B457" s="69" t="s">
        <v>541</v>
      </c>
    </row>
    <row r="458">
      <c r="A458" s="66">
        <v>41435.0</v>
      </c>
      <c r="B458" s="69" t="s">
        <v>542</v>
      </c>
    </row>
    <row r="459">
      <c r="A459" s="66">
        <v>41436.0</v>
      </c>
      <c r="B459" s="69" t="s">
        <v>543</v>
      </c>
    </row>
    <row r="460">
      <c r="A460" s="66">
        <v>41437.0</v>
      </c>
      <c r="B460" s="69" t="s">
        <v>544</v>
      </c>
    </row>
    <row r="461">
      <c r="A461" s="66">
        <v>41438.0</v>
      </c>
      <c r="B461" s="69" t="s">
        <v>545</v>
      </c>
    </row>
    <row r="462">
      <c r="A462" s="66">
        <v>41439.0</v>
      </c>
      <c r="B462" s="69" t="s">
        <v>546</v>
      </c>
    </row>
    <row r="463">
      <c r="A463" s="66">
        <v>41442.0</v>
      </c>
      <c r="B463" s="69" t="s">
        <v>547</v>
      </c>
    </row>
    <row r="464">
      <c r="A464" s="66">
        <v>41443.0</v>
      </c>
      <c r="B464" s="69" t="s">
        <v>548</v>
      </c>
    </row>
    <row r="465">
      <c r="A465" s="66">
        <v>41444.0</v>
      </c>
      <c r="B465" s="69" t="s">
        <v>549</v>
      </c>
    </row>
    <row r="466">
      <c r="A466" s="66">
        <v>41449.0</v>
      </c>
      <c r="B466" s="69" t="s">
        <v>550</v>
      </c>
    </row>
    <row r="467">
      <c r="A467" s="66">
        <v>41450.0</v>
      </c>
      <c r="B467" s="69" t="s">
        <v>551</v>
      </c>
    </row>
    <row r="468">
      <c r="A468" s="66">
        <v>41451.0</v>
      </c>
      <c r="B468" s="69" t="s">
        <v>552</v>
      </c>
    </row>
    <row r="469">
      <c r="A469" s="66">
        <v>41452.0</v>
      </c>
      <c r="B469" s="69" t="s">
        <v>553</v>
      </c>
    </row>
    <row r="470">
      <c r="A470" s="66">
        <v>41453.0</v>
      </c>
      <c r="B470" s="69" t="s">
        <v>554</v>
      </c>
    </row>
    <row r="471">
      <c r="A471" s="66">
        <v>41456.0</v>
      </c>
      <c r="B471" s="69" t="s">
        <v>555</v>
      </c>
    </row>
    <row r="472">
      <c r="A472" s="66">
        <v>41457.0</v>
      </c>
      <c r="B472" s="69" t="s">
        <v>556</v>
      </c>
    </row>
    <row r="473">
      <c r="A473" s="66">
        <v>41458.0</v>
      </c>
      <c r="B473" s="69" t="s">
        <v>557</v>
      </c>
    </row>
    <row r="474">
      <c r="A474" s="66">
        <v>41459.0</v>
      </c>
      <c r="B474" s="69" t="s">
        <v>558</v>
      </c>
    </row>
    <row r="475">
      <c r="A475" s="66">
        <v>41460.0</v>
      </c>
      <c r="B475" s="69" t="s">
        <v>559</v>
      </c>
    </row>
    <row r="476">
      <c r="A476" s="66">
        <v>41463.0</v>
      </c>
      <c r="B476" s="69" t="s">
        <v>560</v>
      </c>
    </row>
    <row r="477">
      <c r="A477" s="66">
        <v>41465.0</v>
      </c>
      <c r="B477" s="69" t="s">
        <v>561</v>
      </c>
    </row>
    <row r="478">
      <c r="A478" s="66">
        <v>41466.0</v>
      </c>
      <c r="B478" s="69" t="s">
        <v>562</v>
      </c>
    </row>
    <row r="479">
      <c r="A479" s="66">
        <v>41467.0</v>
      </c>
      <c r="B479" s="69" t="s">
        <v>563</v>
      </c>
    </row>
    <row r="480">
      <c r="A480" s="66">
        <v>41470.0</v>
      </c>
      <c r="B480" s="69" t="s">
        <v>564</v>
      </c>
    </row>
    <row r="481">
      <c r="A481" s="66">
        <v>41471.0</v>
      </c>
      <c r="B481" s="69" t="s">
        <v>565</v>
      </c>
    </row>
    <row r="482">
      <c r="A482" s="66">
        <v>41472.0</v>
      </c>
      <c r="B482" s="69" t="s">
        <v>566</v>
      </c>
    </row>
    <row r="483">
      <c r="A483" s="66">
        <v>41473.0</v>
      </c>
      <c r="B483" s="69" t="s">
        <v>567</v>
      </c>
    </row>
    <row r="484">
      <c r="A484" s="66">
        <v>41474.0</v>
      </c>
      <c r="B484" s="69" t="s">
        <v>568</v>
      </c>
    </row>
    <row r="485">
      <c r="A485" s="66">
        <v>41477.0</v>
      </c>
      <c r="B485" s="69" t="s">
        <v>569</v>
      </c>
    </row>
    <row r="486">
      <c r="A486" s="66">
        <v>41478.0</v>
      </c>
      <c r="B486" s="69" t="s">
        <v>570</v>
      </c>
    </row>
    <row r="487">
      <c r="A487" s="66">
        <v>41479.0</v>
      </c>
      <c r="B487" s="69" t="s">
        <v>570</v>
      </c>
    </row>
    <row r="488">
      <c r="A488" s="66">
        <v>41480.0</v>
      </c>
      <c r="B488" s="69" t="s">
        <v>571</v>
      </c>
    </row>
    <row r="489">
      <c r="A489" s="66">
        <v>41481.0</v>
      </c>
      <c r="B489" s="69" t="s">
        <v>569</v>
      </c>
    </row>
    <row r="490">
      <c r="A490" s="66">
        <v>41484.0</v>
      </c>
      <c r="B490" s="69" t="s">
        <v>572</v>
      </c>
    </row>
    <row r="491">
      <c r="A491" s="66">
        <v>41485.0</v>
      </c>
      <c r="B491" s="69" t="s">
        <v>569</v>
      </c>
    </row>
    <row r="492">
      <c r="A492" s="66">
        <v>41486.0</v>
      </c>
      <c r="B492" s="69" t="s">
        <v>573</v>
      </c>
    </row>
    <row r="493">
      <c r="A493" s="66">
        <v>41487.0</v>
      </c>
      <c r="B493" s="69" t="s">
        <v>574</v>
      </c>
    </row>
    <row r="494">
      <c r="A494" s="66">
        <v>41488.0</v>
      </c>
      <c r="B494" s="69" t="s">
        <v>574</v>
      </c>
    </row>
    <row r="495">
      <c r="A495" s="66">
        <v>41491.0</v>
      </c>
      <c r="B495" s="69" t="s">
        <v>572</v>
      </c>
    </row>
    <row r="496">
      <c r="A496" s="66">
        <v>41492.0</v>
      </c>
      <c r="B496" s="69" t="s">
        <v>572</v>
      </c>
    </row>
    <row r="497">
      <c r="A497" s="66">
        <v>41493.0</v>
      </c>
      <c r="B497" s="69" t="s">
        <v>569</v>
      </c>
    </row>
    <row r="498">
      <c r="A498" s="66">
        <v>41494.0</v>
      </c>
      <c r="B498" s="69" t="s">
        <v>575</v>
      </c>
    </row>
    <row r="499">
      <c r="A499" s="66">
        <v>41495.0</v>
      </c>
      <c r="B499" s="69" t="s">
        <v>567</v>
      </c>
    </row>
    <row r="500">
      <c r="A500" s="66">
        <v>41498.0</v>
      </c>
      <c r="B500" s="69" t="s">
        <v>576</v>
      </c>
    </row>
    <row r="501">
      <c r="A501" s="66">
        <v>41499.0</v>
      </c>
      <c r="B501" s="69" t="s">
        <v>577</v>
      </c>
    </row>
    <row r="502">
      <c r="A502" s="66">
        <v>41500.0</v>
      </c>
      <c r="B502" s="69" t="s">
        <v>577</v>
      </c>
    </row>
    <row r="503">
      <c r="A503" s="66">
        <v>41501.0</v>
      </c>
      <c r="B503" s="69" t="s">
        <v>576</v>
      </c>
    </row>
    <row r="504">
      <c r="A504" s="66">
        <v>41502.0</v>
      </c>
      <c r="B504" s="69" t="s">
        <v>576</v>
      </c>
    </row>
    <row r="505">
      <c r="A505" s="66">
        <v>41506.0</v>
      </c>
      <c r="B505" s="69" t="s">
        <v>576</v>
      </c>
    </row>
    <row r="506">
      <c r="A506" s="66">
        <v>41507.0</v>
      </c>
      <c r="B506" s="69" t="s">
        <v>566</v>
      </c>
    </row>
    <row r="507">
      <c r="A507" s="66">
        <v>41508.0</v>
      </c>
      <c r="B507" s="69" t="s">
        <v>567</v>
      </c>
    </row>
    <row r="508">
      <c r="A508" s="66">
        <v>41509.0</v>
      </c>
      <c r="B508" s="69" t="s">
        <v>578</v>
      </c>
    </row>
    <row r="509">
      <c r="A509" s="66">
        <v>41512.0</v>
      </c>
      <c r="B509" s="69" t="s">
        <v>567</v>
      </c>
    </row>
    <row r="510">
      <c r="A510" s="66">
        <v>41513.0</v>
      </c>
      <c r="B510" s="69" t="s">
        <v>577</v>
      </c>
    </row>
    <row r="511">
      <c r="A511" s="66">
        <v>41514.0</v>
      </c>
      <c r="B511" s="69" t="s">
        <v>579</v>
      </c>
    </row>
    <row r="512">
      <c r="A512" s="66">
        <v>41515.0</v>
      </c>
      <c r="B512" s="69" t="s">
        <v>580</v>
      </c>
    </row>
    <row r="513">
      <c r="A513" s="66">
        <v>41516.0</v>
      </c>
      <c r="B513" s="69" t="s">
        <v>567</v>
      </c>
    </row>
    <row r="514">
      <c r="A514" s="66">
        <v>41519.0</v>
      </c>
      <c r="B514" s="69" t="s">
        <v>581</v>
      </c>
    </row>
    <row r="515">
      <c r="A515" s="66">
        <v>41520.0</v>
      </c>
      <c r="B515" s="69" t="s">
        <v>582</v>
      </c>
    </row>
    <row r="516">
      <c r="A516" s="66">
        <v>41521.0</v>
      </c>
      <c r="B516" s="69" t="s">
        <v>583</v>
      </c>
    </row>
    <row r="517">
      <c r="A517" s="66">
        <v>41522.0</v>
      </c>
      <c r="B517" s="69" t="s">
        <v>584</v>
      </c>
    </row>
    <row r="518">
      <c r="A518" s="66">
        <v>41523.0</v>
      </c>
      <c r="B518" s="69" t="s">
        <v>584</v>
      </c>
    </row>
    <row r="519">
      <c r="A519" s="66">
        <v>41526.0</v>
      </c>
      <c r="B519" s="69" t="s">
        <v>584</v>
      </c>
    </row>
    <row r="520">
      <c r="A520" s="66">
        <v>41527.0</v>
      </c>
      <c r="B520" s="69" t="s">
        <v>585</v>
      </c>
    </row>
    <row r="521">
      <c r="A521" s="66">
        <v>41528.0</v>
      </c>
      <c r="B521" s="69" t="s">
        <v>585</v>
      </c>
    </row>
    <row r="522">
      <c r="A522" s="66">
        <v>41529.0</v>
      </c>
      <c r="B522" s="69" t="s">
        <v>522</v>
      </c>
    </row>
    <row r="523">
      <c r="A523" s="66">
        <v>41530.0</v>
      </c>
      <c r="B523" s="69" t="s">
        <v>522</v>
      </c>
    </row>
    <row r="524">
      <c r="A524" s="66">
        <v>41533.0</v>
      </c>
      <c r="B524" s="69" t="s">
        <v>586</v>
      </c>
    </row>
    <row r="525">
      <c r="A525" s="66">
        <v>41534.0</v>
      </c>
      <c r="B525" s="69" t="s">
        <v>587</v>
      </c>
    </row>
    <row r="526">
      <c r="A526" s="66">
        <v>41535.0</v>
      </c>
      <c r="B526" s="69" t="s">
        <v>587</v>
      </c>
    </row>
    <row r="527">
      <c r="A527" s="66">
        <v>41536.0</v>
      </c>
      <c r="B527" s="69" t="s">
        <v>588</v>
      </c>
    </row>
    <row r="528">
      <c r="A528" s="66">
        <v>41537.0</v>
      </c>
      <c r="B528" s="69" t="s">
        <v>588</v>
      </c>
    </row>
    <row r="529">
      <c r="A529" s="66">
        <v>41540.0</v>
      </c>
      <c r="B529" s="69" t="s">
        <v>589</v>
      </c>
    </row>
    <row r="530">
      <c r="A530" s="66">
        <v>41541.0</v>
      </c>
      <c r="B530" s="69" t="s">
        <v>590</v>
      </c>
    </row>
    <row r="531">
      <c r="A531" s="66">
        <v>41542.0</v>
      </c>
      <c r="B531" s="69" t="s">
        <v>589</v>
      </c>
    </row>
    <row r="532">
      <c r="A532" s="66">
        <v>41543.0</v>
      </c>
      <c r="B532" s="69" t="s">
        <v>591</v>
      </c>
    </row>
    <row r="533">
      <c r="A533" s="66">
        <v>41544.0</v>
      </c>
      <c r="B533" s="69" t="s">
        <v>522</v>
      </c>
    </row>
    <row r="534">
      <c r="A534" s="66">
        <v>41547.0</v>
      </c>
      <c r="B534" s="69" t="s">
        <v>522</v>
      </c>
    </row>
    <row r="535">
      <c r="A535" s="66">
        <v>41548.0</v>
      </c>
      <c r="B535" s="69" t="s">
        <v>592</v>
      </c>
    </row>
    <row r="536">
      <c r="A536" s="66">
        <v>41549.0</v>
      </c>
      <c r="B536" s="69" t="s">
        <v>522</v>
      </c>
    </row>
    <row r="537">
      <c r="A537" s="66">
        <v>41550.0</v>
      </c>
      <c r="B537" s="69" t="s">
        <v>586</v>
      </c>
    </row>
    <row r="538">
      <c r="A538" s="66">
        <v>41551.0</v>
      </c>
      <c r="B538" s="69" t="s">
        <v>586</v>
      </c>
    </row>
    <row r="539">
      <c r="A539" s="66">
        <v>41554.0</v>
      </c>
      <c r="B539" s="69" t="s">
        <v>591</v>
      </c>
    </row>
    <row r="540">
      <c r="A540" s="66">
        <v>41555.0</v>
      </c>
      <c r="B540" s="69" t="s">
        <v>586</v>
      </c>
    </row>
    <row r="541">
      <c r="A541" s="66">
        <v>41556.0</v>
      </c>
      <c r="B541" s="69" t="s">
        <v>586</v>
      </c>
    </row>
    <row r="542">
      <c r="A542" s="66">
        <v>41557.0</v>
      </c>
      <c r="B542" s="69" t="s">
        <v>586</v>
      </c>
    </row>
    <row r="543">
      <c r="A543" s="66">
        <v>41558.0</v>
      </c>
      <c r="B543" s="69" t="s">
        <v>591</v>
      </c>
    </row>
    <row r="544">
      <c r="A544" s="66">
        <v>41562.0</v>
      </c>
      <c r="B544" s="69" t="s">
        <v>591</v>
      </c>
    </row>
    <row r="545">
      <c r="A545" s="66">
        <v>41563.0</v>
      </c>
      <c r="B545" s="69" t="s">
        <v>522</v>
      </c>
    </row>
    <row r="546">
      <c r="A546" s="66">
        <v>41564.0</v>
      </c>
      <c r="B546" s="69" t="s">
        <v>522</v>
      </c>
    </row>
    <row r="547">
      <c r="A547" s="66">
        <v>41565.0</v>
      </c>
      <c r="B547" s="69" t="s">
        <v>591</v>
      </c>
    </row>
    <row r="548">
      <c r="A548" s="66">
        <v>41568.0</v>
      </c>
      <c r="B548" s="69" t="s">
        <v>593</v>
      </c>
    </row>
    <row r="549">
      <c r="A549" s="66">
        <v>41569.0</v>
      </c>
      <c r="B549" s="69" t="s">
        <v>588</v>
      </c>
    </row>
    <row r="550">
      <c r="A550" s="66">
        <v>41570.0</v>
      </c>
      <c r="B550" s="69" t="s">
        <v>588</v>
      </c>
    </row>
    <row r="551">
      <c r="A551" s="66">
        <v>41571.0</v>
      </c>
      <c r="B551" s="69" t="s">
        <v>594</v>
      </c>
    </row>
    <row r="552">
      <c r="A552" s="66">
        <v>41572.0</v>
      </c>
      <c r="B552" s="69" t="s">
        <v>594</v>
      </c>
    </row>
    <row r="553">
      <c r="A553" s="66">
        <v>41575.0</v>
      </c>
      <c r="B553" s="69" t="s">
        <v>595</v>
      </c>
    </row>
    <row r="554">
      <c r="A554" s="66">
        <v>41576.0</v>
      </c>
      <c r="B554" s="69" t="s">
        <v>587</v>
      </c>
    </row>
    <row r="555">
      <c r="A555" s="66">
        <v>41577.0</v>
      </c>
      <c r="B555" s="69" t="s">
        <v>596</v>
      </c>
    </row>
    <row r="556">
      <c r="A556" s="66">
        <v>41578.0</v>
      </c>
      <c r="B556" s="69" t="s">
        <v>597</v>
      </c>
    </row>
    <row r="557">
      <c r="A557" s="66">
        <v>41579.0</v>
      </c>
      <c r="B557" s="69" t="s">
        <v>598</v>
      </c>
    </row>
    <row r="558">
      <c r="A558" s="66">
        <v>41582.0</v>
      </c>
      <c r="B558" s="69" t="s">
        <v>589</v>
      </c>
    </row>
    <row r="559">
      <c r="A559" s="66">
        <v>41583.0</v>
      </c>
      <c r="B559" s="69" t="s">
        <v>599</v>
      </c>
    </row>
    <row r="560">
      <c r="A560" s="66">
        <v>41585.0</v>
      </c>
      <c r="B560" s="69" t="s">
        <v>600</v>
      </c>
    </row>
    <row r="561">
      <c r="A561" s="66">
        <v>41586.0</v>
      </c>
      <c r="B561" s="69" t="s">
        <v>593</v>
      </c>
    </row>
    <row r="562">
      <c r="A562" s="66">
        <v>41589.0</v>
      </c>
      <c r="B562" s="69" t="s">
        <v>598</v>
      </c>
    </row>
    <row r="563">
      <c r="A563" s="66">
        <v>41590.0</v>
      </c>
      <c r="B563" s="69" t="s">
        <v>601</v>
      </c>
    </row>
    <row r="564">
      <c r="A564" s="66">
        <v>41591.0</v>
      </c>
      <c r="B564" s="69" t="s">
        <v>587</v>
      </c>
    </row>
    <row r="565">
      <c r="A565" s="66">
        <v>41592.0</v>
      </c>
      <c r="B565" s="69" t="s">
        <v>590</v>
      </c>
    </row>
    <row r="566">
      <c r="A566" s="66">
        <v>41593.0</v>
      </c>
      <c r="B566" s="69" t="s">
        <v>590</v>
      </c>
    </row>
    <row r="567">
      <c r="A567" s="66">
        <v>41596.0</v>
      </c>
      <c r="B567" s="69" t="s">
        <v>593</v>
      </c>
    </row>
    <row r="568">
      <c r="A568" s="66">
        <v>41597.0</v>
      </c>
      <c r="B568" s="69" t="s">
        <v>602</v>
      </c>
    </row>
    <row r="569">
      <c r="A569" s="66">
        <v>41598.0</v>
      </c>
      <c r="B569" s="69" t="s">
        <v>586</v>
      </c>
    </row>
    <row r="570">
      <c r="A570" s="66">
        <v>41599.0</v>
      </c>
      <c r="B570" s="69" t="s">
        <v>603</v>
      </c>
    </row>
    <row r="571">
      <c r="A571" s="66">
        <v>41600.0</v>
      </c>
      <c r="B571" s="69" t="s">
        <v>604</v>
      </c>
    </row>
    <row r="572">
      <c r="A572" s="66">
        <v>41604.0</v>
      </c>
      <c r="B572" s="69" t="s">
        <v>605</v>
      </c>
    </row>
    <row r="573">
      <c r="A573" s="66">
        <v>41605.0</v>
      </c>
      <c r="B573" s="69" t="s">
        <v>585</v>
      </c>
    </row>
    <row r="574">
      <c r="A574" s="66">
        <v>41607.0</v>
      </c>
      <c r="B574" s="69" t="s">
        <v>606</v>
      </c>
    </row>
    <row r="575">
      <c r="A575" s="66">
        <v>41610.0</v>
      </c>
      <c r="B575" s="69" t="s">
        <v>607</v>
      </c>
    </row>
    <row r="576">
      <c r="A576" s="66">
        <v>41611.0</v>
      </c>
      <c r="B576" s="69" t="s">
        <v>569</v>
      </c>
    </row>
    <row r="577">
      <c r="A577" s="66">
        <v>41612.0</v>
      </c>
      <c r="B577" s="69" t="s">
        <v>608</v>
      </c>
    </row>
    <row r="578">
      <c r="A578" s="66">
        <v>41613.0</v>
      </c>
      <c r="B578" s="69" t="s">
        <v>565</v>
      </c>
    </row>
    <row r="579">
      <c r="A579" s="66">
        <v>41614.0</v>
      </c>
      <c r="B579" s="69" t="s">
        <v>567</v>
      </c>
    </row>
    <row r="580">
      <c r="A580" s="66">
        <v>41617.0</v>
      </c>
      <c r="B580" s="69" t="s">
        <v>573</v>
      </c>
    </row>
    <row r="581">
      <c r="A581" s="66">
        <v>41618.0</v>
      </c>
      <c r="B581" s="69" t="s">
        <v>609</v>
      </c>
    </row>
    <row r="582">
      <c r="A582" s="66">
        <v>41619.0</v>
      </c>
      <c r="B582" s="69" t="s">
        <v>610</v>
      </c>
    </row>
    <row r="583">
      <c r="A583" s="66">
        <v>41620.0</v>
      </c>
      <c r="B583" s="69" t="s">
        <v>610</v>
      </c>
    </row>
    <row r="584">
      <c r="A584" s="66">
        <v>41621.0</v>
      </c>
      <c r="B584" s="69" t="s">
        <v>611</v>
      </c>
    </row>
    <row r="585">
      <c r="A585" s="66">
        <v>41624.0</v>
      </c>
      <c r="B585" s="69" t="s">
        <v>575</v>
      </c>
    </row>
    <row r="586">
      <c r="A586" s="66">
        <v>41625.0</v>
      </c>
      <c r="B586" s="69" t="s">
        <v>611</v>
      </c>
    </row>
    <row r="587">
      <c r="A587" s="66">
        <v>41626.0</v>
      </c>
      <c r="B587" s="69" t="s">
        <v>567</v>
      </c>
    </row>
    <row r="588">
      <c r="A588" s="66">
        <v>41627.0</v>
      </c>
      <c r="B588" s="69" t="s">
        <v>609</v>
      </c>
    </row>
    <row r="589">
      <c r="A589" s="66">
        <v>41628.0</v>
      </c>
      <c r="B589" s="69" t="s">
        <v>612</v>
      </c>
    </row>
    <row r="590">
      <c r="A590" s="66">
        <v>41631.0</v>
      </c>
      <c r="B590" s="69" t="s">
        <v>613</v>
      </c>
    </row>
    <row r="591">
      <c r="A591" s="66">
        <v>41634.0</v>
      </c>
      <c r="B591" s="69" t="s">
        <v>614</v>
      </c>
    </row>
    <row r="592">
      <c r="A592" s="66">
        <v>41635.0</v>
      </c>
      <c r="B592" s="69" t="s">
        <v>615</v>
      </c>
    </row>
    <row r="593">
      <c r="A593" s="66">
        <v>41638.0</v>
      </c>
      <c r="B593" s="69" t="s">
        <v>616</v>
      </c>
    </row>
    <row r="594">
      <c r="A594" s="66">
        <v>41641.0</v>
      </c>
      <c r="B594" s="69" t="s">
        <v>584</v>
      </c>
    </row>
    <row r="595">
      <c r="A595" s="66">
        <v>41642.0</v>
      </c>
      <c r="B595" s="69" t="s">
        <v>583</v>
      </c>
    </row>
    <row r="596">
      <c r="A596" s="66">
        <v>41645.0</v>
      </c>
      <c r="B596" s="69" t="s">
        <v>617</v>
      </c>
    </row>
    <row r="597">
      <c r="A597" s="66">
        <v>41646.0</v>
      </c>
      <c r="B597" s="69" t="s">
        <v>618</v>
      </c>
    </row>
    <row r="598">
      <c r="A598" s="66">
        <v>41647.0</v>
      </c>
      <c r="B598" s="69" t="s">
        <v>619</v>
      </c>
    </row>
    <row r="599">
      <c r="A599" s="66">
        <v>41648.0</v>
      </c>
      <c r="B599" s="69" t="s">
        <v>620</v>
      </c>
    </row>
    <row r="600">
      <c r="A600" s="66">
        <v>41649.0</v>
      </c>
      <c r="B600" s="69" t="s">
        <v>621</v>
      </c>
    </row>
    <row r="601">
      <c r="A601" s="66">
        <v>41652.0</v>
      </c>
      <c r="B601" s="69" t="s">
        <v>622</v>
      </c>
    </row>
    <row r="602">
      <c r="A602" s="66">
        <v>41653.0</v>
      </c>
      <c r="B602" s="69" t="s">
        <v>623</v>
      </c>
    </row>
    <row r="603">
      <c r="A603" s="66">
        <v>41654.0</v>
      </c>
      <c r="B603" s="69" t="s">
        <v>624</v>
      </c>
    </row>
    <row r="604">
      <c r="A604" s="66">
        <v>41655.0</v>
      </c>
      <c r="B604" s="69" t="s">
        <v>625</v>
      </c>
    </row>
    <row r="605">
      <c r="A605" s="66">
        <v>41656.0</v>
      </c>
      <c r="B605" s="69" t="s">
        <v>626</v>
      </c>
    </row>
    <row r="606">
      <c r="A606" s="66">
        <v>41659.0</v>
      </c>
      <c r="B606" s="69" t="s">
        <v>627</v>
      </c>
    </row>
    <row r="607">
      <c r="A607" s="66">
        <v>41660.0</v>
      </c>
      <c r="B607" s="69" t="s">
        <v>628</v>
      </c>
    </row>
    <row r="608">
      <c r="A608" s="66">
        <v>41661.0</v>
      </c>
      <c r="B608" s="69" t="s">
        <v>629</v>
      </c>
    </row>
    <row r="609">
      <c r="A609" s="66">
        <v>41662.0</v>
      </c>
      <c r="B609" s="69" t="s">
        <v>630</v>
      </c>
    </row>
    <row r="610">
      <c r="A610" s="66">
        <v>41663.0</v>
      </c>
      <c r="B610" s="69" t="s">
        <v>631</v>
      </c>
    </row>
    <row r="611">
      <c r="A611" s="66">
        <v>41666.0</v>
      </c>
      <c r="B611" s="69" t="s">
        <v>632</v>
      </c>
    </row>
    <row r="612">
      <c r="A612" s="66">
        <v>41667.0</v>
      </c>
      <c r="B612" s="69" t="s">
        <v>633</v>
      </c>
    </row>
    <row r="613">
      <c r="A613" s="66">
        <v>41668.0</v>
      </c>
      <c r="B613" s="69" t="s">
        <v>634</v>
      </c>
    </row>
    <row r="614">
      <c r="A614" s="66">
        <v>41669.0</v>
      </c>
      <c r="B614" s="69" t="s">
        <v>635</v>
      </c>
    </row>
    <row r="615">
      <c r="A615" s="66">
        <v>41670.0</v>
      </c>
      <c r="B615" s="69" t="s">
        <v>636</v>
      </c>
    </row>
    <row r="616">
      <c r="A616" s="66">
        <v>41673.0</v>
      </c>
      <c r="B616" s="69" t="s">
        <v>637</v>
      </c>
    </row>
    <row r="617">
      <c r="A617" s="66">
        <v>41674.0</v>
      </c>
      <c r="B617" s="69" t="s">
        <v>638</v>
      </c>
    </row>
    <row r="618">
      <c r="A618" s="66">
        <v>41675.0</v>
      </c>
      <c r="B618" s="69" t="s">
        <v>639</v>
      </c>
    </row>
    <row r="619">
      <c r="A619" s="66">
        <v>41676.0</v>
      </c>
      <c r="B619" s="69" t="s">
        <v>637</v>
      </c>
    </row>
    <row r="620">
      <c r="A620" s="66">
        <v>41677.0</v>
      </c>
      <c r="B620" s="69" t="s">
        <v>640</v>
      </c>
    </row>
    <row r="621">
      <c r="A621" s="66">
        <v>41680.0</v>
      </c>
      <c r="B621" s="69" t="s">
        <v>641</v>
      </c>
    </row>
    <row r="622">
      <c r="A622" s="66">
        <v>41681.0</v>
      </c>
      <c r="B622" s="69" t="s">
        <v>642</v>
      </c>
    </row>
    <row r="623">
      <c r="A623" s="66">
        <v>41682.0</v>
      </c>
      <c r="B623" s="69" t="s">
        <v>643</v>
      </c>
    </row>
    <row r="624">
      <c r="A624" s="66">
        <v>41683.0</v>
      </c>
      <c r="B624" s="69" t="s">
        <v>644</v>
      </c>
    </row>
    <row r="625">
      <c r="A625" s="66">
        <v>41684.0</v>
      </c>
      <c r="B625" s="69" t="s">
        <v>643</v>
      </c>
    </row>
    <row r="626">
      <c r="A626" s="66">
        <v>41688.0</v>
      </c>
      <c r="B626" s="69" t="s">
        <v>645</v>
      </c>
    </row>
    <row r="627">
      <c r="A627" s="66">
        <v>41689.0</v>
      </c>
      <c r="B627" s="69" t="s">
        <v>646</v>
      </c>
    </row>
    <row r="628">
      <c r="A628" s="66">
        <v>41690.0</v>
      </c>
      <c r="B628" s="69" t="s">
        <v>647</v>
      </c>
    </row>
    <row r="629">
      <c r="A629" s="66">
        <v>41691.0</v>
      </c>
      <c r="B629" s="69" t="s">
        <v>648</v>
      </c>
    </row>
    <row r="630">
      <c r="A630" s="66">
        <v>41694.0</v>
      </c>
      <c r="B630" s="69" t="s">
        <v>647</v>
      </c>
    </row>
    <row r="631">
      <c r="A631" s="66">
        <v>41695.0</v>
      </c>
      <c r="B631" s="69" t="s">
        <v>649</v>
      </c>
    </row>
    <row r="632">
      <c r="A632" s="66">
        <v>41696.0</v>
      </c>
      <c r="B632" s="69" t="s">
        <v>650</v>
      </c>
    </row>
    <row r="633">
      <c r="A633" s="66">
        <v>41697.0</v>
      </c>
      <c r="B633" s="69" t="s">
        <v>646</v>
      </c>
    </row>
    <row r="634">
      <c r="A634" s="66">
        <v>41698.0</v>
      </c>
      <c r="B634" s="69" t="s">
        <v>651</v>
      </c>
    </row>
    <row r="635">
      <c r="A635" s="66">
        <v>41703.0</v>
      </c>
      <c r="B635" s="69" t="s">
        <v>652</v>
      </c>
    </row>
    <row r="636">
      <c r="A636" s="66">
        <v>41704.0</v>
      </c>
      <c r="B636" s="69" t="s">
        <v>653</v>
      </c>
    </row>
    <row r="637">
      <c r="A637" s="66">
        <v>41705.0</v>
      </c>
      <c r="B637" s="69" t="s">
        <v>654</v>
      </c>
    </row>
    <row r="638">
      <c r="A638" s="66">
        <v>41708.0</v>
      </c>
      <c r="B638" s="69" t="s">
        <v>655</v>
      </c>
    </row>
    <row r="639">
      <c r="A639" s="66">
        <v>41709.0</v>
      </c>
      <c r="B639" s="69" t="s">
        <v>656</v>
      </c>
    </row>
    <row r="640">
      <c r="A640" s="66">
        <v>41710.0</v>
      </c>
      <c r="B640" s="69" t="s">
        <v>649</v>
      </c>
    </row>
    <row r="641">
      <c r="A641" s="66">
        <v>41711.0</v>
      </c>
      <c r="B641" s="69" t="s">
        <v>657</v>
      </c>
    </row>
    <row r="642">
      <c r="A642" s="66">
        <v>41712.0</v>
      </c>
      <c r="B642" s="69" t="s">
        <v>658</v>
      </c>
    </row>
    <row r="643">
      <c r="A643" s="66">
        <v>41715.0</v>
      </c>
      <c r="B643" s="69" t="s">
        <v>657</v>
      </c>
    </row>
    <row r="644">
      <c r="A644" s="66">
        <v>41716.0</v>
      </c>
      <c r="B644" s="69" t="s">
        <v>659</v>
      </c>
    </row>
    <row r="645">
      <c r="A645" s="66">
        <v>41717.0</v>
      </c>
      <c r="B645" s="69" t="s">
        <v>659</v>
      </c>
    </row>
    <row r="646">
      <c r="A646" s="66">
        <v>41718.0</v>
      </c>
      <c r="B646" s="69" t="s">
        <v>660</v>
      </c>
    </row>
    <row r="647">
      <c r="A647" s="66">
        <v>41719.0</v>
      </c>
      <c r="B647" s="69" t="s">
        <v>661</v>
      </c>
    </row>
    <row r="648">
      <c r="A648" s="66">
        <v>41723.0</v>
      </c>
      <c r="B648" s="69" t="s">
        <v>662</v>
      </c>
    </row>
    <row r="649">
      <c r="A649" s="66">
        <v>41724.0</v>
      </c>
      <c r="B649" s="69" t="s">
        <v>660</v>
      </c>
    </row>
    <row r="650">
      <c r="A650" s="66">
        <v>41725.0</v>
      </c>
      <c r="B650" s="69" t="s">
        <v>663</v>
      </c>
    </row>
    <row r="651">
      <c r="A651" s="66">
        <v>41726.0</v>
      </c>
      <c r="B651" s="69" t="s">
        <v>664</v>
      </c>
    </row>
    <row r="652">
      <c r="A652" s="66">
        <v>41729.0</v>
      </c>
      <c r="B652" s="69" t="s">
        <v>665</v>
      </c>
    </row>
    <row r="653">
      <c r="A653" s="66">
        <v>41730.0</v>
      </c>
      <c r="B653" s="69" t="s">
        <v>666</v>
      </c>
    </row>
    <row r="654">
      <c r="A654" s="66">
        <v>41732.0</v>
      </c>
      <c r="B654" s="69" t="s">
        <v>667</v>
      </c>
    </row>
    <row r="655">
      <c r="A655" s="66">
        <v>41733.0</v>
      </c>
      <c r="B655" s="69" t="s">
        <v>668</v>
      </c>
    </row>
    <row r="656">
      <c r="A656" s="66">
        <v>41736.0</v>
      </c>
      <c r="B656" s="69" t="s">
        <v>669</v>
      </c>
    </row>
    <row r="657">
      <c r="A657" s="66">
        <v>41737.0</v>
      </c>
      <c r="B657" s="69" t="s">
        <v>670</v>
      </c>
    </row>
    <row r="658">
      <c r="A658" s="66">
        <v>41738.0</v>
      </c>
      <c r="B658" s="69" t="s">
        <v>671</v>
      </c>
    </row>
    <row r="659">
      <c r="A659" s="66">
        <v>41739.0</v>
      </c>
      <c r="B659" s="69" t="s">
        <v>672</v>
      </c>
    </row>
    <row r="660">
      <c r="A660" s="66">
        <v>41740.0</v>
      </c>
      <c r="B660" s="69" t="s">
        <v>673</v>
      </c>
    </row>
    <row r="661">
      <c r="A661" s="66">
        <v>41743.0</v>
      </c>
      <c r="B661" s="69" t="s">
        <v>674</v>
      </c>
    </row>
    <row r="662">
      <c r="A662" s="66">
        <v>41744.0</v>
      </c>
      <c r="B662" s="69" t="s">
        <v>675</v>
      </c>
    </row>
    <row r="663">
      <c r="A663" s="66">
        <v>41745.0</v>
      </c>
      <c r="B663" s="69" t="s">
        <v>676</v>
      </c>
    </row>
    <row r="664">
      <c r="A664" s="66">
        <v>41750.0</v>
      </c>
      <c r="B664" s="69" t="s">
        <v>677</v>
      </c>
    </row>
    <row r="665">
      <c r="A665" s="66">
        <v>41751.0</v>
      </c>
      <c r="B665" s="69" t="s">
        <v>670</v>
      </c>
    </row>
    <row r="666">
      <c r="A666" s="66">
        <v>41752.0</v>
      </c>
      <c r="B666" s="69" t="s">
        <v>678</v>
      </c>
    </row>
    <row r="667">
      <c r="A667" s="66">
        <v>41753.0</v>
      </c>
      <c r="B667" s="69" t="s">
        <v>675</v>
      </c>
    </row>
    <row r="668">
      <c r="A668" s="66">
        <v>41754.0</v>
      </c>
      <c r="B668" s="69" t="s">
        <v>670</v>
      </c>
    </row>
    <row r="669">
      <c r="A669" s="66">
        <v>41757.0</v>
      </c>
      <c r="B669" s="69" t="s">
        <v>679</v>
      </c>
    </row>
    <row r="670">
      <c r="A670" s="66">
        <v>41758.0</v>
      </c>
      <c r="B670" s="69" t="s">
        <v>664</v>
      </c>
    </row>
    <row r="671">
      <c r="A671" s="66">
        <v>41759.0</v>
      </c>
      <c r="B671" s="69" t="s">
        <v>680</v>
      </c>
    </row>
    <row r="672">
      <c r="A672" s="66">
        <v>41764.0</v>
      </c>
      <c r="B672" s="69" t="s">
        <v>681</v>
      </c>
    </row>
    <row r="673">
      <c r="A673" s="66">
        <v>41765.0</v>
      </c>
      <c r="B673" s="69" t="s">
        <v>682</v>
      </c>
    </row>
    <row r="674">
      <c r="A674" s="66">
        <v>41766.0</v>
      </c>
      <c r="B674" s="69" t="s">
        <v>683</v>
      </c>
    </row>
    <row r="675">
      <c r="A675" s="66">
        <v>41767.0</v>
      </c>
      <c r="B675" s="69" t="s">
        <v>673</v>
      </c>
    </row>
    <row r="676">
      <c r="A676" s="66">
        <v>41768.0</v>
      </c>
      <c r="B676" s="69" t="s">
        <v>674</v>
      </c>
    </row>
    <row r="677">
      <c r="A677" s="66">
        <v>41771.0</v>
      </c>
      <c r="B677" s="69" t="s">
        <v>684</v>
      </c>
    </row>
    <row r="678">
      <c r="A678" s="66">
        <v>41772.0</v>
      </c>
      <c r="B678" s="69" t="s">
        <v>685</v>
      </c>
    </row>
    <row r="679">
      <c r="A679" s="66">
        <v>41773.0</v>
      </c>
      <c r="B679" s="69" t="s">
        <v>686</v>
      </c>
    </row>
    <row r="680">
      <c r="A680" s="66">
        <v>41774.0</v>
      </c>
      <c r="B680" s="69" t="s">
        <v>687</v>
      </c>
    </row>
    <row r="681">
      <c r="A681" s="66">
        <v>41775.0</v>
      </c>
      <c r="B681" s="69" t="s">
        <v>656</v>
      </c>
    </row>
    <row r="682">
      <c r="A682" s="66">
        <v>41778.0</v>
      </c>
      <c r="B682" s="69" t="s">
        <v>662</v>
      </c>
    </row>
    <row r="683">
      <c r="A683" s="66">
        <v>41779.0</v>
      </c>
      <c r="B683" s="69" t="s">
        <v>688</v>
      </c>
    </row>
    <row r="684">
      <c r="A684" s="66">
        <v>41780.0</v>
      </c>
      <c r="B684" s="69" t="s">
        <v>689</v>
      </c>
    </row>
    <row r="685">
      <c r="A685" s="66">
        <v>41781.0</v>
      </c>
      <c r="B685" s="69" t="s">
        <v>645</v>
      </c>
    </row>
    <row r="686">
      <c r="A686" s="66">
        <v>41782.0</v>
      </c>
      <c r="B686" s="69" t="s">
        <v>643</v>
      </c>
    </row>
    <row r="687">
      <c r="A687" s="66">
        <v>41785.0</v>
      </c>
      <c r="B687" s="69" t="s">
        <v>690</v>
      </c>
    </row>
    <row r="688">
      <c r="A688" s="66">
        <v>41786.0</v>
      </c>
      <c r="B688" s="69" t="s">
        <v>690</v>
      </c>
    </row>
    <row r="689">
      <c r="A689" s="66">
        <v>41787.0</v>
      </c>
      <c r="B689" s="69" t="s">
        <v>691</v>
      </c>
    </row>
    <row r="690">
      <c r="A690" s="66">
        <v>41788.0</v>
      </c>
      <c r="B690" s="69" t="s">
        <v>692</v>
      </c>
    </row>
    <row r="691">
      <c r="A691" s="66">
        <v>41789.0</v>
      </c>
      <c r="B691" s="69" t="s">
        <v>693</v>
      </c>
    </row>
    <row r="692">
      <c r="A692" s="66">
        <v>41792.0</v>
      </c>
      <c r="B692" s="69" t="s">
        <v>694</v>
      </c>
    </row>
    <row r="693">
      <c r="A693" s="66">
        <v>41793.0</v>
      </c>
      <c r="B693" s="69" t="s">
        <v>645</v>
      </c>
    </row>
    <row r="694">
      <c r="A694" s="66">
        <v>41794.0</v>
      </c>
      <c r="B694" s="69" t="s">
        <v>695</v>
      </c>
    </row>
    <row r="695">
      <c r="A695" s="66">
        <v>41795.0</v>
      </c>
      <c r="B695" s="69" t="s">
        <v>696</v>
      </c>
    </row>
    <row r="696">
      <c r="A696" s="66">
        <v>41796.0</v>
      </c>
      <c r="B696" s="69" t="s">
        <v>697</v>
      </c>
    </row>
    <row r="697">
      <c r="A697" s="66">
        <v>41799.0</v>
      </c>
      <c r="B697" s="69" t="s">
        <v>646</v>
      </c>
    </row>
    <row r="698">
      <c r="A698" s="66">
        <v>41800.0</v>
      </c>
      <c r="B698" s="69" t="s">
        <v>698</v>
      </c>
    </row>
    <row r="699">
      <c r="A699" s="66">
        <v>41801.0</v>
      </c>
      <c r="B699" s="69" t="s">
        <v>699</v>
      </c>
    </row>
    <row r="700">
      <c r="A700" s="66">
        <v>41802.0</v>
      </c>
      <c r="B700" s="69" t="s">
        <v>650</v>
      </c>
    </row>
    <row r="701">
      <c r="A701" s="66">
        <v>41803.0</v>
      </c>
      <c r="B701" s="69" t="s">
        <v>700</v>
      </c>
    </row>
    <row r="702">
      <c r="A702" s="66">
        <v>41806.0</v>
      </c>
      <c r="B702" s="69" t="s">
        <v>701</v>
      </c>
    </row>
    <row r="703">
      <c r="A703" s="66">
        <v>41807.0</v>
      </c>
      <c r="B703" s="69" t="s">
        <v>702</v>
      </c>
    </row>
    <row r="704">
      <c r="A704" s="66">
        <v>41808.0</v>
      </c>
      <c r="B704" s="69" t="s">
        <v>703</v>
      </c>
    </row>
    <row r="705">
      <c r="A705" s="66">
        <v>41809.0</v>
      </c>
      <c r="B705" s="69" t="s">
        <v>650</v>
      </c>
    </row>
    <row r="706">
      <c r="A706" s="66">
        <v>41813.0</v>
      </c>
      <c r="B706" s="69" t="s">
        <v>704</v>
      </c>
    </row>
    <row r="707">
      <c r="A707" s="66">
        <v>41814.0</v>
      </c>
      <c r="B707" s="69" t="s">
        <v>655</v>
      </c>
    </row>
    <row r="708">
      <c r="A708" s="66">
        <v>41815.0</v>
      </c>
      <c r="B708" s="69" t="s">
        <v>680</v>
      </c>
    </row>
    <row r="709">
      <c r="A709" s="66">
        <v>41816.0</v>
      </c>
      <c r="B709" s="69" t="s">
        <v>705</v>
      </c>
    </row>
    <row r="710">
      <c r="A710" s="66">
        <v>41817.0</v>
      </c>
      <c r="B710" s="69" t="s">
        <v>665</v>
      </c>
    </row>
    <row r="711">
      <c r="A711" s="66">
        <v>41820.0</v>
      </c>
      <c r="B711" s="69" t="s">
        <v>657</v>
      </c>
    </row>
    <row r="712">
      <c r="A712" s="66">
        <v>41821.0</v>
      </c>
      <c r="B712" s="69" t="s">
        <v>706</v>
      </c>
    </row>
    <row r="713">
      <c r="A713" s="66">
        <v>41822.0</v>
      </c>
      <c r="B713" s="69" t="s">
        <v>680</v>
      </c>
    </row>
    <row r="714">
      <c r="A714" s="66">
        <v>41823.0</v>
      </c>
      <c r="B714" s="69" t="s">
        <v>707</v>
      </c>
    </row>
    <row r="715">
      <c r="A715" s="66">
        <v>41824.0</v>
      </c>
      <c r="B715" s="69" t="s">
        <v>708</v>
      </c>
    </row>
    <row r="716">
      <c r="A716" s="66">
        <v>41827.0</v>
      </c>
      <c r="B716" s="69" t="s">
        <v>654</v>
      </c>
    </row>
    <row r="717">
      <c r="A717" s="66">
        <v>41828.0</v>
      </c>
      <c r="B717" s="69" t="s">
        <v>708</v>
      </c>
    </row>
    <row r="718">
      <c r="A718" s="66">
        <v>41830.0</v>
      </c>
      <c r="B718" s="69" t="s">
        <v>709</v>
      </c>
    </row>
    <row r="719">
      <c r="A719" s="66">
        <v>41831.0</v>
      </c>
      <c r="B719" s="69" t="s">
        <v>668</v>
      </c>
    </row>
    <row r="720">
      <c r="A720" s="66">
        <v>41834.0</v>
      </c>
      <c r="B720" s="69" t="s">
        <v>710</v>
      </c>
    </row>
    <row r="721">
      <c r="A721" s="66">
        <v>41835.0</v>
      </c>
      <c r="B721" s="69" t="s">
        <v>680</v>
      </c>
    </row>
    <row r="722">
      <c r="A722" s="66">
        <v>41836.0</v>
      </c>
      <c r="B722" s="69" t="s">
        <v>687</v>
      </c>
    </row>
    <row r="723">
      <c r="A723" s="66">
        <v>41837.0</v>
      </c>
      <c r="B723" s="69" t="s">
        <v>706</v>
      </c>
    </row>
    <row r="724">
      <c r="A724" s="66">
        <v>41838.0</v>
      </c>
      <c r="B724" s="69" t="s">
        <v>709</v>
      </c>
    </row>
    <row r="725">
      <c r="A725" s="66">
        <v>41841.0</v>
      </c>
      <c r="B725" s="69" t="s">
        <v>711</v>
      </c>
    </row>
    <row r="726">
      <c r="A726" s="66">
        <v>41842.0</v>
      </c>
      <c r="B726" s="69" t="s">
        <v>681</v>
      </c>
    </row>
    <row r="727">
      <c r="A727" s="66">
        <v>41843.0</v>
      </c>
      <c r="B727" s="69" t="s">
        <v>712</v>
      </c>
    </row>
    <row r="728">
      <c r="A728" s="66">
        <v>41844.0</v>
      </c>
      <c r="B728" s="69" t="s">
        <v>668</v>
      </c>
    </row>
    <row r="729">
      <c r="A729" s="66">
        <v>41845.0</v>
      </c>
      <c r="B729" s="69" t="s">
        <v>713</v>
      </c>
    </row>
    <row r="730">
      <c r="A730" s="66">
        <v>41848.0</v>
      </c>
      <c r="B730" s="69" t="s">
        <v>714</v>
      </c>
    </row>
    <row r="731">
      <c r="A731" s="66">
        <v>41849.0</v>
      </c>
      <c r="B731" s="69" t="s">
        <v>655</v>
      </c>
    </row>
    <row r="732">
      <c r="A732" s="66">
        <v>41850.0</v>
      </c>
      <c r="B732" s="69" t="s">
        <v>715</v>
      </c>
    </row>
    <row r="733">
      <c r="A733" s="66">
        <v>41851.0</v>
      </c>
      <c r="B733" s="69" t="s">
        <v>680</v>
      </c>
    </row>
    <row r="734">
      <c r="A734" s="66">
        <v>41852.0</v>
      </c>
      <c r="B734" s="69" t="s">
        <v>665</v>
      </c>
    </row>
    <row r="735">
      <c r="A735" s="66">
        <v>41855.0</v>
      </c>
      <c r="B735" s="69" t="s">
        <v>651</v>
      </c>
    </row>
    <row r="736">
      <c r="A736" s="66">
        <v>41856.0</v>
      </c>
      <c r="B736" s="69" t="s">
        <v>652</v>
      </c>
    </row>
    <row r="737">
      <c r="A737" s="66">
        <v>41857.0</v>
      </c>
      <c r="B737" s="69" t="s">
        <v>716</v>
      </c>
    </row>
    <row r="738">
      <c r="A738" s="66">
        <v>41858.0</v>
      </c>
      <c r="B738" s="69" t="s">
        <v>716</v>
      </c>
    </row>
    <row r="739">
      <c r="A739" s="66">
        <v>41859.0</v>
      </c>
      <c r="B739" s="69" t="s">
        <v>696</v>
      </c>
    </row>
    <row r="740">
      <c r="A740" s="66">
        <v>41862.0</v>
      </c>
      <c r="B740" s="69" t="s">
        <v>646</v>
      </c>
    </row>
    <row r="741">
      <c r="A741" s="66">
        <v>41863.0</v>
      </c>
      <c r="B741" s="69" t="s">
        <v>688</v>
      </c>
    </row>
    <row r="742">
      <c r="A742" s="66">
        <v>41864.0</v>
      </c>
      <c r="B742" s="69" t="s">
        <v>717</v>
      </c>
    </row>
    <row r="743">
      <c r="A743" s="66">
        <v>41865.0</v>
      </c>
      <c r="B743" s="69" t="s">
        <v>718</v>
      </c>
    </row>
    <row r="744">
      <c r="A744" s="66">
        <v>41866.0</v>
      </c>
      <c r="B744" s="69" t="s">
        <v>719</v>
      </c>
    </row>
    <row r="745">
      <c r="A745" s="66">
        <v>41870.0</v>
      </c>
      <c r="B745" s="69" t="s">
        <v>720</v>
      </c>
    </row>
    <row r="746">
      <c r="A746" s="66">
        <v>41871.0</v>
      </c>
      <c r="B746" s="69" t="s">
        <v>721</v>
      </c>
    </row>
    <row r="747">
      <c r="A747" s="66">
        <v>41872.0</v>
      </c>
      <c r="B747" s="69" t="s">
        <v>722</v>
      </c>
    </row>
    <row r="748">
      <c r="A748" s="66">
        <v>41873.0</v>
      </c>
      <c r="B748" s="69" t="s">
        <v>723</v>
      </c>
    </row>
    <row r="749">
      <c r="A749" s="66">
        <v>41876.0</v>
      </c>
      <c r="B749" s="69" t="s">
        <v>724</v>
      </c>
    </row>
    <row r="750">
      <c r="A750" s="66">
        <v>41877.0</v>
      </c>
      <c r="B750" s="69" t="s">
        <v>725</v>
      </c>
    </row>
    <row r="751">
      <c r="A751" s="66">
        <v>41878.0</v>
      </c>
      <c r="B751" s="69" t="s">
        <v>726</v>
      </c>
    </row>
    <row r="752">
      <c r="A752" s="66">
        <v>41879.0</v>
      </c>
      <c r="B752" s="69" t="s">
        <v>727</v>
      </c>
    </row>
    <row r="753">
      <c r="A753" s="66">
        <v>41880.0</v>
      </c>
      <c r="B753" s="69" t="s">
        <v>728</v>
      </c>
    </row>
    <row r="754">
      <c r="A754" s="66">
        <v>41884.0</v>
      </c>
      <c r="B754" s="69" t="s">
        <v>729</v>
      </c>
    </row>
    <row r="755">
      <c r="A755" s="66">
        <v>41885.0</v>
      </c>
      <c r="B755" s="69" t="s">
        <v>730</v>
      </c>
    </row>
    <row r="756">
      <c r="A756" s="66">
        <v>41886.0</v>
      </c>
      <c r="B756" s="69" t="s">
        <v>731</v>
      </c>
    </row>
    <row r="757">
      <c r="A757" s="66">
        <v>41887.0</v>
      </c>
      <c r="B757" s="69" t="s">
        <v>732</v>
      </c>
    </row>
    <row r="758">
      <c r="A758" s="66">
        <v>41890.0</v>
      </c>
      <c r="B758" s="69" t="s">
        <v>733</v>
      </c>
    </row>
    <row r="759">
      <c r="A759" s="66">
        <v>41891.0</v>
      </c>
      <c r="B759" s="69" t="s">
        <v>734</v>
      </c>
    </row>
    <row r="760">
      <c r="A760" s="66">
        <v>41892.0</v>
      </c>
      <c r="B760" s="69" t="s">
        <v>735</v>
      </c>
    </row>
    <row r="761">
      <c r="A761" s="66">
        <v>41893.0</v>
      </c>
      <c r="B761" s="69" t="s">
        <v>736</v>
      </c>
    </row>
    <row r="762">
      <c r="A762" s="66">
        <v>41894.0</v>
      </c>
      <c r="B762" s="69" t="s">
        <v>737</v>
      </c>
    </row>
    <row r="763">
      <c r="A763" s="66">
        <v>41897.0</v>
      </c>
      <c r="B763" s="69" t="s">
        <v>738</v>
      </c>
    </row>
    <row r="764">
      <c r="A764" s="66">
        <v>41898.0</v>
      </c>
      <c r="B764" s="69" t="s">
        <v>739</v>
      </c>
    </row>
    <row r="765">
      <c r="A765" s="66">
        <v>41899.0</v>
      </c>
      <c r="B765" s="69" t="s">
        <v>740</v>
      </c>
    </row>
    <row r="766">
      <c r="A766" s="66">
        <v>41900.0</v>
      </c>
      <c r="B766" s="69" t="s">
        <v>741</v>
      </c>
    </row>
    <row r="767">
      <c r="A767" s="66">
        <v>41901.0</v>
      </c>
      <c r="B767" s="69" t="s">
        <v>742</v>
      </c>
    </row>
    <row r="768">
      <c r="A768" s="66">
        <v>41904.0</v>
      </c>
      <c r="B768" s="69" t="s">
        <v>743</v>
      </c>
    </row>
    <row r="769">
      <c r="A769" s="66">
        <v>41905.0</v>
      </c>
      <c r="B769" s="69" t="s">
        <v>744</v>
      </c>
    </row>
    <row r="770">
      <c r="A770" s="66">
        <v>41906.0</v>
      </c>
      <c r="B770" s="69" t="s">
        <v>745</v>
      </c>
    </row>
    <row r="771">
      <c r="A771" s="66">
        <v>41907.0</v>
      </c>
      <c r="B771" s="69" t="s">
        <v>745</v>
      </c>
    </row>
    <row r="772">
      <c r="A772" s="66">
        <v>41908.0</v>
      </c>
      <c r="B772" s="69" t="s">
        <v>746</v>
      </c>
    </row>
    <row r="773">
      <c r="A773" s="66">
        <v>41911.0</v>
      </c>
      <c r="B773" s="69" t="s">
        <v>747</v>
      </c>
    </row>
    <row r="774">
      <c r="A774" s="66">
        <v>41912.0</v>
      </c>
      <c r="B774" s="69" t="s">
        <v>748</v>
      </c>
    </row>
    <row r="775">
      <c r="A775" s="66">
        <v>41913.0</v>
      </c>
      <c r="B775" s="69" t="s">
        <v>749</v>
      </c>
    </row>
    <row r="776">
      <c r="A776" s="66">
        <v>41914.0</v>
      </c>
      <c r="B776" s="69" t="s">
        <v>750</v>
      </c>
    </row>
    <row r="777">
      <c r="A777" s="66">
        <v>41915.0</v>
      </c>
      <c r="B777" s="69" t="s">
        <v>751</v>
      </c>
    </row>
    <row r="778">
      <c r="A778" s="66">
        <v>41918.0</v>
      </c>
      <c r="B778" s="69" t="s">
        <v>752</v>
      </c>
    </row>
    <row r="779">
      <c r="A779" s="66">
        <v>41919.0</v>
      </c>
      <c r="B779" s="69" t="s">
        <v>753</v>
      </c>
    </row>
    <row r="780">
      <c r="A780" s="66">
        <v>41920.0</v>
      </c>
      <c r="B780" s="69" t="s">
        <v>754</v>
      </c>
    </row>
    <row r="781">
      <c r="A781" s="66">
        <v>41921.0</v>
      </c>
      <c r="B781" s="69" t="s">
        <v>755</v>
      </c>
    </row>
    <row r="782">
      <c r="A782" s="66">
        <v>41922.0</v>
      </c>
      <c r="B782" s="69" t="s">
        <v>756</v>
      </c>
    </row>
    <row r="783">
      <c r="A783" s="66">
        <v>41926.0</v>
      </c>
      <c r="B783" s="69" t="s">
        <v>757</v>
      </c>
    </row>
    <row r="784">
      <c r="A784" s="66">
        <v>41927.0</v>
      </c>
      <c r="B784" s="69" t="s">
        <v>758</v>
      </c>
    </row>
    <row r="785">
      <c r="A785" s="66">
        <v>41928.0</v>
      </c>
      <c r="B785" s="69" t="s">
        <v>736</v>
      </c>
    </row>
    <row r="786">
      <c r="A786" s="66">
        <v>41929.0</v>
      </c>
      <c r="B786" s="69" t="s">
        <v>759</v>
      </c>
    </row>
    <row r="787">
      <c r="A787" s="66">
        <v>41932.0</v>
      </c>
      <c r="B787" s="69" t="s">
        <v>760</v>
      </c>
    </row>
    <row r="788">
      <c r="A788" s="66">
        <v>41933.0</v>
      </c>
      <c r="B788" s="69" t="s">
        <v>761</v>
      </c>
    </row>
    <row r="789">
      <c r="A789" s="66">
        <v>41934.0</v>
      </c>
      <c r="B789" s="69" t="s">
        <v>762</v>
      </c>
    </row>
    <row r="790">
      <c r="A790" s="66">
        <v>41935.0</v>
      </c>
      <c r="B790" s="69" t="s">
        <v>763</v>
      </c>
    </row>
    <row r="791">
      <c r="A791" s="66">
        <v>41936.0</v>
      </c>
      <c r="B791" s="69" t="s">
        <v>764</v>
      </c>
    </row>
    <row r="792">
      <c r="A792" s="66">
        <v>41939.0</v>
      </c>
      <c r="B792" s="69" t="s">
        <v>765</v>
      </c>
    </row>
    <row r="793">
      <c r="A793" s="66">
        <v>41940.0</v>
      </c>
      <c r="B793" s="69" t="s">
        <v>766</v>
      </c>
    </row>
    <row r="794">
      <c r="A794" s="66">
        <v>41941.0</v>
      </c>
      <c r="B794" s="69" t="s">
        <v>767</v>
      </c>
    </row>
    <row r="795">
      <c r="A795" s="66">
        <v>41942.0</v>
      </c>
      <c r="B795" s="69" t="s">
        <v>768</v>
      </c>
    </row>
    <row r="796">
      <c r="A796" s="66">
        <v>41943.0</v>
      </c>
      <c r="B796" s="69" t="s">
        <v>769</v>
      </c>
    </row>
    <row r="797">
      <c r="A797" s="66">
        <v>41946.0</v>
      </c>
      <c r="B797" s="69" t="s">
        <v>769</v>
      </c>
    </row>
    <row r="798">
      <c r="A798" s="66">
        <v>41947.0</v>
      </c>
      <c r="B798" s="69" t="s">
        <v>770</v>
      </c>
    </row>
    <row r="799">
      <c r="A799" s="66">
        <v>41948.0</v>
      </c>
      <c r="B799" s="69" t="s">
        <v>765</v>
      </c>
    </row>
    <row r="800">
      <c r="A800" s="66">
        <v>41950.0</v>
      </c>
      <c r="B800" s="69" t="s">
        <v>771</v>
      </c>
    </row>
    <row r="801">
      <c r="A801" s="66">
        <v>41953.0</v>
      </c>
      <c r="B801" s="69" t="s">
        <v>772</v>
      </c>
    </row>
    <row r="802">
      <c r="A802" s="66">
        <v>41954.0</v>
      </c>
      <c r="B802" s="69" t="s">
        <v>773</v>
      </c>
    </row>
    <row r="803">
      <c r="A803" s="66">
        <v>41955.0</v>
      </c>
      <c r="B803" s="69" t="s">
        <v>774</v>
      </c>
    </row>
    <row r="804">
      <c r="A804" s="66">
        <v>41956.0</v>
      </c>
      <c r="B804" s="69" t="s">
        <v>775</v>
      </c>
    </row>
    <row r="805">
      <c r="A805" s="66">
        <v>41957.0</v>
      </c>
      <c r="B805" s="69" t="s">
        <v>776</v>
      </c>
    </row>
    <row r="806">
      <c r="A806" s="66">
        <v>41960.0</v>
      </c>
      <c r="B806" s="69" t="s">
        <v>777</v>
      </c>
    </row>
    <row r="807">
      <c r="A807" s="66">
        <v>41961.0</v>
      </c>
      <c r="B807" s="69" t="s">
        <v>778</v>
      </c>
    </row>
    <row r="808">
      <c r="A808" s="66">
        <v>41962.0</v>
      </c>
      <c r="B808" s="69" t="s">
        <v>779</v>
      </c>
    </row>
    <row r="809">
      <c r="A809" s="66">
        <v>41963.0</v>
      </c>
      <c r="B809" s="69" t="s">
        <v>720</v>
      </c>
    </row>
    <row r="810">
      <c r="A810" s="66">
        <v>41964.0</v>
      </c>
      <c r="B810" s="69" t="s">
        <v>721</v>
      </c>
    </row>
    <row r="811">
      <c r="A811" s="66">
        <v>41968.0</v>
      </c>
      <c r="B811" s="69" t="s">
        <v>780</v>
      </c>
    </row>
    <row r="812">
      <c r="A812" s="66">
        <v>41969.0</v>
      </c>
      <c r="B812" s="69" t="s">
        <v>781</v>
      </c>
    </row>
    <row r="813">
      <c r="A813" s="66">
        <v>41971.0</v>
      </c>
      <c r="B813" s="69" t="s">
        <v>781</v>
      </c>
    </row>
    <row r="814">
      <c r="A814" s="66">
        <v>41974.0</v>
      </c>
      <c r="B814" s="69" t="s">
        <v>782</v>
      </c>
    </row>
    <row r="815">
      <c r="A815" s="66">
        <v>41975.0</v>
      </c>
      <c r="B815" s="69" t="s">
        <v>783</v>
      </c>
    </row>
    <row r="816">
      <c r="A816" s="66">
        <v>41976.0</v>
      </c>
      <c r="B816" s="69" t="s">
        <v>784</v>
      </c>
    </row>
    <row r="817">
      <c r="A817" s="66">
        <v>41977.0</v>
      </c>
      <c r="B817" s="69" t="s">
        <v>785</v>
      </c>
    </row>
    <row r="818">
      <c r="A818" s="66">
        <v>41978.0</v>
      </c>
      <c r="B818" s="69" t="s">
        <v>786</v>
      </c>
    </row>
    <row r="819">
      <c r="A819" s="66">
        <v>41982.0</v>
      </c>
      <c r="B819" s="69" t="s">
        <v>787</v>
      </c>
    </row>
    <row r="820">
      <c r="A820" s="66">
        <v>41983.0</v>
      </c>
      <c r="B820" s="69" t="s">
        <v>788</v>
      </c>
    </row>
    <row r="821">
      <c r="A821" s="66">
        <v>41984.0</v>
      </c>
      <c r="B821" s="69" t="s">
        <v>789</v>
      </c>
    </row>
    <row r="822">
      <c r="A822" s="66">
        <v>41985.0</v>
      </c>
      <c r="B822" s="69" t="s">
        <v>790</v>
      </c>
    </row>
    <row r="823">
      <c r="A823" s="66">
        <v>41988.0</v>
      </c>
      <c r="B823" s="69" t="s">
        <v>791</v>
      </c>
    </row>
    <row r="824">
      <c r="A824" s="66">
        <v>41989.0</v>
      </c>
      <c r="B824" s="69" t="s">
        <v>792</v>
      </c>
    </row>
    <row r="825">
      <c r="A825" s="66">
        <v>41990.0</v>
      </c>
      <c r="B825" s="69" t="s">
        <v>791</v>
      </c>
    </row>
    <row r="826">
      <c r="A826" s="66">
        <v>41991.0</v>
      </c>
      <c r="B826" s="69" t="s">
        <v>791</v>
      </c>
    </row>
    <row r="827">
      <c r="A827" s="66">
        <v>41992.0</v>
      </c>
      <c r="B827" s="69" t="s">
        <v>793</v>
      </c>
    </row>
    <row r="828">
      <c r="A828" s="66">
        <v>41995.0</v>
      </c>
      <c r="B828" s="69" t="s">
        <v>794</v>
      </c>
    </row>
    <row r="829">
      <c r="A829" s="66">
        <v>41996.0</v>
      </c>
      <c r="B829" s="69" t="s">
        <v>795</v>
      </c>
    </row>
    <row r="830">
      <c r="A830" s="66">
        <v>42002.0</v>
      </c>
      <c r="B830" s="69" t="s">
        <v>692</v>
      </c>
    </row>
    <row r="831">
      <c r="A831" s="66">
        <v>42003.0</v>
      </c>
      <c r="B831" s="69" t="s">
        <v>796</v>
      </c>
    </row>
    <row r="832">
      <c r="A832" s="66">
        <v>42006.0</v>
      </c>
      <c r="B832" s="69" t="s">
        <v>797</v>
      </c>
    </row>
    <row r="833">
      <c r="A833" s="66">
        <v>42009.0</v>
      </c>
      <c r="B833" s="69" t="s">
        <v>798</v>
      </c>
    </row>
    <row r="834">
      <c r="A834" s="66">
        <v>42010.0</v>
      </c>
      <c r="B834" s="69" t="s">
        <v>780</v>
      </c>
    </row>
    <row r="835">
      <c r="A835" s="66">
        <v>42011.0</v>
      </c>
      <c r="B835" s="69" t="s">
        <v>799</v>
      </c>
    </row>
    <row r="836">
      <c r="A836" s="66">
        <v>42012.0</v>
      </c>
      <c r="B836" s="69" t="s">
        <v>776</v>
      </c>
    </row>
    <row r="837">
      <c r="A837" s="66">
        <v>42013.0</v>
      </c>
      <c r="B837" s="69" t="s">
        <v>800</v>
      </c>
    </row>
    <row r="838">
      <c r="A838" s="66">
        <v>42016.0</v>
      </c>
      <c r="B838" s="69" t="s">
        <v>801</v>
      </c>
    </row>
    <row r="839">
      <c r="A839" s="66">
        <v>42017.0</v>
      </c>
      <c r="B839" s="69" t="s">
        <v>802</v>
      </c>
    </row>
    <row r="840">
      <c r="A840" s="66">
        <v>42018.0</v>
      </c>
      <c r="B840" s="69" t="s">
        <v>803</v>
      </c>
    </row>
    <row r="841">
      <c r="A841" s="66">
        <v>42019.0</v>
      </c>
      <c r="B841" s="69" t="s">
        <v>724</v>
      </c>
    </row>
    <row r="842">
      <c r="A842" s="66">
        <v>42020.0</v>
      </c>
      <c r="B842" s="69" t="s">
        <v>775</v>
      </c>
    </row>
    <row r="843">
      <c r="A843" s="66">
        <v>42023.0</v>
      </c>
      <c r="B843" s="69" t="s">
        <v>804</v>
      </c>
    </row>
    <row r="844">
      <c r="A844" s="66">
        <v>42024.0</v>
      </c>
      <c r="B844" s="69" t="s">
        <v>804</v>
      </c>
    </row>
    <row r="845">
      <c r="A845" s="66">
        <v>42025.0</v>
      </c>
      <c r="B845" s="69" t="s">
        <v>805</v>
      </c>
    </row>
    <row r="846">
      <c r="A846" s="66">
        <v>42026.0</v>
      </c>
      <c r="B846" s="69" t="s">
        <v>724</v>
      </c>
    </row>
    <row r="847">
      <c r="A847" s="66">
        <v>42027.0</v>
      </c>
      <c r="B847" s="69" t="s">
        <v>806</v>
      </c>
    </row>
    <row r="848">
      <c r="A848" s="66">
        <v>42030.0</v>
      </c>
      <c r="B848" s="69" t="s">
        <v>807</v>
      </c>
    </row>
    <row r="849">
      <c r="A849" s="66">
        <v>42031.0</v>
      </c>
      <c r="B849" s="69" t="s">
        <v>808</v>
      </c>
    </row>
    <row r="850">
      <c r="A850" s="66">
        <v>42032.0</v>
      </c>
      <c r="B850" s="69" t="s">
        <v>722</v>
      </c>
    </row>
    <row r="851">
      <c r="A851" s="66">
        <v>42033.0</v>
      </c>
      <c r="B851" s="69" t="s">
        <v>809</v>
      </c>
    </row>
    <row r="852">
      <c r="A852" s="66">
        <v>42034.0</v>
      </c>
      <c r="B852" s="69" t="s">
        <v>722</v>
      </c>
    </row>
    <row r="853">
      <c r="A853" s="66">
        <v>42037.0</v>
      </c>
      <c r="B853" s="69" t="s">
        <v>803</v>
      </c>
    </row>
    <row r="854">
      <c r="A854" s="66">
        <v>42038.0</v>
      </c>
      <c r="B854" s="69" t="s">
        <v>801</v>
      </c>
    </row>
    <row r="855">
      <c r="A855" s="66">
        <v>42039.0</v>
      </c>
      <c r="B855" s="69" t="s">
        <v>810</v>
      </c>
    </row>
    <row r="856">
      <c r="A856" s="66">
        <v>42040.0</v>
      </c>
      <c r="B856" s="69" t="s">
        <v>782</v>
      </c>
    </row>
    <row r="857">
      <c r="A857" s="66">
        <v>42041.0</v>
      </c>
      <c r="B857" s="69" t="s">
        <v>811</v>
      </c>
    </row>
    <row r="858">
      <c r="A858" s="66">
        <v>42044.0</v>
      </c>
      <c r="B858" s="69" t="s">
        <v>809</v>
      </c>
    </row>
    <row r="859">
      <c r="A859" s="66">
        <v>42045.0</v>
      </c>
      <c r="B859" s="69" t="s">
        <v>812</v>
      </c>
    </row>
    <row r="860">
      <c r="A860" s="66">
        <v>42046.0</v>
      </c>
      <c r="B860" s="69" t="s">
        <v>813</v>
      </c>
    </row>
    <row r="861">
      <c r="A861" s="66">
        <v>42047.0</v>
      </c>
      <c r="B861" s="69" t="s">
        <v>814</v>
      </c>
    </row>
    <row r="862">
      <c r="A862" s="66">
        <v>42048.0</v>
      </c>
      <c r="B862" s="69" t="s">
        <v>808</v>
      </c>
    </row>
    <row r="863">
      <c r="A863" s="66">
        <v>42053.0</v>
      </c>
      <c r="B863" s="69" t="s">
        <v>815</v>
      </c>
    </row>
    <row r="864">
      <c r="A864" s="66">
        <v>42054.0</v>
      </c>
      <c r="B864" s="69" t="s">
        <v>816</v>
      </c>
    </row>
    <row r="865">
      <c r="A865" s="66">
        <v>42055.0</v>
      </c>
      <c r="B865" s="69" t="s">
        <v>803</v>
      </c>
    </row>
    <row r="866">
      <c r="A866" s="66">
        <v>42058.0</v>
      </c>
      <c r="B866" s="69" t="s">
        <v>817</v>
      </c>
    </row>
    <row r="867">
      <c r="A867" s="66">
        <v>42059.0</v>
      </c>
      <c r="B867" s="69" t="s">
        <v>818</v>
      </c>
    </row>
    <row r="868">
      <c r="A868" s="66">
        <v>42060.0</v>
      </c>
      <c r="B868" s="69" t="s">
        <v>819</v>
      </c>
    </row>
    <row r="869">
      <c r="A869" s="66">
        <v>42061.0</v>
      </c>
      <c r="B869" s="69" t="s">
        <v>820</v>
      </c>
    </row>
    <row r="870">
      <c r="A870" s="66">
        <v>42062.0</v>
      </c>
      <c r="B870" s="69" t="s">
        <v>821</v>
      </c>
    </row>
    <row r="871">
      <c r="A871" s="66">
        <v>42065.0</v>
      </c>
      <c r="B871" s="69" t="s">
        <v>779</v>
      </c>
    </row>
    <row r="872">
      <c r="A872" s="66">
        <v>42066.0</v>
      </c>
      <c r="B872" s="69" t="s">
        <v>822</v>
      </c>
    </row>
    <row r="873">
      <c r="A873" s="66">
        <v>42067.0</v>
      </c>
      <c r="B873" s="69" t="s">
        <v>823</v>
      </c>
    </row>
    <row r="874">
      <c r="A874" s="66">
        <v>42068.0</v>
      </c>
      <c r="B874" s="69" t="s">
        <v>822</v>
      </c>
    </row>
    <row r="875">
      <c r="A875" s="66">
        <v>42069.0</v>
      </c>
      <c r="B875" s="69" t="s">
        <v>819</v>
      </c>
    </row>
    <row r="876">
      <c r="A876" s="66">
        <v>42072.0</v>
      </c>
      <c r="B876" s="69" t="s">
        <v>824</v>
      </c>
    </row>
    <row r="877">
      <c r="A877" s="66">
        <v>42073.0</v>
      </c>
      <c r="B877" s="69" t="s">
        <v>784</v>
      </c>
    </row>
    <row r="878">
      <c r="A878" s="66">
        <v>42074.0</v>
      </c>
      <c r="B878" s="69" t="s">
        <v>824</v>
      </c>
    </row>
    <row r="879">
      <c r="A879" s="66">
        <v>42075.0</v>
      </c>
      <c r="B879" s="69" t="s">
        <v>825</v>
      </c>
    </row>
    <row r="880">
      <c r="A880" s="66">
        <v>42076.0</v>
      </c>
      <c r="B880" s="69" t="s">
        <v>826</v>
      </c>
    </row>
    <row r="881">
      <c r="A881" s="66">
        <v>42079.0</v>
      </c>
      <c r="B881" s="69" t="s">
        <v>781</v>
      </c>
    </row>
    <row r="882">
      <c r="A882" s="66">
        <v>42080.0</v>
      </c>
      <c r="B882" s="69" t="s">
        <v>637</v>
      </c>
    </row>
    <row r="883">
      <c r="A883" s="66">
        <v>42081.0</v>
      </c>
      <c r="B883" s="69" t="s">
        <v>784</v>
      </c>
    </row>
    <row r="884">
      <c r="A884" s="66">
        <v>42082.0</v>
      </c>
      <c r="B884" s="69" t="s">
        <v>827</v>
      </c>
    </row>
    <row r="885">
      <c r="A885" s="66">
        <v>42083.0</v>
      </c>
      <c r="B885" s="69" t="s">
        <v>802</v>
      </c>
    </row>
    <row r="886">
      <c r="A886" s="66">
        <v>42088.0</v>
      </c>
      <c r="B886" s="69" t="s">
        <v>781</v>
      </c>
    </row>
    <row r="887">
      <c r="A887" s="66">
        <v>42089.0</v>
      </c>
      <c r="B887" s="69" t="s">
        <v>786</v>
      </c>
    </row>
    <row r="888">
      <c r="A888" s="66">
        <v>42090.0</v>
      </c>
      <c r="B888" s="69" t="s">
        <v>720</v>
      </c>
    </row>
    <row r="889">
      <c r="A889" s="66">
        <v>42093.0</v>
      </c>
      <c r="B889" s="69" t="s">
        <v>783</v>
      </c>
    </row>
    <row r="890">
      <c r="A890" s="66">
        <v>42094.0</v>
      </c>
      <c r="B890" s="69" t="s">
        <v>781</v>
      </c>
    </row>
    <row r="891">
      <c r="A891" s="66">
        <v>42095.0</v>
      </c>
      <c r="B891" s="69" t="s">
        <v>776</v>
      </c>
    </row>
    <row r="892">
      <c r="A892" s="66">
        <v>42100.0</v>
      </c>
      <c r="B892" s="69" t="s">
        <v>785</v>
      </c>
    </row>
    <row r="893">
      <c r="A893" s="66">
        <v>42101.0</v>
      </c>
      <c r="B893" s="69" t="s">
        <v>776</v>
      </c>
    </row>
    <row r="894">
      <c r="A894" s="66">
        <v>42102.0</v>
      </c>
      <c r="B894" s="69" t="s">
        <v>776</v>
      </c>
    </row>
    <row r="895">
      <c r="A895" s="66">
        <v>42103.0</v>
      </c>
      <c r="B895" s="69" t="s">
        <v>828</v>
      </c>
    </row>
    <row r="896">
      <c r="A896" s="66">
        <v>42104.0</v>
      </c>
      <c r="B896" s="69" t="s">
        <v>829</v>
      </c>
    </row>
    <row r="897">
      <c r="A897" s="66">
        <v>42107.0</v>
      </c>
      <c r="B897" s="69" t="s">
        <v>797</v>
      </c>
    </row>
    <row r="898">
      <c r="A898" s="66">
        <v>42108.0</v>
      </c>
      <c r="B898" s="69" t="s">
        <v>825</v>
      </c>
    </row>
    <row r="899">
      <c r="A899" s="66">
        <v>42109.0</v>
      </c>
      <c r="B899" s="69" t="s">
        <v>830</v>
      </c>
    </row>
    <row r="900">
      <c r="A900" s="66">
        <v>42110.0</v>
      </c>
      <c r="B900" s="69" t="s">
        <v>831</v>
      </c>
    </row>
    <row r="901">
      <c r="A901" s="66">
        <v>42111.0</v>
      </c>
      <c r="B901" s="69" t="s">
        <v>831</v>
      </c>
    </row>
    <row r="902">
      <c r="A902" s="66">
        <v>42114.0</v>
      </c>
      <c r="B902" s="69" t="s">
        <v>811</v>
      </c>
    </row>
    <row r="903">
      <c r="A903" s="66">
        <v>42115.0</v>
      </c>
      <c r="B903" s="69" t="s">
        <v>780</v>
      </c>
    </row>
    <row r="904">
      <c r="A904" s="66">
        <v>42116.0</v>
      </c>
      <c r="B904" s="69" t="s">
        <v>832</v>
      </c>
    </row>
    <row r="905">
      <c r="A905" s="66">
        <v>42117.0</v>
      </c>
      <c r="B905" s="69" t="s">
        <v>787</v>
      </c>
    </row>
    <row r="906">
      <c r="A906" s="66">
        <v>42118.0</v>
      </c>
      <c r="B906" s="69" t="s">
        <v>829</v>
      </c>
    </row>
    <row r="907">
      <c r="A907" s="66">
        <v>42121.0</v>
      </c>
      <c r="B907" s="69" t="s">
        <v>781</v>
      </c>
    </row>
    <row r="908">
      <c r="A908" s="66">
        <v>42122.0</v>
      </c>
      <c r="B908" s="69" t="s">
        <v>833</v>
      </c>
    </row>
    <row r="909">
      <c r="A909" s="66">
        <v>42123.0</v>
      </c>
      <c r="B909" s="69" t="s">
        <v>721</v>
      </c>
    </row>
    <row r="910">
      <c r="A910" s="66">
        <v>42124.0</v>
      </c>
      <c r="B910" s="69" t="s">
        <v>834</v>
      </c>
    </row>
    <row r="911">
      <c r="A911" s="66">
        <v>42128.0</v>
      </c>
      <c r="B911" s="69" t="s">
        <v>797</v>
      </c>
    </row>
    <row r="912">
      <c r="A912" s="66">
        <v>42129.0</v>
      </c>
      <c r="B912" s="69" t="s">
        <v>787</v>
      </c>
    </row>
    <row r="913">
      <c r="A913" s="66">
        <v>42130.0</v>
      </c>
      <c r="B913" s="69" t="s">
        <v>820</v>
      </c>
    </row>
    <row r="914">
      <c r="A914" s="66">
        <v>42131.0</v>
      </c>
      <c r="B914" s="69" t="s">
        <v>783</v>
      </c>
    </row>
    <row r="915">
      <c r="A915" s="66">
        <v>42132.0</v>
      </c>
      <c r="B915" s="69" t="s">
        <v>779</v>
      </c>
    </row>
    <row r="916">
      <c r="A916" s="66">
        <v>42135.0</v>
      </c>
      <c r="B916" s="69" t="s">
        <v>786</v>
      </c>
    </row>
    <row r="917">
      <c r="A917" s="66">
        <v>42136.0</v>
      </c>
      <c r="B917" s="69" t="s">
        <v>817</v>
      </c>
    </row>
    <row r="918">
      <c r="A918" s="66">
        <v>42137.0</v>
      </c>
      <c r="B918" s="69" t="s">
        <v>817</v>
      </c>
    </row>
    <row r="919">
      <c r="A919" s="66">
        <v>42138.0</v>
      </c>
      <c r="B919" s="69" t="s">
        <v>781</v>
      </c>
    </row>
    <row r="920">
      <c r="A920" s="66">
        <v>42139.0</v>
      </c>
      <c r="B920" s="69" t="s">
        <v>834</v>
      </c>
    </row>
    <row r="921">
      <c r="A921" s="66">
        <v>42142.0</v>
      </c>
      <c r="B921" s="69" t="s">
        <v>835</v>
      </c>
    </row>
    <row r="922">
      <c r="A922" s="66">
        <v>42143.0</v>
      </c>
      <c r="B922" s="69" t="s">
        <v>785</v>
      </c>
    </row>
    <row r="923">
      <c r="A923" s="66">
        <v>42144.0</v>
      </c>
      <c r="B923" s="69" t="s">
        <v>836</v>
      </c>
    </row>
    <row r="924">
      <c r="A924" s="66">
        <v>42145.0</v>
      </c>
      <c r="B924" s="69" t="s">
        <v>836</v>
      </c>
    </row>
    <row r="925">
      <c r="A925" s="66">
        <v>42146.0</v>
      </c>
      <c r="B925" s="69" t="s">
        <v>833</v>
      </c>
    </row>
    <row r="926">
      <c r="A926" s="66">
        <v>42150.0</v>
      </c>
      <c r="B926" s="69" t="s">
        <v>823</v>
      </c>
    </row>
    <row r="927">
      <c r="A927" s="66">
        <v>42151.0</v>
      </c>
      <c r="B927" s="69" t="s">
        <v>837</v>
      </c>
    </row>
    <row r="928">
      <c r="A928" s="66">
        <v>42152.0</v>
      </c>
      <c r="B928" s="69" t="s">
        <v>832</v>
      </c>
    </row>
    <row r="929">
      <c r="A929" s="66">
        <v>42153.0</v>
      </c>
      <c r="B929" s="69" t="s">
        <v>838</v>
      </c>
    </row>
    <row r="930">
      <c r="A930" s="66">
        <v>42156.0</v>
      </c>
      <c r="B930" s="69" t="s">
        <v>821</v>
      </c>
    </row>
    <row r="931">
      <c r="A931" s="66">
        <v>42157.0</v>
      </c>
      <c r="B931" s="69" t="s">
        <v>788</v>
      </c>
    </row>
    <row r="932">
      <c r="A932" s="66">
        <v>42158.0</v>
      </c>
      <c r="B932" s="69" t="s">
        <v>839</v>
      </c>
    </row>
    <row r="933">
      <c r="A933" s="66">
        <v>42159.0</v>
      </c>
      <c r="B933" s="69" t="s">
        <v>840</v>
      </c>
    </row>
    <row r="934">
      <c r="A934" s="66">
        <v>42160.0</v>
      </c>
      <c r="B934" s="69" t="s">
        <v>841</v>
      </c>
    </row>
    <row r="935">
      <c r="A935" s="66">
        <v>42163.0</v>
      </c>
      <c r="B935" s="69" t="s">
        <v>791</v>
      </c>
    </row>
    <row r="936">
      <c r="A936" s="66">
        <v>42164.0</v>
      </c>
      <c r="B936" s="69" t="s">
        <v>842</v>
      </c>
    </row>
    <row r="937">
      <c r="A937" s="66">
        <v>42165.0</v>
      </c>
      <c r="B937" s="69" t="s">
        <v>720</v>
      </c>
    </row>
    <row r="938">
      <c r="A938" s="66">
        <v>42166.0</v>
      </c>
      <c r="B938" s="69" t="s">
        <v>837</v>
      </c>
    </row>
    <row r="939">
      <c r="A939" s="66">
        <v>42167.0</v>
      </c>
      <c r="B939" s="69" t="s">
        <v>819</v>
      </c>
    </row>
    <row r="940">
      <c r="A940" s="66">
        <v>42170.0</v>
      </c>
      <c r="B940" s="69" t="s">
        <v>817</v>
      </c>
    </row>
    <row r="941">
      <c r="A941" s="66">
        <v>42171.0</v>
      </c>
      <c r="B941" s="69" t="s">
        <v>825</v>
      </c>
    </row>
    <row r="942">
      <c r="A942" s="66">
        <v>42172.0</v>
      </c>
      <c r="B942" s="69" t="s">
        <v>802</v>
      </c>
    </row>
    <row r="943">
      <c r="A943" s="66">
        <v>42173.0</v>
      </c>
      <c r="B943" s="69" t="s">
        <v>808</v>
      </c>
    </row>
    <row r="944">
      <c r="A944" s="66">
        <v>42174.0</v>
      </c>
      <c r="B944" s="69" t="s">
        <v>639</v>
      </c>
    </row>
    <row r="945">
      <c r="A945" s="66">
        <v>42177.0</v>
      </c>
      <c r="B945" s="69" t="s">
        <v>843</v>
      </c>
    </row>
    <row r="946">
      <c r="A946" s="66">
        <v>42178.0</v>
      </c>
      <c r="B946" s="69" t="s">
        <v>844</v>
      </c>
    </row>
    <row r="947">
      <c r="A947" s="66">
        <v>42179.0</v>
      </c>
      <c r="B947" s="69" t="s">
        <v>845</v>
      </c>
    </row>
    <row r="948">
      <c r="A948" s="66">
        <v>42180.0</v>
      </c>
      <c r="B948" s="69" t="s">
        <v>846</v>
      </c>
    </row>
    <row r="949">
      <c r="A949" s="66">
        <v>42181.0</v>
      </c>
      <c r="B949" s="69" t="s">
        <v>847</v>
      </c>
    </row>
    <row r="950">
      <c r="A950" s="66">
        <v>42184.0</v>
      </c>
      <c r="B950" s="69" t="s">
        <v>848</v>
      </c>
    </row>
    <row r="951">
      <c r="A951" s="66">
        <v>42185.0</v>
      </c>
      <c r="B951" s="69" t="s">
        <v>849</v>
      </c>
    </row>
    <row r="952">
      <c r="A952" s="66">
        <v>42186.0</v>
      </c>
      <c r="B952" s="69" t="s">
        <v>850</v>
      </c>
    </row>
    <row r="953">
      <c r="A953" s="66">
        <v>42187.0</v>
      </c>
      <c r="B953" s="69" t="s">
        <v>770</v>
      </c>
    </row>
    <row r="954">
      <c r="A954" s="66">
        <v>42191.0</v>
      </c>
      <c r="B954" s="69" t="s">
        <v>765</v>
      </c>
    </row>
    <row r="955">
      <c r="A955" s="66">
        <v>42192.0</v>
      </c>
      <c r="B955" s="69" t="s">
        <v>851</v>
      </c>
    </row>
    <row r="956">
      <c r="A956" s="66">
        <v>42193.0</v>
      </c>
      <c r="B956" s="69" t="s">
        <v>852</v>
      </c>
    </row>
    <row r="957">
      <c r="A957" s="66">
        <v>42195.0</v>
      </c>
      <c r="B957" s="69" t="s">
        <v>853</v>
      </c>
    </row>
    <row r="958">
      <c r="A958" s="66">
        <v>42198.0</v>
      </c>
      <c r="B958" s="69" t="s">
        <v>854</v>
      </c>
    </row>
    <row r="959">
      <c r="A959" s="66">
        <v>42199.0</v>
      </c>
      <c r="B959" s="69" t="s">
        <v>737</v>
      </c>
    </row>
    <row r="960">
      <c r="A960" s="66">
        <v>42200.0</v>
      </c>
      <c r="B960" s="69" t="s">
        <v>853</v>
      </c>
    </row>
    <row r="961">
      <c r="A961" s="66">
        <v>42201.0</v>
      </c>
      <c r="B961" s="69" t="s">
        <v>757</v>
      </c>
    </row>
    <row r="962">
      <c r="A962" s="66">
        <v>42202.0</v>
      </c>
      <c r="B962" s="69" t="s">
        <v>851</v>
      </c>
    </row>
    <row r="963">
      <c r="A963" s="66">
        <v>42205.0</v>
      </c>
      <c r="B963" s="69" t="s">
        <v>854</v>
      </c>
    </row>
    <row r="964">
      <c r="A964" s="66">
        <v>42206.0</v>
      </c>
      <c r="B964" s="69" t="s">
        <v>855</v>
      </c>
    </row>
    <row r="965">
      <c r="A965" s="66">
        <v>42207.0</v>
      </c>
      <c r="B965" s="69" t="s">
        <v>856</v>
      </c>
    </row>
    <row r="966">
      <c r="A966" s="66">
        <v>42208.0</v>
      </c>
      <c r="B966" s="69" t="s">
        <v>739</v>
      </c>
    </row>
    <row r="967">
      <c r="A967" s="66">
        <v>42209.0</v>
      </c>
      <c r="B967" s="69" t="s">
        <v>854</v>
      </c>
    </row>
    <row r="968">
      <c r="A968" s="66">
        <v>42212.0</v>
      </c>
      <c r="B968" s="69" t="s">
        <v>850</v>
      </c>
    </row>
    <row r="969">
      <c r="A969" s="66">
        <v>42213.0</v>
      </c>
      <c r="B969" s="69" t="s">
        <v>850</v>
      </c>
    </row>
    <row r="970">
      <c r="A970" s="66">
        <v>42214.0</v>
      </c>
      <c r="B970" s="69" t="s">
        <v>736</v>
      </c>
    </row>
    <row r="971">
      <c r="A971" s="66">
        <v>42215.0</v>
      </c>
      <c r="B971" s="69" t="s">
        <v>758</v>
      </c>
    </row>
    <row r="972">
      <c r="A972" s="66">
        <v>42216.0</v>
      </c>
      <c r="B972" s="69" t="s">
        <v>852</v>
      </c>
    </row>
    <row r="973">
      <c r="A973" s="66">
        <v>42219.0</v>
      </c>
      <c r="B973" s="69" t="s">
        <v>857</v>
      </c>
    </row>
    <row r="974">
      <c r="A974" s="66">
        <v>42220.0</v>
      </c>
      <c r="B974" s="69" t="s">
        <v>858</v>
      </c>
    </row>
    <row r="975">
      <c r="A975" s="66">
        <v>42221.0</v>
      </c>
      <c r="B975" s="69" t="s">
        <v>859</v>
      </c>
    </row>
    <row r="976">
      <c r="A976" s="66">
        <v>42222.0</v>
      </c>
      <c r="B976" s="69" t="s">
        <v>854</v>
      </c>
    </row>
    <row r="977">
      <c r="A977" s="66">
        <v>42223.0</v>
      </c>
      <c r="B977" s="69" t="s">
        <v>739</v>
      </c>
    </row>
    <row r="978">
      <c r="A978" s="66">
        <v>42226.0</v>
      </c>
      <c r="B978" s="69" t="s">
        <v>860</v>
      </c>
    </row>
    <row r="979">
      <c r="A979" s="66">
        <v>42227.0</v>
      </c>
      <c r="B979" s="69" t="s">
        <v>853</v>
      </c>
    </row>
    <row r="980">
      <c r="A980" s="66">
        <v>42228.0</v>
      </c>
      <c r="B980" s="69" t="s">
        <v>861</v>
      </c>
    </row>
    <row r="981">
      <c r="A981" s="66">
        <v>42229.0</v>
      </c>
      <c r="B981" s="69" t="s">
        <v>862</v>
      </c>
    </row>
    <row r="982">
      <c r="A982" s="66">
        <v>42230.0</v>
      </c>
      <c r="B982" s="69" t="s">
        <v>862</v>
      </c>
    </row>
    <row r="983">
      <c r="A983" s="66">
        <v>42234.0</v>
      </c>
      <c r="B983" s="69" t="s">
        <v>863</v>
      </c>
    </row>
    <row r="984">
      <c r="A984" s="66">
        <v>42235.0</v>
      </c>
      <c r="B984" s="69" t="s">
        <v>862</v>
      </c>
    </row>
    <row r="985">
      <c r="A985" s="66">
        <v>42236.0</v>
      </c>
      <c r="B985" s="69" t="s">
        <v>740</v>
      </c>
    </row>
    <row r="986">
      <c r="A986" s="66">
        <v>42237.0</v>
      </c>
      <c r="B986" s="69" t="s">
        <v>756</v>
      </c>
    </row>
    <row r="987">
      <c r="A987" s="66">
        <v>42240.0</v>
      </c>
      <c r="B987" s="69" t="s">
        <v>864</v>
      </c>
    </row>
    <row r="988">
      <c r="A988" s="66">
        <v>42241.0</v>
      </c>
      <c r="B988" s="69" t="s">
        <v>865</v>
      </c>
    </row>
    <row r="989">
      <c r="A989" s="66">
        <v>42242.0</v>
      </c>
      <c r="B989" s="69" t="s">
        <v>866</v>
      </c>
    </row>
    <row r="990">
      <c r="A990" s="66">
        <v>42243.0</v>
      </c>
      <c r="B990" s="69" t="s">
        <v>867</v>
      </c>
    </row>
    <row r="991">
      <c r="A991" s="66">
        <v>42244.0</v>
      </c>
      <c r="B991" s="69" t="s">
        <v>868</v>
      </c>
    </row>
    <row r="992">
      <c r="A992" s="66">
        <v>42247.0</v>
      </c>
      <c r="B992" s="69" t="s">
        <v>869</v>
      </c>
    </row>
    <row r="993">
      <c r="A993" s="66">
        <v>42248.0</v>
      </c>
      <c r="B993" s="69" t="s">
        <v>743</v>
      </c>
    </row>
    <row r="994">
      <c r="A994" s="66">
        <v>42249.0</v>
      </c>
      <c r="B994" s="69" t="s">
        <v>870</v>
      </c>
    </row>
    <row r="995">
      <c r="A995" s="66">
        <v>42250.0</v>
      </c>
      <c r="B995" s="69" t="s">
        <v>871</v>
      </c>
    </row>
    <row r="996">
      <c r="A996" s="66">
        <v>42251.0</v>
      </c>
      <c r="B996" s="69" t="s">
        <v>872</v>
      </c>
    </row>
    <row r="997">
      <c r="A997" s="66">
        <v>42255.0</v>
      </c>
      <c r="B997" s="69" t="s">
        <v>872</v>
      </c>
    </row>
    <row r="998">
      <c r="A998" s="66">
        <v>42256.0</v>
      </c>
      <c r="B998" s="69" t="s">
        <v>761</v>
      </c>
    </row>
    <row r="999">
      <c r="A999" s="66">
        <v>42257.0</v>
      </c>
      <c r="B999" s="69" t="s">
        <v>873</v>
      </c>
    </row>
    <row r="1000">
      <c r="A1000" s="66">
        <v>42258.0</v>
      </c>
      <c r="B1000" s="69" t="s">
        <v>874</v>
      </c>
    </row>
    <row r="1001">
      <c r="A1001" s="66">
        <v>42261.0</v>
      </c>
      <c r="B1001" s="69" t="s">
        <v>875</v>
      </c>
    </row>
    <row r="1002">
      <c r="A1002" s="66">
        <v>42262.0</v>
      </c>
      <c r="B1002" s="69" t="s">
        <v>876</v>
      </c>
    </row>
    <row r="1003">
      <c r="A1003" s="66">
        <v>42263.0</v>
      </c>
      <c r="B1003" s="69" t="s">
        <v>877</v>
      </c>
    </row>
    <row r="1004">
      <c r="A1004" s="66">
        <v>42264.0</v>
      </c>
      <c r="B1004" s="69" t="s">
        <v>876</v>
      </c>
    </row>
    <row r="1005">
      <c r="A1005" s="66">
        <v>42265.0</v>
      </c>
      <c r="B1005" s="69" t="s">
        <v>876</v>
      </c>
    </row>
    <row r="1006">
      <c r="A1006" s="66">
        <v>42268.0</v>
      </c>
      <c r="B1006" s="69" t="s">
        <v>753</v>
      </c>
    </row>
    <row r="1007">
      <c r="A1007" s="66">
        <v>42269.0</v>
      </c>
      <c r="B1007" s="69" t="s">
        <v>878</v>
      </c>
    </row>
    <row r="1008">
      <c r="A1008" s="66">
        <v>42270.0</v>
      </c>
      <c r="B1008" s="69" t="s">
        <v>879</v>
      </c>
    </row>
    <row r="1009">
      <c r="A1009" s="66">
        <v>42271.0</v>
      </c>
      <c r="B1009" s="69" t="s">
        <v>734</v>
      </c>
    </row>
    <row r="1010">
      <c r="A1010" s="66">
        <v>42272.0</v>
      </c>
      <c r="B1010" s="69" t="s">
        <v>854</v>
      </c>
    </row>
    <row r="1011">
      <c r="A1011" s="66">
        <v>42275.0</v>
      </c>
      <c r="B1011" s="69" t="s">
        <v>880</v>
      </c>
    </row>
    <row r="1012">
      <c r="A1012" s="66">
        <v>42276.0</v>
      </c>
      <c r="B1012" s="69" t="s">
        <v>881</v>
      </c>
    </row>
    <row r="1013">
      <c r="A1013" s="66">
        <v>42277.0</v>
      </c>
      <c r="B1013" s="69" t="s">
        <v>882</v>
      </c>
    </row>
    <row r="1014">
      <c r="A1014" s="66">
        <v>42278.0</v>
      </c>
      <c r="B1014" s="69" t="s">
        <v>883</v>
      </c>
    </row>
    <row r="1015">
      <c r="A1015" s="66">
        <v>42279.0</v>
      </c>
      <c r="B1015" s="69" t="s">
        <v>760</v>
      </c>
    </row>
    <row r="1016">
      <c r="A1016" s="66">
        <v>42282.0</v>
      </c>
      <c r="B1016" s="69" t="s">
        <v>751</v>
      </c>
    </row>
    <row r="1017">
      <c r="A1017" s="66">
        <v>42283.0</v>
      </c>
      <c r="B1017" s="69" t="s">
        <v>884</v>
      </c>
    </row>
    <row r="1018">
      <c r="A1018" s="66">
        <v>42284.0</v>
      </c>
      <c r="B1018" s="69" t="s">
        <v>885</v>
      </c>
    </row>
    <row r="1019">
      <c r="A1019" s="66">
        <v>42285.0</v>
      </c>
      <c r="B1019" s="69" t="s">
        <v>882</v>
      </c>
    </row>
    <row r="1020">
      <c r="A1020" s="66">
        <v>42286.0</v>
      </c>
      <c r="B1020" s="69" t="s">
        <v>881</v>
      </c>
    </row>
    <row r="1021">
      <c r="A1021" s="66">
        <v>42290.0</v>
      </c>
      <c r="B1021" s="69" t="s">
        <v>872</v>
      </c>
    </row>
    <row r="1022">
      <c r="A1022" s="66">
        <v>42291.0</v>
      </c>
      <c r="B1022" s="69" t="s">
        <v>886</v>
      </c>
    </row>
    <row r="1023">
      <c r="A1023" s="66">
        <v>42292.0</v>
      </c>
      <c r="B1023" s="69" t="s">
        <v>887</v>
      </c>
    </row>
    <row r="1024">
      <c r="A1024" s="66">
        <v>42293.0</v>
      </c>
      <c r="B1024" s="69" t="s">
        <v>866</v>
      </c>
    </row>
    <row r="1025">
      <c r="A1025" s="66">
        <v>42296.0</v>
      </c>
      <c r="B1025" s="69" t="s">
        <v>870</v>
      </c>
    </row>
    <row r="1026">
      <c r="A1026" s="66">
        <v>42297.0</v>
      </c>
      <c r="B1026" s="69" t="s">
        <v>888</v>
      </c>
    </row>
    <row r="1027">
      <c r="A1027" s="66">
        <v>42298.0</v>
      </c>
      <c r="B1027" s="69" t="s">
        <v>882</v>
      </c>
    </row>
    <row r="1028">
      <c r="A1028" s="66">
        <v>42299.0</v>
      </c>
      <c r="B1028" s="69" t="s">
        <v>873</v>
      </c>
    </row>
    <row r="1029">
      <c r="A1029" s="66">
        <v>42300.0</v>
      </c>
      <c r="B1029" s="69" t="s">
        <v>889</v>
      </c>
    </row>
    <row r="1030">
      <c r="A1030" s="66">
        <v>42303.0</v>
      </c>
      <c r="B1030" s="69" t="s">
        <v>877</v>
      </c>
    </row>
    <row r="1031">
      <c r="A1031" s="66">
        <v>42304.0</v>
      </c>
      <c r="B1031" s="69" t="s">
        <v>873</v>
      </c>
    </row>
    <row r="1032">
      <c r="A1032" s="66">
        <v>42305.0</v>
      </c>
      <c r="B1032" s="69" t="s">
        <v>890</v>
      </c>
    </row>
    <row r="1033">
      <c r="A1033" s="66">
        <v>42306.0</v>
      </c>
      <c r="B1033" s="69" t="s">
        <v>760</v>
      </c>
    </row>
    <row r="1034">
      <c r="A1034" s="66">
        <v>42307.0</v>
      </c>
      <c r="B1034" s="69" t="s">
        <v>891</v>
      </c>
    </row>
    <row r="1035">
      <c r="A1035" s="66">
        <v>42310.0</v>
      </c>
      <c r="B1035" s="69" t="s">
        <v>892</v>
      </c>
    </row>
    <row r="1036">
      <c r="A1036" s="66">
        <v>42311.0</v>
      </c>
      <c r="B1036" s="69" t="s">
        <v>867</v>
      </c>
    </row>
    <row r="1037">
      <c r="A1037" s="66">
        <v>42312.0</v>
      </c>
      <c r="B1037" s="69" t="s">
        <v>755</v>
      </c>
    </row>
    <row r="1038">
      <c r="A1038" s="66">
        <v>42313.0</v>
      </c>
      <c r="B1038" s="69" t="s">
        <v>867</v>
      </c>
    </row>
    <row r="1039">
      <c r="A1039" s="66">
        <v>42317.0</v>
      </c>
      <c r="B1039" s="69" t="s">
        <v>893</v>
      </c>
    </row>
    <row r="1040">
      <c r="A1040" s="66">
        <v>42318.0</v>
      </c>
      <c r="B1040" s="69" t="s">
        <v>894</v>
      </c>
    </row>
    <row r="1041">
      <c r="A1041" s="66">
        <v>42319.0</v>
      </c>
      <c r="B1041" s="69" t="s">
        <v>895</v>
      </c>
    </row>
    <row r="1042">
      <c r="A1042" s="66">
        <v>42320.0</v>
      </c>
      <c r="B1042" s="69" t="s">
        <v>896</v>
      </c>
    </row>
    <row r="1043">
      <c r="A1043" s="66">
        <v>42321.0</v>
      </c>
      <c r="B1043" s="69" t="s">
        <v>895</v>
      </c>
    </row>
    <row r="1044">
      <c r="A1044" s="66">
        <v>42324.0</v>
      </c>
      <c r="B1044" s="69" t="s">
        <v>897</v>
      </c>
    </row>
    <row r="1045">
      <c r="A1045" s="66">
        <v>42325.0</v>
      </c>
      <c r="B1045" s="69" t="s">
        <v>898</v>
      </c>
    </row>
    <row r="1046">
      <c r="A1046" s="66">
        <v>42326.0</v>
      </c>
      <c r="B1046" s="69" t="s">
        <v>899</v>
      </c>
    </row>
    <row r="1047">
      <c r="A1047" s="66">
        <v>42327.0</v>
      </c>
      <c r="B1047" s="69" t="s">
        <v>900</v>
      </c>
    </row>
    <row r="1048">
      <c r="A1048" s="66">
        <v>42328.0</v>
      </c>
      <c r="B1048" s="69" t="s">
        <v>901</v>
      </c>
    </row>
    <row r="1049">
      <c r="A1049" s="66">
        <v>42331.0</v>
      </c>
      <c r="B1049" s="69" t="s">
        <v>900</v>
      </c>
    </row>
    <row r="1050">
      <c r="A1050" s="66">
        <v>42332.0</v>
      </c>
      <c r="B1050" s="69" t="s">
        <v>902</v>
      </c>
    </row>
    <row r="1051">
      <c r="A1051" s="66">
        <v>42333.0</v>
      </c>
      <c r="B1051" s="69" t="s">
        <v>903</v>
      </c>
    </row>
    <row r="1052">
      <c r="A1052" s="66">
        <v>42338.0</v>
      </c>
      <c r="B1052" s="69" t="s">
        <v>904</v>
      </c>
    </row>
    <row r="1053">
      <c r="A1053" s="66">
        <v>42339.0</v>
      </c>
      <c r="B1053" s="69" t="s">
        <v>905</v>
      </c>
    </row>
    <row r="1054">
      <c r="A1054" s="66">
        <v>42340.0</v>
      </c>
      <c r="B1054" s="69" t="s">
        <v>906</v>
      </c>
    </row>
    <row r="1055">
      <c r="A1055" s="66">
        <v>42341.0</v>
      </c>
      <c r="B1055" s="69" t="s">
        <v>746</v>
      </c>
    </row>
    <row r="1056">
      <c r="A1056" s="66">
        <v>42342.0</v>
      </c>
      <c r="B1056" s="69" t="s">
        <v>907</v>
      </c>
    </row>
    <row r="1057">
      <c r="A1057" s="66">
        <v>42347.0</v>
      </c>
      <c r="B1057" s="69" t="s">
        <v>908</v>
      </c>
    </row>
    <row r="1058">
      <c r="A1058" s="66">
        <v>42348.0</v>
      </c>
      <c r="B1058" s="69" t="s">
        <v>909</v>
      </c>
    </row>
    <row r="1059">
      <c r="A1059" s="66">
        <v>42349.0</v>
      </c>
      <c r="B1059" s="69" t="s">
        <v>910</v>
      </c>
    </row>
    <row r="1060">
      <c r="A1060" s="66">
        <v>42352.0</v>
      </c>
      <c r="B1060" s="69" t="s">
        <v>908</v>
      </c>
    </row>
    <row r="1061">
      <c r="A1061" s="66">
        <v>42353.0</v>
      </c>
      <c r="B1061" s="69" t="s">
        <v>911</v>
      </c>
    </row>
    <row r="1062">
      <c r="A1062" s="66">
        <v>42354.0</v>
      </c>
      <c r="B1062" s="69" t="s">
        <v>744</v>
      </c>
    </row>
    <row r="1063">
      <c r="A1063" s="66">
        <v>42355.0</v>
      </c>
      <c r="B1063" s="69" t="s">
        <v>912</v>
      </c>
    </row>
    <row r="1064">
      <c r="A1064" s="66">
        <v>42356.0</v>
      </c>
      <c r="B1064" s="69" t="s">
        <v>884</v>
      </c>
    </row>
    <row r="1065">
      <c r="A1065" s="66">
        <v>42359.0</v>
      </c>
      <c r="B1065" s="69" t="s">
        <v>883</v>
      </c>
    </row>
    <row r="1066">
      <c r="A1066" s="66">
        <v>42360.0</v>
      </c>
      <c r="B1066" s="69" t="s">
        <v>867</v>
      </c>
    </row>
    <row r="1067">
      <c r="A1067" s="66">
        <v>42361.0</v>
      </c>
      <c r="B1067" s="69" t="s">
        <v>751</v>
      </c>
    </row>
    <row r="1068">
      <c r="A1068" s="66">
        <v>42366.0</v>
      </c>
      <c r="B1068" s="69" t="s">
        <v>913</v>
      </c>
    </row>
    <row r="1069">
      <c r="A1069" s="66">
        <v>42367.0</v>
      </c>
      <c r="B1069" s="69" t="s">
        <v>914</v>
      </c>
    </row>
    <row r="1070">
      <c r="A1070" s="66">
        <v>42368.0</v>
      </c>
      <c r="B1070" s="69" t="s">
        <v>915</v>
      </c>
    </row>
    <row r="1071">
      <c r="A1071" s="66">
        <v>42373.0</v>
      </c>
      <c r="B1071" s="69" t="s">
        <v>892</v>
      </c>
    </row>
    <row r="1072">
      <c r="A1072" s="66">
        <v>42374.0</v>
      </c>
      <c r="B1072" s="69" t="s">
        <v>891</v>
      </c>
    </row>
    <row r="1073">
      <c r="A1073" s="66">
        <v>42375.0</v>
      </c>
      <c r="B1073" s="69" t="s">
        <v>916</v>
      </c>
    </row>
    <row r="1074">
      <c r="A1074" s="66">
        <v>42376.0</v>
      </c>
      <c r="B1074" s="69" t="s">
        <v>917</v>
      </c>
    </row>
    <row r="1075">
      <c r="A1075" s="66">
        <v>42377.0</v>
      </c>
      <c r="B1075" s="69" t="s">
        <v>918</v>
      </c>
    </row>
    <row r="1076">
      <c r="A1076" s="66">
        <v>42380.0</v>
      </c>
      <c r="B1076" s="69" t="s">
        <v>905</v>
      </c>
    </row>
    <row r="1077">
      <c r="A1077" s="66">
        <v>42381.0</v>
      </c>
      <c r="B1077" s="69" t="s">
        <v>919</v>
      </c>
    </row>
    <row r="1078">
      <c r="A1078" s="66">
        <v>42382.0</v>
      </c>
      <c r="B1078" s="69" t="s">
        <v>870</v>
      </c>
    </row>
    <row r="1079">
      <c r="A1079" s="66">
        <v>42383.0</v>
      </c>
      <c r="B1079" s="69" t="s">
        <v>880</v>
      </c>
    </row>
    <row r="1080">
      <c r="A1080" s="66">
        <v>42384.0</v>
      </c>
      <c r="B1080" s="69" t="s">
        <v>920</v>
      </c>
    </row>
    <row r="1081">
      <c r="A1081" s="66">
        <v>42388.0</v>
      </c>
      <c r="B1081" s="69" t="s">
        <v>921</v>
      </c>
    </row>
    <row r="1082">
      <c r="A1082" s="66">
        <v>42389.0</v>
      </c>
      <c r="B1082" s="69" t="s">
        <v>751</v>
      </c>
    </row>
    <row r="1083">
      <c r="A1083" s="66">
        <v>42390.0</v>
      </c>
      <c r="B1083" s="69" t="s">
        <v>893</v>
      </c>
    </row>
    <row r="1084">
      <c r="A1084" s="66">
        <v>42391.0</v>
      </c>
      <c r="B1084" s="69" t="s">
        <v>867</v>
      </c>
    </row>
    <row r="1085">
      <c r="A1085" s="66">
        <v>42394.0</v>
      </c>
      <c r="B1085" s="69" t="s">
        <v>915</v>
      </c>
    </row>
    <row r="1086">
      <c r="A1086" s="66">
        <v>42395.0</v>
      </c>
      <c r="B1086" s="69" t="s">
        <v>884</v>
      </c>
    </row>
    <row r="1087">
      <c r="A1087" s="66">
        <v>42396.0</v>
      </c>
      <c r="B1087" s="69" t="s">
        <v>922</v>
      </c>
    </row>
    <row r="1088">
      <c r="A1088" s="66">
        <v>42397.0</v>
      </c>
      <c r="B1088" s="69" t="s">
        <v>922</v>
      </c>
    </row>
    <row r="1089">
      <c r="A1089" s="66">
        <v>42398.0</v>
      </c>
      <c r="B1089" s="69" t="s">
        <v>868</v>
      </c>
    </row>
    <row r="1090">
      <c r="A1090" s="66">
        <v>42401.0</v>
      </c>
      <c r="B1090" s="69" t="s">
        <v>923</v>
      </c>
    </row>
    <row r="1091">
      <c r="A1091" s="66">
        <v>42402.0</v>
      </c>
      <c r="B1091" s="69" t="s">
        <v>903</v>
      </c>
    </row>
    <row r="1092">
      <c r="A1092" s="66">
        <v>42403.0</v>
      </c>
      <c r="B1092" s="69" t="s">
        <v>913</v>
      </c>
    </row>
    <row r="1093">
      <c r="A1093" s="66">
        <v>42404.0</v>
      </c>
      <c r="B1093" s="69" t="s">
        <v>924</v>
      </c>
    </row>
    <row r="1094">
      <c r="A1094" s="66">
        <v>42405.0</v>
      </c>
      <c r="B1094" s="69" t="s">
        <v>904</v>
      </c>
    </row>
    <row r="1095">
      <c r="A1095" s="66">
        <v>42410.0</v>
      </c>
      <c r="B1095" s="69" t="s">
        <v>925</v>
      </c>
    </row>
    <row r="1096">
      <c r="A1096" s="66">
        <v>42411.0</v>
      </c>
      <c r="B1096" s="69" t="s">
        <v>926</v>
      </c>
    </row>
    <row r="1097">
      <c r="A1097" s="66">
        <v>42412.0</v>
      </c>
      <c r="B1097" s="69" t="s">
        <v>927</v>
      </c>
    </row>
    <row r="1098">
      <c r="A1098" s="66">
        <v>42416.0</v>
      </c>
      <c r="B1098" s="69" t="s">
        <v>928</v>
      </c>
    </row>
    <row r="1099">
      <c r="A1099" s="66">
        <v>42417.0</v>
      </c>
      <c r="B1099" s="69" t="s">
        <v>910</v>
      </c>
    </row>
    <row r="1100">
      <c r="A1100" s="66">
        <v>42418.0</v>
      </c>
      <c r="B1100" s="69" t="s">
        <v>929</v>
      </c>
    </row>
    <row r="1101">
      <c r="A1101" s="66">
        <v>42419.0</v>
      </c>
      <c r="B1101" s="69" t="s">
        <v>930</v>
      </c>
    </row>
    <row r="1102">
      <c r="A1102" s="66">
        <v>42422.0</v>
      </c>
      <c r="B1102" s="69" t="s">
        <v>749</v>
      </c>
    </row>
    <row r="1103">
      <c r="A1103" s="66">
        <v>42423.0</v>
      </c>
      <c r="B1103" s="69" t="s">
        <v>931</v>
      </c>
    </row>
    <row r="1104">
      <c r="A1104" s="66">
        <v>42424.0</v>
      </c>
      <c r="B1104" s="69" t="s">
        <v>932</v>
      </c>
    </row>
    <row r="1105">
      <c r="A1105" s="66">
        <v>42425.0</v>
      </c>
      <c r="B1105" s="69" t="s">
        <v>933</v>
      </c>
    </row>
    <row r="1106">
      <c r="A1106" s="66">
        <v>42426.0</v>
      </c>
      <c r="B1106" s="69" t="s">
        <v>934</v>
      </c>
    </row>
    <row r="1107">
      <c r="A1107" s="66">
        <v>42429.0</v>
      </c>
      <c r="B1107" s="69" t="s">
        <v>935</v>
      </c>
    </row>
    <row r="1108">
      <c r="A1108" s="66">
        <v>42430.0</v>
      </c>
      <c r="B1108" s="69" t="s">
        <v>936</v>
      </c>
    </row>
    <row r="1109">
      <c r="A1109" s="66">
        <v>42431.0</v>
      </c>
      <c r="B1109" s="69" t="s">
        <v>937</v>
      </c>
    </row>
    <row r="1110">
      <c r="A1110" s="66">
        <v>42432.0</v>
      </c>
      <c r="B1110" s="69" t="s">
        <v>938</v>
      </c>
    </row>
    <row r="1111">
      <c r="A1111" s="66">
        <v>42433.0</v>
      </c>
      <c r="B1111" s="69" t="s">
        <v>939</v>
      </c>
    </row>
    <row r="1112">
      <c r="A1112" s="66">
        <v>42436.0</v>
      </c>
      <c r="B1112" s="69" t="s">
        <v>940</v>
      </c>
    </row>
    <row r="1113">
      <c r="A1113" s="66">
        <v>42437.0</v>
      </c>
      <c r="B1113" s="69" t="s">
        <v>941</v>
      </c>
    </row>
    <row r="1114">
      <c r="A1114" s="66">
        <v>42438.0</v>
      </c>
      <c r="B1114" s="69" t="s">
        <v>942</v>
      </c>
    </row>
    <row r="1115">
      <c r="A1115" s="66">
        <v>42439.0</v>
      </c>
      <c r="B1115" s="69" t="s">
        <v>910</v>
      </c>
    </row>
    <row r="1116">
      <c r="A1116" s="66">
        <v>42440.0</v>
      </c>
      <c r="B1116" s="69" t="s">
        <v>943</v>
      </c>
    </row>
    <row r="1117">
      <c r="A1117" s="66">
        <v>42443.0</v>
      </c>
      <c r="B1117" s="69" t="s">
        <v>927</v>
      </c>
    </row>
    <row r="1118">
      <c r="A1118" s="66">
        <v>42444.0</v>
      </c>
      <c r="B1118" s="69" t="s">
        <v>944</v>
      </c>
    </row>
    <row r="1119">
      <c r="A1119" s="66">
        <v>42445.0</v>
      </c>
      <c r="B1119" s="69" t="s">
        <v>945</v>
      </c>
    </row>
    <row r="1120">
      <c r="A1120" s="66">
        <v>42446.0</v>
      </c>
      <c r="B1120" s="69" t="s">
        <v>946</v>
      </c>
    </row>
    <row r="1121">
      <c r="A1121" s="66">
        <v>42447.0</v>
      </c>
      <c r="B1121" s="69" t="s">
        <v>911</v>
      </c>
    </row>
    <row r="1122">
      <c r="A1122" s="66">
        <v>42450.0</v>
      </c>
      <c r="B1122" s="69" t="s">
        <v>947</v>
      </c>
    </row>
    <row r="1123">
      <c r="A1123" s="66">
        <v>42451.0</v>
      </c>
      <c r="B1123" s="69" t="s">
        <v>948</v>
      </c>
    </row>
    <row r="1124">
      <c r="A1124" s="66">
        <v>42452.0</v>
      </c>
      <c r="B1124" s="69" t="s">
        <v>897</v>
      </c>
    </row>
    <row r="1125">
      <c r="A1125" s="66">
        <v>42457.0</v>
      </c>
      <c r="B1125" s="69" t="s">
        <v>949</v>
      </c>
    </row>
    <row r="1126">
      <c r="A1126" s="66">
        <v>42458.0</v>
      </c>
      <c r="B1126" s="69" t="s">
        <v>950</v>
      </c>
    </row>
    <row r="1127">
      <c r="A1127" s="66">
        <v>42459.0</v>
      </c>
      <c r="B1127" s="69" t="s">
        <v>951</v>
      </c>
    </row>
    <row r="1128">
      <c r="A1128" s="66">
        <v>42460.0</v>
      </c>
      <c r="B1128" s="69" t="s">
        <v>907</v>
      </c>
    </row>
    <row r="1129">
      <c r="A1129" s="66">
        <v>42461.0</v>
      </c>
      <c r="B1129" s="69" t="s">
        <v>952</v>
      </c>
    </row>
    <row r="1130">
      <c r="A1130" s="66">
        <v>42464.0</v>
      </c>
      <c r="B1130" s="69" t="s">
        <v>900</v>
      </c>
    </row>
    <row r="1131">
      <c r="A1131" s="66">
        <v>42465.0</v>
      </c>
      <c r="B1131" s="69" t="s">
        <v>900</v>
      </c>
    </row>
    <row r="1132">
      <c r="A1132" s="66">
        <v>42466.0</v>
      </c>
      <c r="B1132" s="69" t="s">
        <v>907</v>
      </c>
    </row>
    <row r="1133">
      <c r="A1133" s="66">
        <v>42467.0</v>
      </c>
      <c r="B1133" s="69" t="s">
        <v>951</v>
      </c>
    </row>
    <row r="1134">
      <c r="A1134" s="66">
        <v>42468.0</v>
      </c>
      <c r="B1134" s="69" t="s">
        <v>953</v>
      </c>
    </row>
    <row r="1135">
      <c r="A1135" s="66">
        <v>42471.0</v>
      </c>
      <c r="B1135" s="69" t="s">
        <v>948</v>
      </c>
    </row>
    <row r="1136">
      <c r="A1136" s="66">
        <v>42472.0</v>
      </c>
      <c r="B1136" s="69" t="s">
        <v>953</v>
      </c>
    </row>
    <row r="1137">
      <c r="A1137" s="66">
        <v>42473.0</v>
      </c>
      <c r="B1137" s="69" t="s">
        <v>954</v>
      </c>
    </row>
    <row r="1138">
      <c r="A1138" s="66">
        <v>42474.0</v>
      </c>
      <c r="B1138" s="69" t="s">
        <v>754</v>
      </c>
    </row>
    <row r="1139">
      <c r="A1139" s="66">
        <v>42475.0</v>
      </c>
      <c r="B1139" s="69" t="s">
        <v>904</v>
      </c>
    </row>
    <row r="1140">
      <c r="A1140" s="66">
        <v>42478.0</v>
      </c>
      <c r="B1140" s="69" t="s">
        <v>894</v>
      </c>
    </row>
    <row r="1141">
      <c r="A1141" s="66">
        <v>42479.0</v>
      </c>
      <c r="B1141" s="69" t="s">
        <v>923</v>
      </c>
    </row>
    <row r="1142">
      <c r="A1142" s="66">
        <v>42480.0</v>
      </c>
      <c r="B1142" s="69" t="s">
        <v>924</v>
      </c>
    </row>
    <row r="1143">
      <c r="A1143" s="66">
        <v>42481.0</v>
      </c>
      <c r="B1143" s="69" t="s">
        <v>955</v>
      </c>
    </row>
    <row r="1144">
      <c r="A1144" s="66">
        <v>42482.0</v>
      </c>
      <c r="B1144" s="69" t="s">
        <v>904</v>
      </c>
    </row>
    <row r="1145">
      <c r="A1145" s="66">
        <v>42485.0</v>
      </c>
      <c r="B1145" s="69" t="s">
        <v>905</v>
      </c>
    </row>
    <row r="1146">
      <c r="A1146" s="66">
        <v>42486.0</v>
      </c>
      <c r="B1146" s="69" t="s">
        <v>956</v>
      </c>
    </row>
    <row r="1147">
      <c r="A1147" s="66">
        <v>42487.0</v>
      </c>
      <c r="B1147" s="69" t="s">
        <v>895</v>
      </c>
    </row>
    <row r="1148">
      <c r="A1148" s="66">
        <v>42488.0</v>
      </c>
      <c r="B1148" s="69" t="s">
        <v>896</v>
      </c>
    </row>
    <row r="1149">
      <c r="A1149" s="66">
        <v>42489.0</v>
      </c>
      <c r="B1149" s="69" t="s">
        <v>912</v>
      </c>
    </row>
    <row r="1150">
      <c r="A1150" s="66">
        <v>42492.0</v>
      </c>
      <c r="B1150" s="69" t="s">
        <v>914</v>
      </c>
    </row>
    <row r="1151">
      <c r="A1151" s="66">
        <v>42493.0</v>
      </c>
      <c r="B1151" s="69" t="s">
        <v>923</v>
      </c>
    </row>
    <row r="1152">
      <c r="A1152" s="66">
        <v>42494.0</v>
      </c>
      <c r="B1152" s="69" t="s">
        <v>912</v>
      </c>
    </row>
    <row r="1153">
      <c r="A1153" s="66">
        <v>42495.0</v>
      </c>
      <c r="B1153" s="69" t="s">
        <v>957</v>
      </c>
    </row>
    <row r="1154">
      <c r="A1154" s="66">
        <v>42496.0</v>
      </c>
      <c r="B1154" s="69" t="s">
        <v>919</v>
      </c>
    </row>
    <row r="1155">
      <c r="A1155" s="66">
        <v>42499.0</v>
      </c>
      <c r="B1155" s="69" t="s">
        <v>917</v>
      </c>
    </row>
    <row r="1156">
      <c r="A1156" s="66">
        <v>42500.0</v>
      </c>
      <c r="B1156" s="69" t="s">
        <v>958</v>
      </c>
    </row>
    <row r="1157">
      <c r="A1157" s="66">
        <v>42501.0</v>
      </c>
      <c r="B1157" s="69" t="s">
        <v>958</v>
      </c>
    </row>
    <row r="1158">
      <c r="A1158" s="66">
        <v>42502.0</v>
      </c>
      <c r="B1158" s="69" t="s">
        <v>878</v>
      </c>
    </row>
    <row r="1159">
      <c r="A1159" s="66">
        <v>42503.0</v>
      </c>
      <c r="B1159" s="69" t="s">
        <v>878</v>
      </c>
    </row>
    <row r="1160">
      <c r="A1160" s="66">
        <v>42506.0</v>
      </c>
      <c r="B1160" s="69" t="s">
        <v>753</v>
      </c>
    </row>
    <row r="1161">
      <c r="A1161" s="66">
        <v>42507.0</v>
      </c>
      <c r="B1161" s="69" t="s">
        <v>753</v>
      </c>
    </row>
    <row r="1162">
      <c r="A1162" s="66">
        <v>42508.0</v>
      </c>
      <c r="B1162" s="69" t="s">
        <v>875</v>
      </c>
    </row>
    <row r="1163">
      <c r="A1163" s="66">
        <v>42509.0</v>
      </c>
      <c r="B1163" s="69" t="s">
        <v>959</v>
      </c>
    </row>
    <row r="1164">
      <c r="A1164" s="66">
        <v>42510.0</v>
      </c>
      <c r="B1164" s="69" t="s">
        <v>960</v>
      </c>
    </row>
    <row r="1165">
      <c r="A1165" s="66">
        <v>42513.0</v>
      </c>
      <c r="B1165" s="69" t="s">
        <v>888</v>
      </c>
    </row>
    <row r="1166">
      <c r="A1166" s="66">
        <v>42514.0</v>
      </c>
      <c r="B1166" s="69" t="s">
        <v>870</v>
      </c>
    </row>
    <row r="1167">
      <c r="A1167" s="66">
        <v>42516.0</v>
      </c>
      <c r="B1167" s="69" t="s">
        <v>761</v>
      </c>
    </row>
    <row r="1168">
      <c r="A1168" s="66">
        <v>42517.0</v>
      </c>
      <c r="B1168" s="69" t="s">
        <v>888</v>
      </c>
    </row>
    <row r="1169">
      <c r="A1169" s="66">
        <v>42521.0</v>
      </c>
      <c r="B1169" s="69" t="s">
        <v>888</v>
      </c>
    </row>
    <row r="1170">
      <c r="A1170" s="66">
        <v>42522.0</v>
      </c>
      <c r="B1170" s="69" t="s">
        <v>915</v>
      </c>
    </row>
    <row r="1171">
      <c r="A1171" s="66">
        <v>42523.0</v>
      </c>
      <c r="B1171" s="69" t="s">
        <v>875</v>
      </c>
    </row>
    <row r="1172">
      <c r="A1172" s="66">
        <v>42524.0</v>
      </c>
      <c r="B1172" s="69" t="s">
        <v>959</v>
      </c>
    </row>
    <row r="1173">
      <c r="A1173" s="66">
        <v>42527.0</v>
      </c>
      <c r="B1173" s="69" t="s">
        <v>868</v>
      </c>
    </row>
    <row r="1174">
      <c r="A1174" s="66">
        <v>42528.0</v>
      </c>
      <c r="B1174" s="69" t="s">
        <v>883</v>
      </c>
    </row>
    <row r="1175">
      <c r="A1175" s="66">
        <v>42529.0</v>
      </c>
      <c r="B1175" s="69" t="s">
        <v>868</v>
      </c>
    </row>
    <row r="1176">
      <c r="A1176" s="66">
        <v>42530.0</v>
      </c>
      <c r="B1176" s="69" t="s">
        <v>743</v>
      </c>
    </row>
    <row r="1177">
      <c r="A1177" s="66">
        <v>42531.0</v>
      </c>
      <c r="B1177" s="69" t="s">
        <v>961</v>
      </c>
    </row>
    <row r="1178">
      <c r="A1178" s="66">
        <v>42534.0</v>
      </c>
      <c r="B1178" s="69" t="s">
        <v>961</v>
      </c>
    </row>
    <row r="1179">
      <c r="A1179" s="66">
        <v>42535.0</v>
      </c>
      <c r="B1179" s="69" t="s">
        <v>743</v>
      </c>
    </row>
    <row r="1180">
      <c r="A1180" s="66">
        <v>42536.0</v>
      </c>
      <c r="B1180" s="69" t="s">
        <v>962</v>
      </c>
    </row>
    <row r="1181">
      <c r="A1181" s="66">
        <v>42537.0</v>
      </c>
      <c r="B1181" s="69" t="s">
        <v>881</v>
      </c>
    </row>
    <row r="1182">
      <c r="A1182" s="66">
        <v>42542.0</v>
      </c>
      <c r="B1182" s="69" t="s">
        <v>959</v>
      </c>
    </row>
    <row r="1183">
      <c r="A1183" s="66">
        <v>42543.0</v>
      </c>
      <c r="B1183" s="69" t="s">
        <v>889</v>
      </c>
    </row>
    <row r="1184">
      <c r="A1184" s="66">
        <v>42544.0</v>
      </c>
      <c r="B1184" s="69" t="s">
        <v>963</v>
      </c>
    </row>
    <row r="1185">
      <c r="A1185" s="66">
        <v>42545.0</v>
      </c>
      <c r="B1185" s="69" t="s">
        <v>902</v>
      </c>
    </row>
    <row r="1186">
      <c r="A1186" s="66">
        <v>42548.0</v>
      </c>
      <c r="B1186" s="69" t="s">
        <v>964</v>
      </c>
    </row>
    <row r="1187">
      <c r="A1187" s="66">
        <v>42549.0</v>
      </c>
      <c r="B1187" s="69" t="s">
        <v>965</v>
      </c>
    </row>
    <row r="1188">
      <c r="A1188" s="66">
        <v>42550.0</v>
      </c>
      <c r="B1188" s="69" t="s">
        <v>966</v>
      </c>
    </row>
    <row r="1189">
      <c r="A1189" s="66">
        <v>42551.0</v>
      </c>
      <c r="B1189" s="69" t="s">
        <v>749</v>
      </c>
    </row>
    <row r="1190">
      <c r="A1190" s="66">
        <v>42552.0</v>
      </c>
      <c r="B1190" s="69" t="s">
        <v>931</v>
      </c>
    </row>
    <row r="1191">
      <c r="A1191" s="66">
        <v>42556.0</v>
      </c>
      <c r="B1191" s="69" t="s">
        <v>967</v>
      </c>
    </row>
    <row r="1192">
      <c r="A1192" s="66">
        <v>42557.0</v>
      </c>
      <c r="B1192" s="69" t="s">
        <v>968</v>
      </c>
    </row>
    <row r="1193">
      <c r="A1193" s="66">
        <v>42558.0</v>
      </c>
      <c r="B1193" s="69" t="s">
        <v>927</v>
      </c>
    </row>
    <row r="1194">
      <c r="A1194" s="66">
        <v>42562.0</v>
      </c>
      <c r="B1194" s="69" t="s">
        <v>901</v>
      </c>
    </row>
    <row r="1195">
      <c r="A1195" s="66">
        <v>42563.0</v>
      </c>
      <c r="B1195" s="69" t="s">
        <v>907</v>
      </c>
    </row>
    <row r="1196">
      <c r="A1196" s="66">
        <v>42564.0</v>
      </c>
      <c r="B1196" s="69" t="s">
        <v>906</v>
      </c>
    </row>
    <row r="1197">
      <c r="A1197" s="66">
        <v>42565.0</v>
      </c>
      <c r="B1197" s="69" t="s">
        <v>946</v>
      </c>
    </row>
    <row r="1198">
      <c r="A1198" s="66">
        <v>42566.0</v>
      </c>
      <c r="B1198" s="69" t="s">
        <v>969</v>
      </c>
    </row>
    <row r="1199">
      <c r="A1199" s="66">
        <v>42569.0</v>
      </c>
      <c r="B1199" s="69" t="s">
        <v>970</v>
      </c>
    </row>
    <row r="1200">
      <c r="A1200" s="66">
        <v>42570.0</v>
      </c>
      <c r="B1200" s="69" t="s">
        <v>971</v>
      </c>
    </row>
    <row r="1201">
      <c r="A1201" s="66">
        <v>42571.0</v>
      </c>
      <c r="B1201" s="69" t="s">
        <v>909</v>
      </c>
    </row>
    <row r="1202">
      <c r="A1202" s="66">
        <v>42572.0</v>
      </c>
      <c r="B1202" s="69" t="s">
        <v>928</v>
      </c>
    </row>
    <row r="1203">
      <c r="A1203" s="66">
        <v>42573.0</v>
      </c>
      <c r="B1203" s="69" t="s">
        <v>972</v>
      </c>
    </row>
    <row r="1204">
      <c r="A1204" s="66">
        <v>42576.0</v>
      </c>
      <c r="B1204" s="69" t="s">
        <v>973</v>
      </c>
    </row>
    <row r="1205">
      <c r="A1205" s="66">
        <v>42577.0</v>
      </c>
      <c r="B1205" s="69" t="s">
        <v>974</v>
      </c>
    </row>
    <row r="1206">
      <c r="A1206" s="66">
        <v>42578.0</v>
      </c>
      <c r="B1206" s="69" t="s">
        <v>970</v>
      </c>
    </row>
    <row r="1207">
      <c r="A1207" s="66">
        <v>42579.0</v>
      </c>
      <c r="B1207" s="69" t="s">
        <v>975</v>
      </c>
    </row>
    <row r="1208">
      <c r="A1208" s="66">
        <v>42580.0</v>
      </c>
      <c r="B1208" s="69" t="s">
        <v>976</v>
      </c>
    </row>
    <row r="1209">
      <c r="A1209" s="66">
        <v>42583.0</v>
      </c>
      <c r="B1209" s="69" t="s">
        <v>977</v>
      </c>
    </row>
    <row r="1210">
      <c r="A1210" s="66">
        <v>42584.0</v>
      </c>
      <c r="B1210" s="69" t="s">
        <v>970</v>
      </c>
    </row>
    <row r="1211">
      <c r="A1211" s="66">
        <v>42585.0</v>
      </c>
      <c r="B1211" s="69" t="s">
        <v>978</v>
      </c>
    </row>
    <row r="1212">
      <c r="A1212" s="66">
        <v>42586.0</v>
      </c>
      <c r="B1212" s="69" t="s">
        <v>979</v>
      </c>
    </row>
    <row r="1213">
      <c r="A1213" s="66">
        <v>42587.0</v>
      </c>
      <c r="B1213" s="69" t="s">
        <v>980</v>
      </c>
    </row>
    <row r="1214">
      <c r="A1214" s="66">
        <v>42590.0</v>
      </c>
      <c r="B1214" s="69" t="s">
        <v>964</v>
      </c>
    </row>
    <row r="1215">
      <c r="A1215" s="66">
        <v>42591.0</v>
      </c>
      <c r="B1215" s="69" t="s">
        <v>926</v>
      </c>
    </row>
    <row r="1216">
      <c r="A1216" s="66">
        <v>42592.0</v>
      </c>
      <c r="B1216" s="69" t="s">
        <v>926</v>
      </c>
    </row>
    <row r="1217">
      <c r="A1217" s="66">
        <v>42593.0</v>
      </c>
      <c r="B1217" s="69" t="s">
        <v>926</v>
      </c>
    </row>
    <row r="1218">
      <c r="A1218" s="66">
        <v>42594.0</v>
      </c>
      <c r="B1218" s="69" t="s">
        <v>898</v>
      </c>
    </row>
    <row r="1219">
      <c r="A1219" s="66">
        <v>42598.0</v>
      </c>
      <c r="B1219" s="69" t="s">
        <v>898</v>
      </c>
    </row>
    <row r="1220">
      <c r="A1220" s="66">
        <v>42599.0</v>
      </c>
      <c r="B1220" s="69" t="s">
        <v>947</v>
      </c>
    </row>
    <row r="1221">
      <c r="A1221" s="66">
        <v>42600.0</v>
      </c>
      <c r="B1221" s="69" t="s">
        <v>969</v>
      </c>
    </row>
    <row r="1222">
      <c r="A1222" s="66">
        <v>42601.0</v>
      </c>
      <c r="B1222" s="69" t="s">
        <v>927</v>
      </c>
    </row>
    <row r="1223">
      <c r="A1223" s="66">
        <v>42604.0</v>
      </c>
      <c r="B1223" s="69" t="s">
        <v>978</v>
      </c>
    </row>
    <row r="1224">
      <c r="A1224" s="66">
        <v>42605.0</v>
      </c>
      <c r="B1224" s="69" t="s">
        <v>911</v>
      </c>
    </row>
    <row r="1225">
      <c r="A1225" s="66">
        <v>42606.0</v>
      </c>
      <c r="B1225" s="69" t="s">
        <v>981</v>
      </c>
    </row>
    <row r="1226">
      <c r="A1226" s="66">
        <v>42607.0</v>
      </c>
      <c r="B1226" s="69" t="s">
        <v>748</v>
      </c>
    </row>
    <row r="1227">
      <c r="A1227" s="66">
        <v>42608.0</v>
      </c>
      <c r="B1227" s="69" t="s">
        <v>982</v>
      </c>
    </row>
    <row r="1228">
      <c r="A1228" s="66">
        <v>42611.0</v>
      </c>
      <c r="B1228" s="69" t="s">
        <v>983</v>
      </c>
    </row>
    <row r="1229">
      <c r="A1229" s="66">
        <v>42612.0</v>
      </c>
      <c r="B1229" s="69" t="s">
        <v>749</v>
      </c>
    </row>
    <row r="1230">
      <c r="A1230" s="66">
        <v>42613.0</v>
      </c>
      <c r="B1230" s="69" t="s">
        <v>975</v>
      </c>
    </row>
    <row r="1231">
      <c r="A1231" s="66">
        <v>42614.0</v>
      </c>
      <c r="B1231" s="69" t="s">
        <v>982</v>
      </c>
    </row>
    <row r="1232">
      <c r="A1232" s="66">
        <v>42615.0</v>
      </c>
      <c r="B1232" s="69" t="s">
        <v>927</v>
      </c>
    </row>
    <row r="1233">
      <c r="A1233" s="66">
        <v>42619.0</v>
      </c>
      <c r="B1233" s="69" t="s">
        <v>973</v>
      </c>
    </row>
    <row r="1234">
      <c r="A1234" s="66">
        <v>42620.0</v>
      </c>
      <c r="B1234" s="69" t="s">
        <v>977</v>
      </c>
    </row>
    <row r="1235">
      <c r="A1235" s="66">
        <v>42621.0</v>
      </c>
      <c r="B1235" s="69" t="s">
        <v>908</v>
      </c>
    </row>
    <row r="1236">
      <c r="A1236" s="66">
        <v>42622.0</v>
      </c>
      <c r="B1236" s="69" t="s">
        <v>980</v>
      </c>
    </row>
    <row r="1237">
      <c r="A1237" s="66">
        <v>42625.0</v>
      </c>
      <c r="B1237" s="69" t="s">
        <v>984</v>
      </c>
    </row>
    <row r="1238">
      <c r="A1238" s="66">
        <v>42626.0</v>
      </c>
      <c r="B1238" s="69" t="s">
        <v>980</v>
      </c>
    </row>
    <row r="1239">
      <c r="A1239" s="66">
        <v>42627.0</v>
      </c>
      <c r="B1239" s="69" t="s">
        <v>973</v>
      </c>
    </row>
    <row r="1240">
      <c r="A1240" s="66">
        <v>42628.0</v>
      </c>
      <c r="B1240" s="69" t="s">
        <v>975</v>
      </c>
    </row>
    <row r="1241">
      <c r="A1241" s="66">
        <v>42629.0</v>
      </c>
      <c r="B1241" s="69" t="s">
        <v>975</v>
      </c>
    </row>
    <row r="1242">
      <c r="A1242" s="66">
        <v>42632.0</v>
      </c>
      <c r="B1242" s="69" t="s">
        <v>909</v>
      </c>
    </row>
    <row r="1243">
      <c r="A1243" s="66">
        <v>42633.0</v>
      </c>
      <c r="B1243" s="69" t="s">
        <v>985</v>
      </c>
    </row>
    <row r="1244">
      <c r="A1244" s="66">
        <v>42634.0</v>
      </c>
      <c r="B1244" s="69" t="s">
        <v>986</v>
      </c>
    </row>
    <row r="1245">
      <c r="A1245" s="66">
        <v>42635.0</v>
      </c>
      <c r="B1245" s="69" t="s">
        <v>986</v>
      </c>
    </row>
    <row r="1246">
      <c r="A1246" s="66">
        <v>42636.0</v>
      </c>
      <c r="B1246" s="69" t="s">
        <v>987</v>
      </c>
    </row>
    <row r="1247">
      <c r="A1247" s="66">
        <v>42639.0</v>
      </c>
      <c r="B1247" s="69" t="s">
        <v>749</v>
      </c>
    </row>
    <row r="1248">
      <c r="A1248" s="66">
        <v>42640.0</v>
      </c>
      <c r="B1248" s="69" t="s">
        <v>967</v>
      </c>
    </row>
    <row r="1249">
      <c r="A1249" s="66">
        <v>42641.0</v>
      </c>
      <c r="B1249" s="69" t="s">
        <v>910</v>
      </c>
    </row>
    <row r="1250">
      <c r="A1250" s="66">
        <v>42642.0</v>
      </c>
      <c r="B1250" s="69" t="s">
        <v>942</v>
      </c>
    </row>
    <row r="1251">
      <c r="A1251" s="66">
        <v>42643.0</v>
      </c>
      <c r="B1251" s="69" t="s">
        <v>988</v>
      </c>
    </row>
    <row r="1252">
      <c r="A1252" s="66">
        <v>42646.0</v>
      </c>
      <c r="B1252" s="69" t="s">
        <v>930</v>
      </c>
    </row>
    <row r="1253">
      <c r="A1253" s="66">
        <v>42647.0</v>
      </c>
      <c r="B1253" s="69" t="s">
        <v>967</v>
      </c>
    </row>
    <row r="1254">
      <c r="A1254" s="66">
        <v>42648.0</v>
      </c>
      <c r="B1254" s="69" t="s">
        <v>986</v>
      </c>
    </row>
    <row r="1255">
      <c r="A1255" s="66">
        <v>42649.0</v>
      </c>
      <c r="B1255" s="69" t="s">
        <v>986</v>
      </c>
    </row>
    <row r="1256">
      <c r="A1256" s="66">
        <v>42650.0</v>
      </c>
      <c r="B1256" s="69" t="s">
        <v>985</v>
      </c>
    </row>
    <row r="1257">
      <c r="A1257" s="66">
        <v>42654.0</v>
      </c>
      <c r="B1257" s="69" t="s">
        <v>930</v>
      </c>
    </row>
    <row r="1258">
      <c r="A1258" s="66">
        <v>42655.0</v>
      </c>
      <c r="B1258" s="69" t="s">
        <v>985</v>
      </c>
    </row>
    <row r="1259">
      <c r="A1259" s="66">
        <v>42656.0</v>
      </c>
      <c r="B1259" s="69" t="s">
        <v>749</v>
      </c>
    </row>
    <row r="1260">
      <c r="A1260" s="66">
        <v>42657.0</v>
      </c>
      <c r="B1260" s="69" t="s">
        <v>989</v>
      </c>
    </row>
    <row r="1261">
      <c r="A1261" s="66">
        <v>42660.0</v>
      </c>
      <c r="B1261" s="69" t="s">
        <v>972</v>
      </c>
    </row>
    <row r="1262">
      <c r="A1262" s="66">
        <v>42661.0</v>
      </c>
      <c r="B1262" s="69" t="s">
        <v>990</v>
      </c>
    </row>
    <row r="1263">
      <c r="A1263" s="66">
        <v>42662.0</v>
      </c>
      <c r="B1263" s="69" t="s">
        <v>990</v>
      </c>
    </row>
    <row r="1264">
      <c r="A1264" s="66">
        <v>42663.0</v>
      </c>
      <c r="B1264" s="69" t="s">
        <v>930</v>
      </c>
    </row>
    <row r="1265">
      <c r="A1265" s="66">
        <v>42664.0</v>
      </c>
      <c r="B1265" s="69" t="s">
        <v>985</v>
      </c>
    </row>
    <row r="1266">
      <c r="A1266" s="66">
        <v>42667.0</v>
      </c>
      <c r="B1266" s="69" t="s">
        <v>967</v>
      </c>
    </row>
    <row r="1267">
      <c r="A1267" s="66">
        <v>42668.0</v>
      </c>
      <c r="B1267" s="69" t="s">
        <v>749</v>
      </c>
    </row>
    <row r="1268">
      <c r="A1268" s="66">
        <v>42669.0</v>
      </c>
      <c r="B1268" s="69" t="s">
        <v>985</v>
      </c>
    </row>
    <row r="1269">
      <c r="A1269" s="66">
        <v>42670.0</v>
      </c>
      <c r="B1269" s="69" t="s">
        <v>985</v>
      </c>
    </row>
    <row r="1270">
      <c r="A1270" s="66">
        <v>42671.0</v>
      </c>
      <c r="B1270" s="69" t="s">
        <v>986</v>
      </c>
    </row>
    <row r="1271">
      <c r="A1271" s="66">
        <v>42674.0</v>
      </c>
      <c r="B1271" s="69" t="s">
        <v>991</v>
      </c>
    </row>
    <row r="1272">
      <c r="A1272" s="66">
        <v>42675.0</v>
      </c>
      <c r="B1272" s="69" t="s">
        <v>987</v>
      </c>
    </row>
    <row r="1273">
      <c r="A1273" s="66">
        <v>42676.0</v>
      </c>
      <c r="B1273" s="69" t="s">
        <v>972</v>
      </c>
    </row>
    <row r="1274">
      <c r="A1274" s="66">
        <v>42677.0</v>
      </c>
      <c r="B1274" s="69" t="s">
        <v>992</v>
      </c>
    </row>
    <row r="1275">
      <c r="A1275" s="66">
        <v>42678.0</v>
      </c>
      <c r="B1275" s="69" t="s">
        <v>909</v>
      </c>
    </row>
    <row r="1276">
      <c r="A1276" s="66">
        <v>42681.0</v>
      </c>
      <c r="B1276" s="69" t="s">
        <v>908</v>
      </c>
    </row>
    <row r="1277">
      <c r="A1277" s="66">
        <v>42682.0</v>
      </c>
      <c r="B1277" s="69" t="s">
        <v>972</v>
      </c>
    </row>
    <row r="1278">
      <c r="A1278" s="66">
        <v>42683.0</v>
      </c>
      <c r="B1278" s="69" t="s">
        <v>983</v>
      </c>
    </row>
    <row r="1279">
      <c r="A1279" s="66">
        <v>42684.0</v>
      </c>
      <c r="B1279" s="69" t="s">
        <v>993</v>
      </c>
    </row>
    <row r="1280">
      <c r="A1280" s="66">
        <v>42685.0</v>
      </c>
      <c r="B1280" s="69" t="s">
        <v>975</v>
      </c>
    </row>
    <row r="1281">
      <c r="A1281" s="66">
        <v>42688.0</v>
      </c>
      <c r="B1281" s="69" t="s">
        <v>994</v>
      </c>
    </row>
    <row r="1282">
      <c r="A1282" s="66">
        <v>42689.0</v>
      </c>
      <c r="B1282" s="69" t="s">
        <v>995</v>
      </c>
    </row>
    <row r="1283">
      <c r="A1283" s="66">
        <v>42690.0</v>
      </c>
      <c r="B1283" s="69" t="s">
        <v>996</v>
      </c>
    </row>
    <row r="1284">
      <c r="A1284" s="66">
        <v>42691.0</v>
      </c>
      <c r="B1284" s="69" t="s">
        <v>997</v>
      </c>
    </row>
    <row r="1285">
      <c r="A1285" s="66">
        <v>42692.0</v>
      </c>
      <c r="B1285" s="69" t="s">
        <v>998</v>
      </c>
    </row>
    <row r="1286">
      <c r="A1286" s="66">
        <v>42695.0</v>
      </c>
      <c r="B1286" s="69" t="s">
        <v>999</v>
      </c>
    </row>
    <row r="1287">
      <c r="A1287" s="66">
        <v>42696.0</v>
      </c>
      <c r="B1287" s="69" t="s">
        <v>1000</v>
      </c>
    </row>
    <row r="1288">
      <c r="A1288" s="66">
        <v>42697.0</v>
      </c>
      <c r="B1288" s="69" t="s">
        <v>1001</v>
      </c>
    </row>
    <row r="1289">
      <c r="A1289" s="66">
        <v>42703.0</v>
      </c>
      <c r="B1289" s="69" t="s">
        <v>997</v>
      </c>
    </row>
    <row r="1290">
      <c r="A1290" s="66">
        <v>42704.0</v>
      </c>
      <c r="B1290" s="69" t="s">
        <v>1002</v>
      </c>
    </row>
    <row r="1291">
      <c r="A1291" s="66">
        <v>42705.0</v>
      </c>
      <c r="B1291" s="69" t="s">
        <v>1003</v>
      </c>
    </row>
    <row r="1292">
      <c r="A1292" s="66">
        <v>42706.0</v>
      </c>
      <c r="B1292" s="69" t="s">
        <v>1004</v>
      </c>
    </row>
    <row r="1293">
      <c r="A1293" s="66">
        <v>42709.0</v>
      </c>
      <c r="B1293" s="69" t="s">
        <v>1005</v>
      </c>
    </row>
    <row r="1294">
      <c r="A1294" s="66">
        <v>42710.0</v>
      </c>
      <c r="B1294" s="69" t="s">
        <v>1006</v>
      </c>
    </row>
    <row r="1295">
      <c r="A1295" s="66">
        <v>42711.0</v>
      </c>
      <c r="B1295" s="69" t="s">
        <v>1007</v>
      </c>
    </row>
    <row r="1296">
      <c r="A1296" s="66">
        <v>42716.0</v>
      </c>
      <c r="B1296" s="69" t="s">
        <v>1006</v>
      </c>
    </row>
    <row r="1297">
      <c r="A1297" s="66">
        <v>42717.0</v>
      </c>
      <c r="B1297" s="69" t="s">
        <v>1008</v>
      </c>
    </row>
    <row r="1298">
      <c r="A1298" s="66">
        <v>42718.0</v>
      </c>
      <c r="B1298" s="69" t="s">
        <v>1009</v>
      </c>
    </row>
    <row r="1299">
      <c r="A1299" s="66">
        <v>42719.0</v>
      </c>
      <c r="B1299" s="69" t="s">
        <v>1010</v>
      </c>
    </row>
    <row r="1300">
      <c r="A1300" s="66">
        <v>42720.0</v>
      </c>
      <c r="B1300" s="69" t="s">
        <v>1011</v>
      </c>
    </row>
    <row r="1301">
      <c r="A1301" s="66">
        <v>42723.0</v>
      </c>
      <c r="B1301" s="69" t="s">
        <v>1009</v>
      </c>
    </row>
    <row r="1302">
      <c r="A1302" s="66">
        <v>42724.0</v>
      </c>
      <c r="B1302" s="69" t="s">
        <v>1007</v>
      </c>
    </row>
    <row r="1303">
      <c r="A1303" s="66">
        <v>42725.0</v>
      </c>
      <c r="B1303" s="69" t="s">
        <v>1003</v>
      </c>
    </row>
    <row r="1304">
      <c r="A1304" s="66">
        <v>42726.0</v>
      </c>
      <c r="B1304" s="69" t="s">
        <v>1012</v>
      </c>
    </row>
    <row r="1305">
      <c r="A1305" s="66">
        <v>42727.0</v>
      </c>
      <c r="B1305" s="69" t="s">
        <v>1013</v>
      </c>
    </row>
    <row r="1306">
      <c r="A1306" s="66">
        <v>42731.0</v>
      </c>
      <c r="B1306" s="69" t="s">
        <v>1014</v>
      </c>
    </row>
    <row r="1307">
      <c r="A1307" s="66">
        <v>42732.0</v>
      </c>
      <c r="B1307" s="69" t="s">
        <v>1015</v>
      </c>
    </row>
    <row r="1308">
      <c r="A1308" s="66">
        <v>42733.0</v>
      </c>
      <c r="B1308" s="69" t="s">
        <v>1013</v>
      </c>
    </row>
    <row r="1309">
      <c r="A1309" s="66">
        <v>42738.0</v>
      </c>
      <c r="B1309" s="69" t="s">
        <v>1009</v>
      </c>
    </row>
    <row r="1310">
      <c r="A1310" s="66">
        <v>42739.0</v>
      </c>
      <c r="B1310" s="69" t="s">
        <v>1005</v>
      </c>
    </row>
    <row r="1311">
      <c r="A1311" s="66">
        <v>42740.0</v>
      </c>
      <c r="B1311" s="69" t="s">
        <v>937</v>
      </c>
    </row>
    <row r="1312">
      <c r="A1312" s="66">
        <v>42741.0</v>
      </c>
      <c r="B1312" s="69" t="s">
        <v>1010</v>
      </c>
    </row>
    <row r="1313">
      <c r="A1313" s="66">
        <v>42744.0</v>
      </c>
      <c r="B1313" s="69" t="s">
        <v>1016</v>
      </c>
    </row>
    <row r="1314">
      <c r="A1314" s="66">
        <v>42745.0</v>
      </c>
      <c r="B1314" s="69" t="s">
        <v>1017</v>
      </c>
    </row>
    <row r="1315">
      <c r="A1315" s="66">
        <v>42746.0</v>
      </c>
      <c r="B1315" s="69" t="s">
        <v>1018</v>
      </c>
    </row>
    <row r="1316">
      <c r="A1316" s="66">
        <v>42747.0</v>
      </c>
      <c r="B1316" s="69" t="s">
        <v>1019</v>
      </c>
    </row>
    <row r="1317">
      <c r="A1317" s="66">
        <v>42748.0</v>
      </c>
      <c r="B1317" s="69" t="s">
        <v>1020</v>
      </c>
    </row>
    <row r="1318">
      <c r="A1318" s="66">
        <v>42752.0</v>
      </c>
      <c r="B1318" s="69" t="s">
        <v>1021</v>
      </c>
    </row>
    <row r="1319">
      <c r="A1319" s="66">
        <v>42753.0</v>
      </c>
      <c r="B1319" s="69" t="s">
        <v>1005</v>
      </c>
    </row>
    <row r="1320">
      <c r="A1320" s="66">
        <v>42754.0</v>
      </c>
      <c r="B1320" s="69" t="s">
        <v>1017</v>
      </c>
    </row>
    <row r="1321">
      <c r="A1321" s="66">
        <v>42755.0</v>
      </c>
      <c r="B1321" s="69" t="s">
        <v>1003</v>
      </c>
    </row>
    <row r="1322">
      <c r="A1322" s="66">
        <v>42758.0</v>
      </c>
      <c r="B1322" s="69" t="s">
        <v>1022</v>
      </c>
    </row>
    <row r="1323">
      <c r="A1323" s="66">
        <v>42759.0</v>
      </c>
      <c r="B1323" s="69" t="s">
        <v>1023</v>
      </c>
    </row>
    <row r="1324">
      <c r="A1324" s="66">
        <v>42760.0</v>
      </c>
      <c r="B1324" s="69" t="s">
        <v>1003</v>
      </c>
    </row>
    <row r="1325">
      <c r="A1325" s="66">
        <v>42761.0</v>
      </c>
      <c r="B1325" s="69" t="s">
        <v>1017</v>
      </c>
    </row>
    <row r="1326">
      <c r="A1326" s="66">
        <v>42762.0</v>
      </c>
      <c r="B1326" s="69" t="s">
        <v>1017</v>
      </c>
    </row>
    <row r="1327">
      <c r="A1327" s="66">
        <v>42765.0</v>
      </c>
      <c r="B1327" s="69" t="s">
        <v>1012</v>
      </c>
    </row>
    <row r="1328">
      <c r="A1328" s="66">
        <v>42766.0</v>
      </c>
      <c r="B1328" s="69" t="s">
        <v>1012</v>
      </c>
    </row>
    <row r="1329">
      <c r="A1329" s="66">
        <v>42767.0</v>
      </c>
      <c r="B1329" s="69" t="s">
        <v>1003</v>
      </c>
    </row>
    <row r="1330">
      <c r="A1330" s="66">
        <v>42768.0</v>
      </c>
      <c r="B1330" s="69" t="s">
        <v>1024</v>
      </c>
    </row>
    <row r="1331">
      <c r="A1331" s="66">
        <v>42769.0</v>
      </c>
      <c r="B1331" s="69" t="s">
        <v>1020</v>
      </c>
    </row>
    <row r="1332">
      <c r="A1332" s="66">
        <v>42772.0</v>
      </c>
      <c r="B1332" s="69" t="s">
        <v>1015</v>
      </c>
    </row>
    <row r="1333">
      <c r="A1333" s="66">
        <v>42773.0</v>
      </c>
      <c r="B1333" s="69" t="s">
        <v>1002</v>
      </c>
    </row>
    <row r="1334">
      <c r="A1334" s="66">
        <v>42774.0</v>
      </c>
      <c r="B1334" s="69" t="s">
        <v>1025</v>
      </c>
    </row>
    <row r="1335">
      <c r="A1335" s="66">
        <v>42775.0</v>
      </c>
      <c r="B1335" s="69" t="s">
        <v>1015</v>
      </c>
    </row>
    <row r="1336">
      <c r="A1336" s="66">
        <v>42776.0</v>
      </c>
      <c r="B1336" s="69" t="s">
        <v>1026</v>
      </c>
    </row>
    <row r="1337">
      <c r="A1337" s="66">
        <v>42779.0</v>
      </c>
      <c r="B1337" s="69" t="s">
        <v>999</v>
      </c>
    </row>
    <row r="1338">
      <c r="A1338" s="66">
        <v>42780.0</v>
      </c>
      <c r="B1338" s="69" t="s">
        <v>935</v>
      </c>
    </row>
    <row r="1339">
      <c r="A1339" s="66">
        <v>42781.0</v>
      </c>
      <c r="B1339" s="69" t="s">
        <v>1027</v>
      </c>
    </row>
    <row r="1340">
      <c r="A1340" s="66">
        <v>42782.0</v>
      </c>
      <c r="B1340" s="69" t="s">
        <v>941</v>
      </c>
    </row>
    <row r="1341">
      <c r="A1341" s="66">
        <v>42783.0</v>
      </c>
      <c r="B1341" s="69" t="s">
        <v>939</v>
      </c>
    </row>
    <row r="1342">
      <c r="A1342" s="66">
        <v>42787.0</v>
      </c>
      <c r="B1342" s="69" t="s">
        <v>1015</v>
      </c>
    </row>
    <row r="1343">
      <c r="A1343" s="66">
        <v>42788.0</v>
      </c>
      <c r="B1343" s="69" t="s">
        <v>1028</v>
      </c>
    </row>
    <row r="1344">
      <c r="A1344" s="66">
        <v>42789.0</v>
      </c>
      <c r="B1344" s="69" t="s">
        <v>1028</v>
      </c>
    </row>
    <row r="1345">
      <c r="A1345" s="66">
        <v>42790.0</v>
      </c>
      <c r="B1345" s="69" t="s">
        <v>998</v>
      </c>
    </row>
    <row r="1346">
      <c r="A1346" s="66">
        <v>42795.0</v>
      </c>
      <c r="B1346" s="69" t="s">
        <v>1029</v>
      </c>
    </row>
    <row r="1347">
      <c r="A1347" s="66">
        <v>42796.0</v>
      </c>
      <c r="B1347" s="69" t="s">
        <v>1000</v>
      </c>
    </row>
    <row r="1348">
      <c r="A1348" s="66">
        <v>42797.0</v>
      </c>
      <c r="B1348" s="69" t="s">
        <v>1000</v>
      </c>
    </row>
    <row r="1349">
      <c r="A1349" s="66">
        <v>42800.0</v>
      </c>
      <c r="B1349" s="69" t="s">
        <v>1001</v>
      </c>
    </row>
    <row r="1350">
      <c r="A1350" s="66">
        <v>42801.0</v>
      </c>
      <c r="B1350" s="69" t="s">
        <v>1000</v>
      </c>
    </row>
    <row r="1351">
      <c r="A1351" s="66">
        <v>42802.0</v>
      </c>
      <c r="B1351" s="69" t="s">
        <v>1030</v>
      </c>
    </row>
    <row r="1352">
      <c r="A1352" s="66">
        <v>42803.0</v>
      </c>
      <c r="B1352" s="69" t="s">
        <v>1031</v>
      </c>
    </row>
    <row r="1353">
      <c r="A1353" s="66">
        <v>42804.0</v>
      </c>
      <c r="B1353" s="69" t="s">
        <v>998</v>
      </c>
    </row>
    <row r="1354">
      <c r="A1354" s="66">
        <v>42807.0</v>
      </c>
      <c r="B1354" s="69" t="s">
        <v>935</v>
      </c>
    </row>
    <row r="1355">
      <c r="A1355" s="66">
        <v>42808.0</v>
      </c>
      <c r="B1355" s="69" t="s">
        <v>1000</v>
      </c>
    </row>
    <row r="1356">
      <c r="A1356" s="66">
        <v>42809.0</v>
      </c>
      <c r="B1356" s="69" t="s">
        <v>1027</v>
      </c>
    </row>
    <row r="1357">
      <c r="A1357" s="66">
        <v>42810.0</v>
      </c>
      <c r="B1357" s="69" t="s">
        <v>1026</v>
      </c>
    </row>
    <row r="1358">
      <c r="A1358" s="66">
        <v>42811.0</v>
      </c>
      <c r="B1358" s="69" t="s">
        <v>1029</v>
      </c>
    </row>
    <row r="1359">
      <c r="A1359" s="66">
        <v>42814.0</v>
      </c>
      <c r="B1359" s="69" t="s">
        <v>935</v>
      </c>
    </row>
    <row r="1360">
      <c r="A1360" s="66">
        <v>42815.0</v>
      </c>
      <c r="B1360" s="69" t="s">
        <v>1032</v>
      </c>
    </row>
    <row r="1361">
      <c r="A1361" s="66">
        <v>42816.0</v>
      </c>
      <c r="B1361" s="69" t="s">
        <v>1026</v>
      </c>
    </row>
    <row r="1362">
      <c r="A1362" s="66">
        <v>42817.0</v>
      </c>
      <c r="B1362" s="69" t="s">
        <v>998</v>
      </c>
    </row>
    <row r="1363">
      <c r="A1363" s="66">
        <v>42821.0</v>
      </c>
      <c r="B1363" s="69" t="s">
        <v>996</v>
      </c>
    </row>
    <row r="1364">
      <c r="A1364" s="66">
        <v>42822.0</v>
      </c>
      <c r="B1364" s="69" t="s">
        <v>1026</v>
      </c>
    </row>
    <row r="1365">
      <c r="A1365" s="66">
        <v>42823.0</v>
      </c>
      <c r="B1365" s="69" t="s">
        <v>1029</v>
      </c>
    </row>
    <row r="1366">
      <c r="A1366" s="66">
        <v>42824.0</v>
      </c>
      <c r="B1366" s="69" t="s">
        <v>1033</v>
      </c>
    </row>
    <row r="1367">
      <c r="A1367" s="66">
        <v>42825.0</v>
      </c>
      <c r="B1367" s="69" t="s">
        <v>939</v>
      </c>
    </row>
    <row r="1368">
      <c r="A1368" s="66">
        <v>42828.0</v>
      </c>
      <c r="B1368" s="69" t="s">
        <v>1034</v>
      </c>
    </row>
    <row r="1369">
      <c r="A1369" s="66">
        <v>42829.0</v>
      </c>
      <c r="B1369" s="69" t="s">
        <v>939</v>
      </c>
    </row>
    <row r="1370">
      <c r="A1370" s="66">
        <v>42830.0</v>
      </c>
      <c r="B1370" s="69" t="s">
        <v>939</v>
      </c>
    </row>
    <row r="1371">
      <c r="A1371" s="66">
        <v>42831.0</v>
      </c>
      <c r="B1371" s="69" t="s">
        <v>941</v>
      </c>
    </row>
    <row r="1372">
      <c r="A1372" s="66">
        <v>42832.0</v>
      </c>
      <c r="B1372" s="69" t="s">
        <v>1034</v>
      </c>
    </row>
    <row r="1373">
      <c r="A1373" s="66">
        <v>42835.0</v>
      </c>
      <c r="B1373" s="69" t="s">
        <v>940</v>
      </c>
    </row>
    <row r="1374">
      <c r="A1374" s="66">
        <v>42836.0</v>
      </c>
      <c r="B1374" s="69" t="s">
        <v>1035</v>
      </c>
    </row>
    <row r="1375">
      <c r="A1375" s="66">
        <v>42837.0</v>
      </c>
      <c r="B1375" s="69" t="s">
        <v>941</v>
      </c>
    </row>
    <row r="1376">
      <c r="A1376" s="66">
        <v>42842.0</v>
      </c>
      <c r="B1376" s="69" t="s">
        <v>941</v>
      </c>
    </row>
    <row r="1377">
      <c r="A1377" s="66">
        <v>42843.0</v>
      </c>
      <c r="B1377" s="69" t="s">
        <v>941</v>
      </c>
    </row>
    <row r="1378">
      <c r="A1378" s="66">
        <v>42844.0</v>
      </c>
      <c r="B1378" s="69" t="s">
        <v>997</v>
      </c>
    </row>
    <row r="1379">
      <c r="A1379" s="66">
        <v>42845.0</v>
      </c>
      <c r="B1379" s="69" t="s">
        <v>938</v>
      </c>
    </row>
    <row r="1380">
      <c r="A1380" s="66">
        <v>42846.0</v>
      </c>
      <c r="B1380" s="69" t="s">
        <v>994</v>
      </c>
    </row>
    <row r="1381">
      <c r="A1381" s="66">
        <v>42849.0</v>
      </c>
      <c r="B1381" s="69" t="s">
        <v>1000</v>
      </c>
    </row>
    <row r="1382">
      <c r="A1382" s="66">
        <v>42850.0</v>
      </c>
      <c r="B1382" s="69" t="s">
        <v>994</v>
      </c>
    </row>
    <row r="1383">
      <c r="A1383" s="66">
        <v>42851.0</v>
      </c>
      <c r="B1383" s="69" t="s">
        <v>1035</v>
      </c>
    </row>
    <row r="1384">
      <c r="A1384" s="66">
        <v>42852.0</v>
      </c>
      <c r="B1384" s="69" t="s">
        <v>1034</v>
      </c>
    </row>
    <row r="1385">
      <c r="A1385" s="66">
        <v>42853.0</v>
      </c>
      <c r="B1385" s="69" t="s">
        <v>941</v>
      </c>
    </row>
    <row r="1386">
      <c r="A1386" s="66">
        <v>42857.0</v>
      </c>
      <c r="B1386" s="69" t="s">
        <v>934</v>
      </c>
    </row>
    <row r="1387">
      <c r="A1387" s="66">
        <v>42858.0</v>
      </c>
      <c r="B1387" s="69" t="s">
        <v>931</v>
      </c>
    </row>
    <row r="1388">
      <c r="A1388" s="66">
        <v>42859.0</v>
      </c>
      <c r="B1388" s="69" t="s">
        <v>910</v>
      </c>
    </row>
    <row r="1389">
      <c r="A1389" s="66">
        <v>42860.0</v>
      </c>
      <c r="B1389" s="69" t="s">
        <v>988</v>
      </c>
    </row>
    <row r="1390">
      <c r="A1390" s="66">
        <v>42863.0</v>
      </c>
      <c r="B1390" s="69" t="s">
        <v>943</v>
      </c>
    </row>
    <row r="1391">
      <c r="A1391" s="66">
        <v>42864.0</v>
      </c>
      <c r="B1391" s="69" t="s">
        <v>940</v>
      </c>
    </row>
    <row r="1392">
      <c r="A1392" s="66">
        <v>42865.0</v>
      </c>
      <c r="B1392" s="69" t="s">
        <v>1027</v>
      </c>
    </row>
    <row r="1393">
      <c r="A1393" s="66">
        <v>42866.0</v>
      </c>
      <c r="B1393" s="69" t="s">
        <v>1033</v>
      </c>
    </row>
    <row r="1394">
      <c r="A1394" s="66">
        <v>42867.0</v>
      </c>
      <c r="B1394" s="69" t="s">
        <v>1033</v>
      </c>
    </row>
    <row r="1395">
      <c r="A1395" s="66">
        <v>42870.0</v>
      </c>
      <c r="B1395" s="69" t="s">
        <v>1000</v>
      </c>
    </row>
    <row r="1396">
      <c r="A1396" s="66">
        <v>42871.0</v>
      </c>
      <c r="B1396" s="69" t="s">
        <v>1029</v>
      </c>
    </row>
    <row r="1397">
      <c r="A1397" s="66">
        <v>42872.0</v>
      </c>
      <c r="B1397" s="69" t="s">
        <v>1026</v>
      </c>
    </row>
    <row r="1398">
      <c r="A1398" s="66">
        <v>42873.0</v>
      </c>
      <c r="B1398" s="69" t="s">
        <v>1032</v>
      </c>
    </row>
    <row r="1399">
      <c r="A1399" s="66">
        <v>42874.0</v>
      </c>
      <c r="B1399" s="69" t="s">
        <v>936</v>
      </c>
    </row>
    <row r="1400">
      <c r="A1400" s="66">
        <v>42877.0</v>
      </c>
      <c r="B1400" s="69" t="s">
        <v>1021</v>
      </c>
    </row>
    <row r="1401">
      <c r="A1401" s="66">
        <v>42878.0</v>
      </c>
      <c r="B1401" s="69" t="s">
        <v>1036</v>
      </c>
    </row>
    <row r="1402">
      <c r="A1402" s="66">
        <v>42879.0</v>
      </c>
      <c r="B1402" s="69" t="s">
        <v>1037</v>
      </c>
    </row>
    <row r="1403">
      <c r="A1403" s="66">
        <v>42881.0</v>
      </c>
      <c r="B1403" s="69" t="s">
        <v>1038</v>
      </c>
    </row>
    <row r="1404">
      <c r="A1404" s="66">
        <v>42885.0</v>
      </c>
      <c r="B1404" s="69" t="s">
        <v>1009</v>
      </c>
    </row>
    <row r="1405">
      <c r="A1405" s="66">
        <v>42886.0</v>
      </c>
      <c r="B1405" s="69" t="s">
        <v>1038</v>
      </c>
    </row>
    <row r="1406">
      <c r="A1406" s="66">
        <v>42887.0</v>
      </c>
      <c r="B1406" s="69" t="s">
        <v>1037</v>
      </c>
    </row>
    <row r="1407">
      <c r="A1407" s="66">
        <v>42888.0</v>
      </c>
      <c r="B1407" s="69" t="s">
        <v>1039</v>
      </c>
    </row>
    <row r="1408">
      <c r="A1408" s="66">
        <v>42891.0</v>
      </c>
      <c r="B1408" s="69" t="s">
        <v>1040</v>
      </c>
    </row>
    <row r="1409">
      <c r="A1409" s="66">
        <v>42892.0</v>
      </c>
      <c r="B1409" s="69" t="s">
        <v>1040</v>
      </c>
    </row>
    <row r="1410">
      <c r="A1410" s="66">
        <v>42893.0</v>
      </c>
      <c r="B1410" s="69" t="s">
        <v>1041</v>
      </c>
    </row>
    <row r="1411">
      <c r="A1411" s="66">
        <v>42894.0</v>
      </c>
      <c r="B1411" s="69" t="s">
        <v>1039</v>
      </c>
    </row>
    <row r="1412">
      <c r="A1412" s="66">
        <v>42895.0</v>
      </c>
      <c r="B1412" s="69" t="s">
        <v>1022</v>
      </c>
    </row>
    <row r="1413">
      <c r="A1413" s="66">
        <v>42898.0</v>
      </c>
      <c r="B1413" s="69" t="s">
        <v>936</v>
      </c>
    </row>
    <row r="1414">
      <c r="A1414" s="66">
        <v>42899.0</v>
      </c>
      <c r="B1414" s="69" t="s">
        <v>936</v>
      </c>
    </row>
    <row r="1415">
      <c r="A1415" s="66">
        <v>42900.0</v>
      </c>
      <c r="B1415" s="69" t="s">
        <v>1013</v>
      </c>
    </row>
    <row r="1416">
      <c r="A1416" s="66">
        <v>42901.0</v>
      </c>
      <c r="B1416" s="69" t="s">
        <v>1042</v>
      </c>
    </row>
    <row r="1417">
      <c r="A1417" s="66">
        <v>42902.0</v>
      </c>
      <c r="B1417" s="69" t="s">
        <v>1017</v>
      </c>
    </row>
    <row r="1418">
      <c r="A1418" s="66">
        <v>42905.0</v>
      </c>
      <c r="B1418" s="69" t="s">
        <v>1006</v>
      </c>
    </row>
    <row r="1419">
      <c r="A1419" s="66">
        <v>42907.0</v>
      </c>
      <c r="B1419" s="69" t="s">
        <v>1043</v>
      </c>
    </row>
    <row r="1420">
      <c r="A1420" s="66">
        <v>42908.0</v>
      </c>
      <c r="B1420" s="69" t="s">
        <v>1044</v>
      </c>
    </row>
    <row r="1421">
      <c r="A1421" s="66">
        <v>42909.0</v>
      </c>
      <c r="B1421" s="69" t="s">
        <v>1041</v>
      </c>
    </row>
    <row r="1422">
      <c r="A1422" s="66">
        <v>42912.0</v>
      </c>
      <c r="B1422" s="69" t="s">
        <v>1045</v>
      </c>
    </row>
    <row r="1423">
      <c r="A1423" s="66">
        <v>42913.0</v>
      </c>
      <c r="B1423" s="69" t="s">
        <v>1046</v>
      </c>
    </row>
    <row r="1424">
      <c r="A1424" s="66">
        <v>42914.0</v>
      </c>
      <c r="B1424" s="69" t="s">
        <v>1047</v>
      </c>
    </row>
    <row r="1425">
      <c r="A1425" s="66">
        <v>42915.0</v>
      </c>
      <c r="B1425" s="69" t="s">
        <v>1048</v>
      </c>
    </row>
    <row r="1426">
      <c r="A1426" s="66">
        <v>42916.0</v>
      </c>
      <c r="B1426" s="69" t="s">
        <v>1049</v>
      </c>
    </row>
    <row r="1427">
      <c r="A1427" s="66">
        <v>42919.0</v>
      </c>
      <c r="B1427" s="69" t="s">
        <v>1050</v>
      </c>
    </row>
    <row r="1428">
      <c r="A1428" s="66">
        <v>42921.0</v>
      </c>
      <c r="B1428" s="69" t="s">
        <v>1051</v>
      </c>
    </row>
    <row r="1429">
      <c r="A1429" s="66">
        <v>42922.0</v>
      </c>
      <c r="B1429" s="69" t="s">
        <v>1052</v>
      </c>
    </row>
    <row r="1430">
      <c r="A1430" s="66">
        <v>42923.0</v>
      </c>
      <c r="B1430" s="69" t="s">
        <v>1053</v>
      </c>
    </row>
    <row r="1431">
      <c r="A1431" s="66">
        <v>42926.0</v>
      </c>
      <c r="B1431" s="69" t="s">
        <v>1054</v>
      </c>
    </row>
    <row r="1432">
      <c r="A1432" s="66">
        <v>42927.0</v>
      </c>
      <c r="B1432" s="69" t="s">
        <v>1055</v>
      </c>
    </row>
    <row r="1433">
      <c r="A1433" s="66">
        <v>42928.0</v>
      </c>
      <c r="B1433" s="69" t="s">
        <v>1056</v>
      </c>
    </row>
    <row r="1434">
      <c r="A1434" s="66">
        <v>42929.0</v>
      </c>
      <c r="B1434" s="69" t="s">
        <v>1057</v>
      </c>
    </row>
    <row r="1435">
      <c r="A1435" s="66">
        <v>42930.0</v>
      </c>
      <c r="B1435" s="69" t="s">
        <v>1052</v>
      </c>
    </row>
    <row r="1436">
      <c r="A1436" s="66">
        <v>42933.0</v>
      </c>
      <c r="B1436" s="69" t="s">
        <v>1053</v>
      </c>
    </row>
    <row r="1437">
      <c r="A1437" s="66">
        <v>42934.0</v>
      </c>
      <c r="B1437" s="69" t="s">
        <v>1058</v>
      </c>
    </row>
    <row r="1438">
      <c r="A1438" s="66">
        <v>42935.0</v>
      </c>
      <c r="B1438" s="69" t="s">
        <v>1059</v>
      </c>
    </row>
    <row r="1439">
      <c r="A1439" s="66">
        <v>42936.0</v>
      </c>
      <c r="B1439" s="69" t="s">
        <v>1060</v>
      </c>
    </row>
    <row r="1440">
      <c r="A1440" s="66">
        <v>42937.0</v>
      </c>
      <c r="B1440" s="69" t="s">
        <v>1061</v>
      </c>
    </row>
    <row r="1441">
      <c r="A1441" s="66">
        <v>42940.0</v>
      </c>
      <c r="B1441" s="69" t="s">
        <v>1062</v>
      </c>
    </row>
    <row r="1442">
      <c r="A1442" s="66">
        <v>42941.0</v>
      </c>
      <c r="B1442" s="69" t="s">
        <v>1063</v>
      </c>
    </row>
    <row r="1443">
      <c r="A1443" s="66">
        <v>42942.0</v>
      </c>
      <c r="B1443" s="69" t="s">
        <v>1064</v>
      </c>
    </row>
    <row r="1444">
      <c r="A1444" s="66">
        <v>42943.0</v>
      </c>
      <c r="B1444" s="69" t="s">
        <v>1065</v>
      </c>
    </row>
    <row r="1445">
      <c r="A1445" s="66">
        <v>42944.0</v>
      </c>
      <c r="B1445" s="69" t="s">
        <v>1066</v>
      </c>
    </row>
    <row r="1446">
      <c r="A1446" s="66">
        <v>42947.0</v>
      </c>
      <c r="B1446" s="69" t="s">
        <v>1067</v>
      </c>
    </row>
    <row r="1447">
      <c r="A1447" s="66">
        <v>42948.0</v>
      </c>
      <c r="B1447" s="69" t="s">
        <v>1068</v>
      </c>
    </row>
    <row r="1448">
      <c r="A1448" s="66">
        <v>42949.0</v>
      </c>
      <c r="B1448" s="69" t="s">
        <v>1068</v>
      </c>
    </row>
    <row r="1449">
      <c r="A1449" s="66">
        <v>42950.0</v>
      </c>
      <c r="B1449" s="69" t="s">
        <v>1069</v>
      </c>
    </row>
    <row r="1450">
      <c r="A1450" s="66">
        <v>42951.0</v>
      </c>
      <c r="B1450" s="69" t="s">
        <v>1068</v>
      </c>
    </row>
    <row r="1451">
      <c r="A1451" s="66">
        <v>42954.0</v>
      </c>
      <c r="B1451" s="69" t="s">
        <v>1070</v>
      </c>
    </row>
    <row r="1452">
      <c r="A1452" s="66">
        <v>42955.0</v>
      </c>
      <c r="B1452" s="69" t="s">
        <v>1071</v>
      </c>
    </row>
    <row r="1453">
      <c r="A1453" s="66">
        <v>42956.0</v>
      </c>
      <c r="B1453" s="69" t="s">
        <v>1072</v>
      </c>
    </row>
    <row r="1454">
      <c r="A1454" s="66">
        <v>42957.0</v>
      </c>
      <c r="B1454" s="69" t="s">
        <v>1066</v>
      </c>
    </row>
    <row r="1455">
      <c r="A1455" s="66">
        <v>42958.0</v>
      </c>
      <c r="B1455" s="69" t="s">
        <v>1073</v>
      </c>
    </row>
    <row r="1456">
      <c r="A1456" s="66">
        <v>42961.0</v>
      </c>
      <c r="B1456" s="69" t="s">
        <v>1074</v>
      </c>
    </row>
    <row r="1457">
      <c r="A1457" s="66">
        <v>42962.0</v>
      </c>
      <c r="B1457" s="69" t="s">
        <v>1059</v>
      </c>
    </row>
    <row r="1458">
      <c r="A1458" s="66">
        <v>42963.0</v>
      </c>
      <c r="B1458" s="69" t="s">
        <v>1075</v>
      </c>
    </row>
    <row r="1459">
      <c r="A1459" s="66">
        <v>42964.0</v>
      </c>
      <c r="B1459" s="69" t="s">
        <v>1076</v>
      </c>
    </row>
    <row r="1460">
      <c r="A1460" s="66">
        <v>42965.0</v>
      </c>
      <c r="B1460" s="69" t="s">
        <v>1077</v>
      </c>
    </row>
    <row r="1461">
      <c r="A1461" s="66">
        <v>42969.0</v>
      </c>
      <c r="B1461" s="69" t="s">
        <v>1078</v>
      </c>
    </row>
    <row r="1462">
      <c r="A1462" s="66">
        <v>42970.0</v>
      </c>
      <c r="B1462" s="69" t="s">
        <v>1079</v>
      </c>
    </row>
    <row r="1463">
      <c r="A1463" s="66">
        <v>42971.0</v>
      </c>
      <c r="B1463" s="69" t="s">
        <v>1080</v>
      </c>
    </row>
    <row r="1464">
      <c r="A1464" s="66">
        <v>42972.0</v>
      </c>
      <c r="B1464" s="69" t="s">
        <v>1081</v>
      </c>
    </row>
    <row r="1465">
      <c r="A1465" s="66">
        <v>42975.0</v>
      </c>
      <c r="B1465" s="69" t="s">
        <v>1081</v>
      </c>
    </row>
    <row r="1466">
      <c r="A1466" s="66">
        <v>42976.0</v>
      </c>
      <c r="B1466" s="69" t="s">
        <v>1079</v>
      </c>
    </row>
    <row r="1467">
      <c r="A1467" s="66">
        <v>42977.0</v>
      </c>
      <c r="B1467" s="69" t="s">
        <v>1082</v>
      </c>
    </row>
    <row r="1468">
      <c r="A1468" s="66">
        <v>42978.0</v>
      </c>
      <c r="B1468" s="69" t="s">
        <v>1083</v>
      </c>
    </row>
    <row r="1469">
      <c r="A1469" s="66">
        <v>42979.0</v>
      </c>
      <c r="B1469" s="69" t="s">
        <v>1084</v>
      </c>
    </row>
    <row r="1470">
      <c r="A1470" s="66">
        <v>42983.0</v>
      </c>
      <c r="B1470" s="69" t="s">
        <v>1061</v>
      </c>
    </row>
    <row r="1471">
      <c r="A1471" s="66">
        <v>42984.0</v>
      </c>
      <c r="B1471" s="69" t="s">
        <v>1085</v>
      </c>
    </row>
    <row r="1472">
      <c r="A1472" s="66">
        <v>42985.0</v>
      </c>
      <c r="B1472" s="69" t="s">
        <v>1086</v>
      </c>
    </row>
    <row r="1473">
      <c r="A1473" s="66">
        <v>42986.0</v>
      </c>
      <c r="B1473" s="69" t="s">
        <v>1079</v>
      </c>
    </row>
    <row r="1474">
      <c r="A1474" s="66">
        <v>42989.0</v>
      </c>
      <c r="B1474" s="69" t="s">
        <v>1060</v>
      </c>
    </row>
    <row r="1475">
      <c r="A1475" s="66">
        <v>42990.0</v>
      </c>
      <c r="B1475" s="69" t="s">
        <v>1087</v>
      </c>
    </row>
    <row r="1476">
      <c r="A1476" s="66">
        <v>42991.0</v>
      </c>
      <c r="B1476" s="69" t="s">
        <v>1088</v>
      </c>
    </row>
    <row r="1477">
      <c r="A1477" s="66">
        <v>42992.0</v>
      </c>
      <c r="B1477" s="69" t="s">
        <v>1075</v>
      </c>
    </row>
    <row r="1478">
      <c r="A1478" s="66">
        <v>42993.0</v>
      </c>
      <c r="B1478" s="69" t="s">
        <v>1055</v>
      </c>
    </row>
    <row r="1479">
      <c r="A1479" s="66">
        <v>42996.0</v>
      </c>
      <c r="B1479" s="69" t="s">
        <v>1089</v>
      </c>
    </row>
    <row r="1480">
      <c r="A1480" s="66">
        <v>42997.0</v>
      </c>
      <c r="B1480" s="69" t="s">
        <v>1090</v>
      </c>
    </row>
    <row r="1481">
      <c r="A1481" s="66">
        <v>42998.0</v>
      </c>
      <c r="B1481" s="69" t="s">
        <v>1090</v>
      </c>
    </row>
    <row r="1482">
      <c r="A1482" s="66">
        <v>42999.0</v>
      </c>
      <c r="B1482" s="69" t="s">
        <v>1076</v>
      </c>
    </row>
    <row r="1483">
      <c r="A1483" s="66">
        <v>43000.0</v>
      </c>
      <c r="B1483" s="69" t="s">
        <v>1091</v>
      </c>
    </row>
    <row r="1484">
      <c r="A1484" s="66">
        <v>43003.0</v>
      </c>
      <c r="B1484" s="69" t="s">
        <v>1082</v>
      </c>
    </row>
    <row r="1485">
      <c r="A1485" s="66">
        <v>43004.0</v>
      </c>
      <c r="B1485" s="69" t="s">
        <v>1062</v>
      </c>
    </row>
    <row r="1486">
      <c r="A1486" s="66">
        <v>43005.0</v>
      </c>
      <c r="B1486" s="69" t="s">
        <v>1092</v>
      </c>
    </row>
    <row r="1487">
      <c r="A1487" s="66">
        <v>43006.0</v>
      </c>
      <c r="B1487" s="69" t="s">
        <v>1093</v>
      </c>
    </row>
    <row r="1488">
      <c r="A1488" s="66">
        <v>43007.0</v>
      </c>
      <c r="B1488" s="69" t="s">
        <v>1094</v>
      </c>
    </row>
    <row r="1489">
      <c r="A1489" s="66">
        <v>43010.0</v>
      </c>
      <c r="B1489" s="69" t="s">
        <v>1095</v>
      </c>
    </row>
    <row r="1490">
      <c r="A1490" s="66">
        <v>43011.0</v>
      </c>
      <c r="B1490" s="69" t="s">
        <v>1096</v>
      </c>
    </row>
    <row r="1491">
      <c r="A1491" s="66">
        <v>43012.0</v>
      </c>
      <c r="B1491" s="69" t="s">
        <v>1097</v>
      </c>
    </row>
    <row r="1492">
      <c r="A1492" s="66">
        <v>43013.0</v>
      </c>
      <c r="B1492" s="69" t="s">
        <v>1098</v>
      </c>
    </row>
    <row r="1493">
      <c r="A1493" s="66">
        <v>43014.0</v>
      </c>
      <c r="B1493" s="69" t="s">
        <v>1098</v>
      </c>
    </row>
    <row r="1494">
      <c r="A1494" s="66">
        <v>43017.0</v>
      </c>
      <c r="B1494" s="69" t="s">
        <v>1083</v>
      </c>
    </row>
    <row r="1495">
      <c r="A1495" s="66">
        <v>43018.0</v>
      </c>
      <c r="B1495" s="69" t="s">
        <v>1062</v>
      </c>
    </row>
    <row r="1496">
      <c r="A1496" s="66">
        <v>43019.0</v>
      </c>
      <c r="B1496" s="69" t="s">
        <v>1099</v>
      </c>
    </row>
    <row r="1497">
      <c r="A1497" s="66">
        <v>43020.0</v>
      </c>
      <c r="B1497" s="69" t="s">
        <v>1065</v>
      </c>
    </row>
    <row r="1498">
      <c r="A1498" s="66">
        <v>43021.0</v>
      </c>
      <c r="B1498" s="69" t="s">
        <v>1099</v>
      </c>
    </row>
    <row r="1499">
      <c r="A1499" s="66">
        <v>43025.0</v>
      </c>
      <c r="B1499" s="69" t="s">
        <v>1062</v>
      </c>
    </row>
    <row r="1500">
      <c r="A1500" s="66">
        <v>43026.0</v>
      </c>
      <c r="B1500" s="69" t="s">
        <v>1100</v>
      </c>
    </row>
    <row r="1501">
      <c r="A1501" s="66">
        <v>43027.0</v>
      </c>
      <c r="B1501" s="69" t="s">
        <v>1101</v>
      </c>
    </row>
    <row r="1502">
      <c r="A1502" s="66">
        <v>43028.0</v>
      </c>
      <c r="B1502" s="69" t="s">
        <v>1096</v>
      </c>
    </row>
    <row r="1503">
      <c r="A1503" s="66">
        <v>43031.0</v>
      </c>
      <c r="B1503" s="69" t="s">
        <v>1100</v>
      </c>
    </row>
    <row r="1504">
      <c r="A1504" s="66">
        <v>43032.0</v>
      </c>
      <c r="B1504" s="69" t="s">
        <v>1100</v>
      </c>
    </row>
    <row r="1505">
      <c r="A1505" s="66">
        <v>43033.0</v>
      </c>
      <c r="B1505" s="69" t="s">
        <v>1102</v>
      </c>
    </row>
    <row r="1506">
      <c r="A1506" s="66">
        <v>43034.0</v>
      </c>
      <c r="B1506" s="69" t="s">
        <v>1096</v>
      </c>
    </row>
    <row r="1507">
      <c r="A1507" s="66">
        <v>43035.0</v>
      </c>
      <c r="B1507" s="69" t="s">
        <v>1103</v>
      </c>
    </row>
    <row r="1508">
      <c r="A1508" s="66">
        <v>43038.0</v>
      </c>
      <c r="B1508" s="69" t="s">
        <v>1104</v>
      </c>
    </row>
    <row r="1509">
      <c r="A1509" s="66">
        <v>43039.0</v>
      </c>
      <c r="B1509" s="69" t="s">
        <v>1103</v>
      </c>
    </row>
    <row r="1510">
      <c r="A1510" s="66">
        <v>43040.0</v>
      </c>
      <c r="B1510" s="69" t="s">
        <v>1105</v>
      </c>
    </row>
    <row r="1511">
      <c r="A1511" s="66">
        <v>43041.0</v>
      </c>
      <c r="B1511" s="69" t="s">
        <v>1094</v>
      </c>
    </row>
    <row r="1512">
      <c r="A1512" s="66">
        <v>43042.0</v>
      </c>
      <c r="B1512" s="69" t="s">
        <v>1106</v>
      </c>
    </row>
    <row r="1513">
      <c r="A1513" s="66">
        <v>43046.0</v>
      </c>
      <c r="B1513" s="69" t="s">
        <v>1107</v>
      </c>
    </row>
    <row r="1514">
      <c r="A1514" s="66">
        <v>43047.0</v>
      </c>
      <c r="B1514" s="69" t="s">
        <v>1094</v>
      </c>
    </row>
    <row r="1515">
      <c r="A1515" s="66">
        <v>43048.0</v>
      </c>
      <c r="B1515" s="69" t="s">
        <v>1097</v>
      </c>
    </row>
    <row r="1516">
      <c r="A1516" s="66">
        <v>43049.0</v>
      </c>
      <c r="B1516" s="69" t="s">
        <v>1100</v>
      </c>
    </row>
    <row r="1517">
      <c r="A1517" s="66">
        <v>43052.0</v>
      </c>
      <c r="B1517" s="69" t="s">
        <v>1084</v>
      </c>
    </row>
    <row r="1518">
      <c r="A1518" s="66">
        <v>43053.0</v>
      </c>
      <c r="B1518" s="69" t="s">
        <v>1065</v>
      </c>
    </row>
    <row r="1519">
      <c r="A1519" s="66">
        <v>43054.0</v>
      </c>
      <c r="B1519" s="69" t="s">
        <v>1099</v>
      </c>
    </row>
    <row r="1520">
      <c r="A1520" s="66">
        <v>43055.0</v>
      </c>
      <c r="B1520" s="69" t="s">
        <v>1093</v>
      </c>
    </row>
    <row r="1521">
      <c r="A1521" s="66">
        <v>43056.0</v>
      </c>
      <c r="B1521" s="69" t="s">
        <v>1108</v>
      </c>
    </row>
    <row r="1522">
      <c r="A1522" s="66">
        <v>43060.0</v>
      </c>
      <c r="B1522" s="69" t="s">
        <v>1069</v>
      </c>
    </row>
    <row r="1523">
      <c r="A1523" s="66">
        <v>43061.0</v>
      </c>
      <c r="B1523" s="69" t="s">
        <v>1093</v>
      </c>
    </row>
    <row r="1524">
      <c r="A1524" s="66">
        <v>43063.0</v>
      </c>
      <c r="B1524" s="69" t="s">
        <v>1109</v>
      </c>
    </row>
    <row r="1525">
      <c r="A1525" s="66">
        <v>43066.0</v>
      </c>
      <c r="B1525" s="69" t="s">
        <v>1083</v>
      </c>
    </row>
    <row r="1526">
      <c r="A1526" s="66">
        <v>43067.0</v>
      </c>
      <c r="B1526" s="69" t="s">
        <v>1098</v>
      </c>
    </row>
    <row r="1527">
      <c r="A1527" s="66">
        <v>43068.0</v>
      </c>
      <c r="B1527" s="69" t="s">
        <v>1110</v>
      </c>
    </row>
    <row r="1528">
      <c r="A1528" s="66">
        <v>43069.0</v>
      </c>
      <c r="B1528" s="69" t="s">
        <v>1110</v>
      </c>
    </row>
    <row r="1529">
      <c r="A1529" s="66">
        <v>43070.0</v>
      </c>
      <c r="B1529" s="69" t="s">
        <v>1111</v>
      </c>
    </row>
    <row r="1530">
      <c r="A1530" s="66">
        <v>43073.0</v>
      </c>
      <c r="B1530" s="69" t="s">
        <v>1112</v>
      </c>
    </row>
    <row r="1531">
      <c r="A1531" s="66">
        <v>43074.0</v>
      </c>
      <c r="B1531" s="69" t="s">
        <v>1080</v>
      </c>
    </row>
    <row r="1532">
      <c r="A1532" s="66">
        <v>43075.0</v>
      </c>
      <c r="B1532" s="69" t="s">
        <v>1085</v>
      </c>
    </row>
    <row r="1533">
      <c r="A1533" s="66">
        <v>43076.0</v>
      </c>
      <c r="B1533" s="69" t="s">
        <v>1113</v>
      </c>
    </row>
    <row r="1534">
      <c r="A1534" s="66">
        <v>43080.0</v>
      </c>
      <c r="B1534" s="69" t="s">
        <v>1061</v>
      </c>
    </row>
    <row r="1535">
      <c r="A1535" s="66">
        <v>43081.0</v>
      </c>
      <c r="B1535" s="69" t="s">
        <v>1112</v>
      </c>
    </row>
    <row r="1536">
      <c r="A1536" s="66">
        <v>43082.0</v>
      </c>
      <c r="B1536" s="69" t="s">
        <v>1112</v>
      </c>
    </row>
    <row r="1537">
      <c r="A1537" s="66">
        <v>43083.0</v>
      </c>
      <c r="B1537" s="69" t="s">
        <v>1101</v>
      </c>
    </row>
    <row r="1538">
      <c r="A1538" s="66">
        <v>43084.0</v>
      </c>
      <c r="B1538" s="69" t="s">
        <v>1106</v>
      </c>
    </row>
    <row r="1539">
      <c r="A1539" s="66">
        <v>43087.0</v>
      </c>
      <c r="B1539" s="69" t="s">
        <v>1068</v>
      </c>
    </row>
    <row r="1540">
      <c r="A1540" s="66">
        <v>43088.0</v>
      </c>
      <c r="B1540" s="69" t="s">
        <v>1114</v>
      </c>
    </row>
    <row r="1541">
      <c r="A1541" s="66">
        <v>43089.0</v>
      </c>
      <c r="B1541" s="69" t="s">
        <v>1115</v>
      </c>
    </row>
    <row r="1542">
      <c r="A1542" s="66">
        <v>43090.0</v>
      </c>
      <c r="B1542" s="69" t="s">
        <v>1073</v>
      </c>
    </row>
    <row r="1543">
      <c r="A1543" s="66">
        <v>43091.0</v>
      </c>
      <c r="B1543" s="69" t="s">
        <v>1116</v>
      </c>
    </row>
    <row r="1544">
      <c r="A1544" s="66">
        <v>43095.0</v>
      </c>
      <c r="B1544" s="69" t="s">
        <v>1117</v>
      </c>
    </row>
    <row r="1545">
      <c r="A1545" s="66">
        <v>43096.0</v>
      </c>
      <c r="B1545" s="69" t="s">
        <v>1118</v>
      </c>
    </row>
    <row r="1546">
      <c r="A1546" s="66">
        <v>43097.0</v>
      </c>
      <c r="B1546" s="69" t="s">
        <v>1119</v>
      </c>
    </row>
    <row r="1547">
      <c r="A1547" s="66">
        <v>43098.0</v>
      </c>
      <c r="B1547" s="69" t="s">
        <v>1120</v>
      </c>
    </row>
    <row r="1548">
      <c r="A1548" s="66">
        <v>43102.0</v>
      </c>
      <c r="B1548" s="69" t="s">
        <v>1121</v>
      </c>
    </row>
    <row r="1549">
      <c r="A1549" s="66">
        <v>43103.0</v>
      </c>
      <c r="B1549" s="69" t="s">
        <v>1119</v>
      </c>
    </row>
    <row r="1550">
      <c r="A1550" s="66">
        <v>43104.0</v>
      </c>
      <c r="B1550" s="69" t="s">
        <v>1122</v>
      </c>
    </row>
    <row r="1551">
      <c r="A1551" s="66">
        <v>43105.0</v>
      </c>
      <c r="B1551" s="69" t="s">
        <v>1123</v>
      </c>
    </row>
    <row r="1552">
      <c r="A1552" s="66">
        <v>43108.0</v>
      </c>
      <c r="B1552" s="69" t="s">
        <v>1124</v>
      </c>
    </row>
    <row r="1553">
      <c r="A1553" s="66">
        <v>43109.0</v>
      </c>
      <c r="B1553" s="69" t="s">
        <v>1125</v>
      </c>
    </row>
    <row r="1554">
      <c r="A1554" s="66">
        <v>43110.0</v>
      </c>
      <c r="B1554" s="69" t="s">
        <v>1126</v>
      </c>
    </row>
    <row r="1555">
      <c r="A1555" s="66">
        <v>43111.0</v>
      </c>
      <c r="B1555" s="69" t="s">
        <v>1127</v>
      </c>
    </row>
    <row r="1556">
      <c r="A1556" s="66">
        <v>43112.0</v>
      </c>
      <c r="B1556" s="69" t="s">
        <v>1128</v>
      </c>
    </row>
    <row r="1557">
      <c r="A1557" s="66">
        <v>43116.0</v>
      </c>
      <c r="B1557" s="69" t="s">
        <v>1129</v>
      </c>
    </row>
    <row r="1558">
      <c r="A1558" s="66">
        <v>43117.0</v>
      </c>
      <c r="B1558" s="69" t="s">
        <v>1130</v>
      </c>
    </row>
    <row r="1559">
      <c r="A1559" s="66">
        <v>43118.0</v>
      </c>
      <c r="B1559" s="69" t="s">
        <v>1131</v>
      </c>
    </row>
    <row r="1560">
      <c r="A1560" s="66">
        <v>43119.0</v>
      </c>
      <c r="B1560" s="69" t="s">
        <v>1132</v>
      </c>
    </row>
    <row r="1561">
      <c r="A1561" s="66">
        <v>43122.0</v>
      </c>
      <c r="B1561" s="69" t="s">
        <v>1133</v>
      </c>
    </row>
    <row r="1562">
      <c r="A1562" s="66">
        <v>43123.0</v>
      </c>
      <c r="B1562" s="69" t="s">
        <v>1134</v>
      </c>
    </row>
    <row r="1563">
      <c r="A1563" s="66">
        <v>43124.0</v>
      </c>
      <c r="B1563" s="69" t="s">
        <v>1135</v>
      </c>
    </row>
    <row r="1564">
      <c r="A1564" s="66">
        <v>43125.0</v>
      </c>
      <c r="B1564" s="69" t="s">
        <v>1136</v>
      </c>
    </row>
    <row r="1565">
      <c r="A1565" s="66">
        <v>43126.0</v>
      </c>
      <c r="B1565" s="69" t="s">
        <v>1136</v>
      </c>
    </row>
    <row r="1566">
      <c r="A1566" s="66">
        <v>43129.0</v>
      </c>
      <c r="B1566" s="69" t="s">
        <v>1137</v>
      </c>
    </row>
    <row r="1567">
      <c r="A1567" s="66">
        <v>43130.0</v>
      </c>
      <c r="B1567" s="69" t="s">
        <v>1137</v>
      </c>
    </row>
    <row r="1568">
      <c r="A1568" s="66">
        <v>43131.0</v>
      </c>
      <c r="B1568" s="69" t="s">
        <v>1138</v>
      </c>
    </row>
    <row r="1569">
      <c r="A1569" s="66">
        <v>43132.0</v>
      </c>
      <c r="B1569" s="69" t="s">
        <v>1139</v>
      </c>
    </row>
    <row r="1570">
      <c r="A1570" s="66">
        <v>43133.0</v>
      </c>
      <c r="B1570" s="69" t="s">
        <v>1140</v>
      </c>
    </row>
    <row r="1571">
      <c r="A1571" s="66">
        <v>43136.0</v>
      </c>
      <c r="B1571" s="69" t="s">
        <v>1141</v>
      </c>
    </row>
    <row r="1572">
      <c r="A1572" s="66">
        <v>43137.0</v>
      </c>
      <c r="B1572" s="69" t="s">
        <v>1142</v>
      </c>
    </row>
    <row r="1573">
      <c r="A1573" s="66">
        <v>43138.0</v>
      </c>
      <c r="B1573" s="69" t="s">
        <v>1143</v>
      </c>
    </row>
    <row r="1574">
      <c r="A1574" s="66">
        <v>43139.0</v>
      </c>
      <c r="B1574" s="69" t="s">
        <v>1139</v>
      </c>
    </row>
    <row r="1575">
      <c r="A1575" s="66">
        <v>43140.0</v>
      </c>
      <c r="B1575" s="69" t="s">
        <v>1144</v>
      </c>
    </row>
    <row r="1576">
      <c r="A1576" s="66">
        <v>43145.0</v>
      </c>
      <c r="B1576" s="69" t="s">
        <v>1145</v>
      </c>
    </row>
    <row r="1577">
      <c r="A1577" s="66">
        <v>43146.0</v>
      </c>
      <c r="B1577" s="69" t="s">
        <v>1146</v>
      </c>
    </row>
    <row r="1578">
      <c r="A1578" s="66">
        <v>43147.0</v>
      </c>
      <c r="B1578" s="69" t="s">
        <v>1145</v>
      </c>
    </row>
    <row r="1579">
      <c r="A1579" s="66">
        <v>43151.0</v>
      </c>
      <c r="B1579" s="69" t="s">
        <v>1147</v>
      </c>
    </row>
    <row r="1580">
      <c r="A1580" s="66">
        <v>43152.0</v>
      </c>
      <c r="B1580" s="69" t="s">
        <v>1148</v>
      </c>
    </row>
    <row r="1581">
      <c r="A1581" s="66">
        <v>43153.0</v>
      </c>
      <c r="B1581" s="69" t="s">
        <v>1149</v>
      </c>
    </row>
    <row r="1582">
      <c r="A1582" s="66">
        <v>43154.0</v>
      </c>
      <c r="B1582" s="69" t="s">
        <v>1150</v>
      </c>
    </row>
    <row r="1583">
      <c r="A1583" s="66">
        <v>43157.0</v>
      </c>
      <c r="B1583" s="69" t="s">
        <v>1145</v>
      </c>
    </row>
    <row r="1584">
      <c r="A1584" s="66">
        <v>43158.0</v>
      </c>
      <c r="B1584" s="69" t="s">
        <v>1151</v>
      </c>
    </row>
    <row r="1585">
      <c r="A1585" s="66">
        <v>43159.0</v>
      </c>
      <c r="B1585" s="69" t="s">
        <v>1152</v>
      </c>
    </row>
    <row r="1586">
      <c r="A1586" s="66">
        <v>43160.0</v>
      </c>
      <c r="B1586" s="69" t="s">
        <v>1153</v>
      </c>
    </row>
    <row r="1587">
      <c r="A1587" s="66">
        <v>43161.0</v>
      </c>
      <c r="B1587" s="69" t="s">
        <v>1154</v>
      </c>
    </row>
    <row r="1588">
      <c r="A1588" s="66">
        <v>43164.0</v>
      </c>
      <c r="B1588" s="69" t="s">
        <v>1155</v>
      </c>
    </row>
    <row r="1589">
      <c r="A1589" s="66">
        <v>43165.0</v>
      </c>
      <c r="B1589" s="69" t="s">
        <v>1156</v>
      </c>
    </row>
    <row r="1590">
      <c r="A1590" s="66">
        <v>43166.0</v>
      </c>
      <c r="B1590" s="69" t="s">
        <v>1157</v>
      </c>
    </row>
    <row r="1591">
      <c r="A1591" s="66">
        <v>43167.0</v>
      </c>
      <c r="B1591" s="69" t="s">
        <v>1158</v>
      </c>
    </row>
    <row r="1592">
      <c r="A1592" s="66">
        <v>43168.0</v>
      </c>
      <c r="B1592" s="69" t="s">
        <v>1159</v>
      </c>
    </row>
    <row r="1593">
      <c r="A1593" s="66">
        <v>43171.0</v>
      </c>
      <c r="B1593" s="69" t="s">
        <v>1151</v>
      </c>
    </row>
    <row r="1594">
      <c r="A1594" s="66">
        <v>43172.0</v>
      </c>
      <c r="B1594" s="69" t="s">
        <v>1160</v>
      </c>
    </row>
    <row r="1595">
      <c r="A1595" s="66">
        <v>43173.0</v>
      </c>
      <c r="B1595" s="69" t="s">
        <v>1161</v>
      </c>
    </row>
    <row r="1596">
      <c r="A1596" s="66">
        <v>43174.0</v>
      </c>
      <c r="B1596" s="69" t="s">
        <v>1162</v>
      </c>
    </row>
    <row r="1597">
      <c r="A1597" s="66">
        <v>43175.0</v>
      </c>
      <c r="B1597" s="69" t="s">
        <v>1160</v>
      </c>
    </row>
    <row r="1598">
      <c r="A1598" s="66">
        <v>43178.0</v>
      </c>
      <c r="B1598" s="69" t="s">
        <v>1163</v>
      </c>
    </row>
    <row r="1599">
      <c r="A1599" s="66">
        <v>43179.0</v>
      </c>
      <c r="B1599" s="69" t="s">
        <v>1164</v>
      </c>
    </row>
    <row r="1600">
      <c r="A1600" s="66">
        <v>43180.0</v>
      </c>
      <c r="B1600" s="69" t="s">
        <v>1165</v>
      </c>
    </row>
    <row r="1601">
      <c r="A1601" s="66">
        <v>43181.0</v>
      </c>
      <c r="B1601" s="69" t="s">
        <v>1160</v>
      </c>
    </row>
    <row r="1602">
      <c r="A1602" s="66">
        <v>43182.0</v>
      </c>
      <c r="B1602" s="69" t="s">
        <v>1166</v>
      </c>
    </row>
    <row r="1603">
      <c r="A1603" s="66">
        <v>43185.0</v>
      </c>
      <c r="B1603" s="69" t="s">
        <v>1160</v>
      </c>
    </row>
    <row r="1604">
      <c r="A1604" s="66">
        <v>43186.0</v>
      </c>
      <c r="B1604" s="69" t="s">
        <v>1167</v>
      </c>
    </row>
    <row r="1605">
      <c r="A1605" s="66">
        <v>43187.0</v>
      </c>
      <c r="B1605" s="69" t="s">
        <v>1146</v>
      </c>
    </row>
    <row r="1606">
      <c r="A1606" s="66">
        <v>43193.0</v>
      </c>
      <c r="B1606" s="69" t="s">
        <v>1168</v>
      </c>
    </row>
    <row r="1607">
      <c r="A1607" s="66">
        <v>43194.0</v>
      </c>
      <c r="B1607" s="69" t="s">
        <v>1169</v>
      </c>
    </row>
    <row r="1608">
      <c r="A1608" s="66">
        <v>43195.0</v>
      </c>
      <c r="B1608" s="69" t="s">
        <v>1170</v>
      </c>
    </row>
    <row r="1609">
      <c r="A1609" s="66">
        <v>43196.0</v>
      </c>
      <c r="B1609" s="69" t="s">
        <v>1162</v>
      </c>
    </row>
    <row r="1610">
      <c r="A1610" s="66">
        <v>43199.0</v>
      </c>
      <c r="B1610" s="69" t="s">
        <v>1161</v>
      </c>
    </row>
    <row r="1611">
      <c r="A1611" s="66">
        <v>43200.0</v>
      </c>
      <c r="B1611" s="69" t="s">
        <v>1166</v>
      </c>
    </row>
    <row r="1612">
      <c r="A1612" s="66">
        <v>43201.0</v>
      </c>
      <c r="B1612" s="69" t="s">
        <v>1168</v>
      </c>
    </row>
    <row r="1613">
      <c r="A1613" s="66">
        <v>43202.0</v>
      </c>
      <c r="B1613" s="69" t="s">
        <v>1167</v>
      </c>
    </row>
    <row r="1614">
      <c r="A1614" s="66">
        <v>43203.0</v>
      </c>
      <c r="B1614" s="69" t="s">
        <v>1167</v>
      </c>
    </row>
    <row r="1615">
      <c r="A1615" s="66">
        <v>43206.0</v>
      </c>
      <c r="B1615" s="69" t="s">
        <v>1170</v>
      </c>
    </row>
    <row r="1616">
      <c r="A1616" s="66">
        <v>43207.0</v>
      </c>
      <c r="B1616" s="69" t="s">
        <v>1169</v>
      </c>
    </row>
    <row r="1617">
      <c r="A1617" s="66">
        <v>43208.0</v>
      </c>
      <c r="B1617" s="69" t="s">
        <v>1167</v>
      </c>
    </row>
    <row r="1618">
      <c r="A1618" s="66">
        <v>43209.0</v>
      </c>
      <c r="B1618" s="69" t="s">
        <v>1171</v>
      </c>
    </row>
    <row r="1619">
      <c r="A1619" s="66">
        <v>43210.0</v>
      </c>
      <c r="B1619" s="69" t="s">
        <v>1163</v>
      </c>
    </row>
    <row r="1620">
      <c r="A1620" s="66">
        <v>43213.0</v>
      </c>
      <c r="B1620" s="69" t="s">
        <v>1172</v>
      </c>
    </row>
    <row r="1621">
      <c r="A1621" s="66">
        <v>43214.0</v>
      </c>
      <c r="B1621" s="69" t="s">
        <v>1173</v>
      </c>
    </row>
    <row r="1622">
      <c r="A1622" s="66">
        <v>43215.0</v>
      </c>
      <c r="B1622" s="69" t="s">
        <v>1163</v>
      </c>
    </row>
    <row r="1623">
      <c r="A1623" s="66">
        <v>43216.0</v>
      </c>
      <c r="B1623" s="69" t="s">
        <v>1162</v>
      </c>
    </row>
    <row r="1624">
      <c r="A1624" s="66">
        <v>43217.0</v>
      </c>
      <c r="B1624" s="69" t="s">
        <v>1174</v>
      </c>
    </row>
    <row r="1625">
      <c r="A1625" s="66">
        <v>43222.0</v>
      </c>
      <c r="B1625" s="69" t="s">
        <v>1175</v>
      </c>
    </row>
    <row r="1626">
      <c r="A1626" s="66">
        <v>43223.0</v>
      </c>
      <c r="B1626" s="69" t="s">
        <v>1176</v>
      </c>
    </row>
    <row r="1627">
      <c r="A1627" s="66">
        <v>43224.0</v>
      </c>
      <c r="B1627" s="69" t="s">
        <v>1177</v>
      </c>
    </row>
    <row r="1628">
      <c r="A1628" s="66">
        <v>43227.0</v>
      </c>
      <c r="B1628" s="69" t="s">
        <v>1178</v>
      </c>
    </row>
    <row r="1629">
      <c r="A1629" s="66">
        <v>43228.0</v>
      </c>
      <c r="B1629" s="69" t="s">
        <v>1179</v>
      </c>
    </row>
    <row r="1630">
      <c r="A1630" s="66">
        <v>43229.0</v>
      </c>
      <c r="B1630" s="69" t="s">
        <v>1179</v>
      </c>
    </row>
    <row r="1631">
      <c r="A1631" s="66">
        <v>43230.0</v>
      </c>
      <c r="B1631" s="69" t="s">
        <v>1180</v>
      </c>
    </row>
    <row r="1632">
      <c r="A1632" s="66">
        <v>43231.0</v>
      </c>
      <c r="B1632" s="69" t="s">
        <v>1181</v>
      </c>
    </row>
    <row r="1633">
      <c r="A1633" s="66">
        <v>43234.0</v>
      </c>
      <c r="B1633" s="69" t="s">
        <v>1182</v>
      </c>
    </row>
    <row r="1634">
      <c r="A1634" s="66">
        <v>43235.0</v>
      </c>
      <c r="B1634" s="69" t="s">
        <v>1183</v>
      </c>
    </row>
    <row r="1635">
      <c r="A1635" s="66">
        <v>43236.0</v>
      </c>
      <c r="B1635" s="69" t="s">
        <v>1184</v>
      </c>
    </row>
    <row r="1636">
      <c r="A1636" s="66">
        <v>43237.0</v>
      </c>
      <c r="B1636" s="69" t="s">
        <v>1185</v>
      </c>
    </row>
    <row r="1637">
      <c r="A1637" s="66">
        <v>43238.0</v>
      </c>
      <c r="B1637" s="69" t="s">
        <v>1185</v>
      </c>
    </row>
    <row r="1638">
      <c r="A1638" s="66">
        <v>43241.0</v>
      </c>
      <c r="B1638" s="69" t="s">
        <v>1185</v>
      </c>
    </row>
    <row r="1639">
      <c r="A1639" s="66">
        <v>43242.0</v>
      </c>
      <c r="B1639" s="69" t="s">
        <v>1186</v>
      </c>
    </row>
    <row r="1640">
      <c r="A1640" s="66">
        <v>43243.0</v>
      </c>
      <c r="B1640" s="69" t="s">
        <v>1187</v>
      </c>
    </row>
    <row r="1641">
      <c r="A1641" s="66">
        <v>43244.0</v>
      </c>
      <c r="B1641" s="69" t="s">
        <v>1188</v>
      </c>
    </row>
    <row r="1642">
      <c r="A1642" s="66">
        <v>43249.0</v>
      </c>
      <c r="B1642" s="69" t="s">
        <v>1189</v>
      </c>
    </row>
    <row r="1643">
      <c r="A1643" s="66">
        <v>43250.0</v>
      </c>
      <c r="B1643" s="69" t="s">
        <v>1190</v>
      </c>
    </row>
    <row r="1644">
      <c r="A1644" s="66">
        <v>43251.0</v>
      </c>
      <c r="B1644" s="69" t="s">
        <v>1191</v>
      </c>
    </row>
    <row r="1645">
      <c r="A1645" s="66">
        <v>43252.0</v>
      </c>
      <c r="B1645" s="69" t="s">
        <v>1192</v>
      </c>
    </row>
    <row r="1646">
      <c r="A1646" s="66">
        <v>43255.0</v>
      </c>
      <c r="B1646" s="69" t="s">
        <v>1193</v>
      </c>
    </row>
    <row r="1647">
      <c r="A1647" s="66">
        <v>43256.0</v>
      </c>
      <c r="B1647" s="69" t="s">
        <v>1194</v>
      </c>
    </row>
    <row r="1648">
      <c r="A1648" s="66">
        <v>43257.0</v>
      </c>
      <c r="B1648" s="69" t="s">
        <v>1195</v>
      </c>
    </row>
    <row r="1649">
      <c r="A1649" s="66">
        <v>43258.0</v>
      </c>
      <c r="B1649" s="69" t="s">
        <v>1196</v>
      </c>
    </row>
    <row r="1650">
      <c r="A1650" s="66">
        <v>43259.0</v>
      </c>
      <c r="B1650" s="69" t="s">
        <v>1197</v>
      </c>
    </row>
    <row r="1651">
      <c r="A1651" s="66">
        <v>43262.0</v>
      </c>
      <c r="B1651" s="69" t="s">
        <v>1198</v>
      </c>
    </row>
    <row r="1652">
      <c r="A1652" s="66">
        <v>43263.0</v>
      </c>
      <c r="B1652" s="69" t="s">
        <v>1199</v>
      </c>
    </row>
    <row r="1653">
      <c r="A1653" s="66">
        <v>43264.0</v>
      </c>
      <c r="B1653" s="69" t="s">
        <v>1200</v>
      </c>
    </row>
    <row r="1654">
      <c r="A1654" s="66">
        <v>43265.0</v>
      </c>
      <c r="B1654" s="69" t="s">
        <v>1201</v>
      </c>
    </row>
    <row r="1655">
      <c r="A1655" s="66">
        <v>43266.0</v>
      </c>
      <c r="B1655" s="69" t="s">
        <v>1202</v>
      </c>
    </row>
    <row r="1656">
      <c r="A1656" s="66">
        <v>43269.0</v>
      </c>
      <c r="B1656" s="69" t="s">
        <v>1203</v>
      </c>
    </row>
    <row r="1657">
      <c r="A1657" s="66">
        <v>43270.0</v>
      </c>
      <c r="B1657" s="69" t="s">
        <v>1204</v>
      </c>
    </row>
    <row r="1658">
      <c r="A1658" s="66">
        <v>43272.0</v>
      </c>
      <c r="B1658" s="69" t="s">
        <v>1205</v>
      </c>
    </row>
    <row r="1659">
      <c r="A1659" s="66">
        <v>43273.0</v>
      </c>
      <c r="B1659" s="69" t="s">
        <v>1206</v>
      </c>
    </row>
    <row r="1660">
      <c r="A1660" s="66">
        <v>43276.0</v>
      </c>
      <c r="B1660" s="69" t="s">
        <v>1207</v>
      </c>
    </row>
    <row r="1661">
      <c r="A1661" s="66">
        <v>43277.0</v>
      </c>
      <c r="B1661" s="69" t="s">
        <v>1208</v>
      </c>
    </row>
    <row r="1662">
      <c r="A1662" s="66">
        <v>43278.0</v>
      </c>
      <c r="B1662" s="69" t="s">
        <v>1209</v>
      </c>
    </row>
    <row r="1663">
      <c r="A1663" s="66">
        <v>43279.0</v>
      </c>
      <c r="B1663" s="69" t="s">
        <v>1209</v>
      </c>
    </row>
    <row r="1664">
      <c r="A1664" s="66">
        <v>43280.0</v>
      </c>
      <c r="B1664" s="69" t="s">
        <v>1205</v>
      </c>
    </row>
    <row r="1665">
      <c r="A1665" s="66">
        <v>43283.0</v>
      </c>
      <c r="B1665" s="69" t="s">
        <v>1210</v>
      </c>
    </row>
    <row r="1666">
      <c r="A1666" s="66">
        <v>43284.0</v>
      </c>
      <c r="B1666" s="69" t="s">
        <v>1211</v>
      </c>
    </row>
    <row r="1667">
      <c r="A1667" s="66">
        <v>43286.0</v>
      </c>
      <c r="B1667" s="69" t="s">
        <v>1212</v>
      </c>
    </row>
    <row r="1668">
      <c r="A1668" s="66">
        <v>43287.0</v>
      </c>
      <c r="B1668" s="69" t="s">
        <v>1213</v>
      </c>
    </row>
    <row r="1669">
      <c r="A1669" s="66">
        <v>43291.0</v>
      </c>
      <c r="B1669" s="69" t="s">
        <v>1214</v>
      </c>
    </row>
    <row r="1670">
      <c r="A1670" s="66">
        <v>43292.0</v>
      </c>
      <c r="B1670" s="69" t="s">
        <v>1209</v>
      </c>
    </row>
    <row r="1671">
      <c r="A1671" s="66">
        <v>43293.0</v>
      </c>
      <c r="B1671" s="69" t="s">
        <v>1215</v>
      </c>
    </row>
    <row r="1672">
      <c r="A1672" s="66">
        <v>43294.0</v>
      </c>
      <c r="B1672" s="69" t="s">
        <v>1216</v>
      </c>
    </row>
    <row r="1673">
      <c r="A1673" s="66">
        <v>43297.0</v>
      </c>
      <c r="B1673" s="69" t="s">
        <v>1216</v>
      </c>
    </row>
    <row r="1674">
      <c r="A1674" s="66">
        <v>43298.0</v>
      </c>
      <c r="B1674" s="69" t="s">
        <v>1217</v>
      </c>
    </row>
    <row r="1675">
      <c r="A1675" s="66">
        <v>43299.0</v>
      </c>
      <c r="B1675" s="69" t="s">
        <v>1218</v>
      </c>
    </row>
    <row r="1676">
      <c r="A1676" s="66">
        <v>43300.0</v>
      </c>
      <c r="B1676" s="69" t="s">
        <v>1219</v>
      </c>
    </row>
    <row r="1677">
      <c r="A1677" s="66">
        <v>43301.0</v>
      </c>
      <c r="B1677" s="69" t="s">
        <v>1220</v>
      </c>
    </row>
    <row r="1678">
      <c r="A1678" s="66">
        <v>43304.0</v>
      </c>
      <c r="B1678" s="69" t="s">
        <v>1221</v>
      </c>
    </row>
    <row r="1679">
      <c r="A1679" s="66">
        <v>43305.0</v>
      </c>
      <c r="B1679" s="69" t="s">
        <v>1222</v>
      </c>
    </row>
    <row r="1680">
      <c r="A1680" s="66">
        <v>43306.0</v>
      </c>
      <c r="B1680" s="69" t="s">
        <v>1223</v>
      </c>
    </row>
    <row r="1681">
      <c r="A1681" s="66">
        <v>43307.0</v>
      </c>
      <c r="B1681" s="69" t="s">
        <v>1224</v>
      </c>
    </row>
    <row r="1682">
      <c r="A1682" s="66">
        <v>43308.0</v>
      </c>
      <c r="B1682" s="69" t="s">
        <v>1225</v>
      </c>
    </row>
    <row r="1683">
      <c r="A1683" s="66">
        <v>43311.0</v>
      </c>
      <c r="B1683" s="69" t="s">
        <v>1226</v>
      </c>
    </row>
    <row r="1684">
      <c r="A1684" s="66">
        <v>43312.0</v>
      </c>
      <c r="B1684" s="69" t="s">
        <v>1227</v>
      </c>
    </row>
    <row r="1685">
      <c r="A1685" s="66">
        <v>43313.0</v>
      </c>
      <c r="B1685" s="69" t="s">
        <v>1228</v>
      </c>
    </row>
    <row r="1686">
      <c r="A1686" s="66">
        <v>43314.0</v>
      </c>
      <c r="B1686" s="69" t="s">
        <v>1229</v>
      </c>
    </row>
    <row r="1687">
      <c r="A1687" s="66">
        <v>43315.0</v>
      </c>
      <c r="B1687" s="69" t="s">
        <v>1215</v>
      </c>
    </row>
    <row r="1688">
      <c r="A1688" s="66">
        <v>43318.0</v>
      </c>
      <c r="B1688" s="69" t="s">
        <v>1230</v>
      </c>
    </row>
    <row r="1689">
      <c r="A1689" s="66">
        <v>43319.0</v>
      </c>
      <c r="B1689" s="69" t="s">
        <v>1217</v>
      </c>
    </row>
    <row r="1690">
      <c r="A1690" s="66">
        <v>43320.0</v>
      </c>
      <c r="B1690" s="69" t="s">
        <v>1216</v>
      </c>
    </row>
    <row r="1691">
      <c r="A1691" s="66">
        <v>43321.0</v>
      </c>
      <c r="B1691" s="69" t="s">
        <v>1231</v>
      </c>
    </row>
    <row r="1692">
      <c r="A1692" s="66">
        <v>43322.0</v>
      </c>
      <c r="B1692" s="69" t="s">
        <v>1232</v>
      </c>
    </row>
    <row r="1693">
      <c r="A1693" s="66">
        <v>43325.0</v>
      </c>
      <c r="B1693" s="69" t="s">
        <v>1233</v>
      </c>
    </row>
    <row r="1694">
      <c r="A1694" s="66">
        <v>43326.0</v>
      </c>
      <c r="B1694" s="69" t="s">
        <v>1234</v>
      </c>
    </row>
    <row r="1695">
      <c r="A1695" s="66">
        <v>43327.0</v>
      </c>
      <c r="B1695" s="69" t="s">
        <v>1235</v>
      </c>
    </row>
    <row r="1696">
      <c r="A1696" s="66">
        <v>43328.0</v>
      </c>
      <c r="B1696" s="69" t="s">
        <v>1236</v>
      </c>
    </row>
    <row r="1697">
      <c r="A1697" s="66">
        <v>43329.0</v>
      </c>
      <c r="B1697" s="69" t="s">
        <v>1237</v>
      </c>
    </row>
    <row r="1698">
      <c r="A1698" s="66">
        <v>43333.0</v>
      </c>
      <c r="B1698" s="69" t="s">
        <v>1238</v>
      </c>
    </row>
    <row r="1699">
      <c r="A1699" s="66">
        <v>43334.0</v>
      </c>
      <c r="B1699" s="69" t="s">
        <v>1239</v>
      </c>
    </row>
    <row r="1700">
      <c r="A1700" s="66">
        <v>43335.0</v>
      </c>
      <c r="B1700" s="69" t="s">
        <v>1240</v>
      </c>
    </row>
    <row r="1701">
      <c r="A1701" s="66">
        <v>43336.0</v>
      </c>
      <c r="B1701" s="69" t="s">
        <v>1241</v>
      </c>
    </row>
    <row r="1702">
      <c r="A1702" s="66">
        <v>43339.0</v>
      </c>
      <c r="B1702" s="69" t="s">
        <v>1242</v>
      </c>
    </row>
    <row r="1703">
      <c r="A1703" s="66">
        <v>43340.0</v>
      </c>
      <c r="B1703" s="69" t="s">
        <v>1243</v>
      </c>
    </row>
    <row r="1704">
      <c r="A1704" s="66">
        <v>43341.0</v>
      </c>
      <c r="B1704" s="69" t="s">
        <v>1244</v>
      </c>
    </row>
    <row r="1705">
      <c r="A1705" s="66">
        <v>43342.0</v>
      </c>
      <c r="B1705" s="69" t="s">
        <v>1245</v>
      </c>
    </row>
    <row r="1706">
      <c r="A1706" s="66">
        <v>43343.0</v>
      </c>
      <c r="B1706" s="69" t="s">
        <v>1246</v>
      </c>
    </row>
    <row r="1707">
      <c r="A1707" s="66">
        <v>43347.0</v>
      </c>
      <c r="B1707" s="69" t="s">
        <v>1247</v>
      </c>
    </row>
    <row r="1708">
      <c r="A1708" s="66">
        <v>43348.0</v>
      </c>
      <c r="B1708" s="69" t="s">
        <v>1248</v>
      </c>
    </row>
    <row r="1709">
      <c r="A1709" s="66">
        <v>43349.0</v>
      </c>
      <c r="B1709" s="69" t="s">
        <v>1249</v>
      </c>
    </row>
    <row r="1710">
      <c r="A1710" s="66">
        <v>43350.0</v>
      </c>
      <c r="B1710" s="69" t="s">
        <v>1249</v>
      </c>
    </row>
    <row r="1711">
      <c r="A1711" s="66">
        <v>43353.0</v>
      </c>
      <c r="B1711" s="69" t="s">
        <v>1250</v>
      </c>
    </row>
    <row r="1712">
      <c r="A1712" s="66">
        <v>43354.0</v>
      </c>
      <c r="B1712" s="69" t="s">
        <v>1251</v>
      </c>
    </row>
    <row r="1713">
      <c r="A1713" s="66">
        <v>43355.0</v>
      </c>
      <c r="B1713" s="69" t="s">
        <v>1252</v>
      </c>
    </row>
    <row r="1714">
      <c r="A1714" s="66">
        <v>43356.0</v>
      </c>
      <c r="B1714" s="69" t="s">
        <v>1253</v>
      </c>
    </row>
    <row r="1715">
      <c r="A1715" s="66">
        <v>43357.0</v>
      </c>
      <c r="B1715" s="69" t="s">
        <v>1254</v>
      </c>
    </row>
    <row r="1716">
      <c r="A1716" s="66">
        <v>43360.0</v>
      </c>
      <c r="B1716" s="69" t="s">
        <v>1255</v>
      </c>
    </row>
    <row r="1717">
      <c r="A1717" s="66">
        <v>43361.0</v>
      </c>
      <c r="B1717" s="69" t="s">
        <v>1256</v>
      </c>
    </row>
    <row r="1718">
      <c r="A1718" s="66">
        <v>43362.0</v>
      </c>
      <c r="B1718" s="69" t="s">
        <v>1257</v>
      </c>
    </row>
    <row r="1719">
      <c r="A1719" s="66">
        <v>43363.0</v>
      </c>
      <c r="B1719" s="69" t="s">
        <v>1246</v>
      </c>
    </row>
    <row r="1720">
      <c r="A1720" s="66">
        <v>43364.0</v>
      </c>
      <c r="B1720" s="69" t="s">
        <v>1258</v>
      </c>
    </row>
    <row r="1721">
      <c r="A1721" s="66">
        <v>43367.0</v>
      </c>
      <c r="B1721" s="69" t="s">
        <v>1259</v>
      </c>
    </row>
    <row r="1722">
      <c r="A1722" s="66">
        <v>43368.0</v>
      </c>
      <c r="B1722" s="69" t="s">
        <v>1260</v>
      </c>
    </row>
    <row r="1723">
      <c r="A1723" s="66">
        <v>43369.0</v>
      </c>
      <c r="B1723" s="69" t="s">
        <v>1261</v>
      </c>
    </row>
    <row r="1724">
      <c r="A1724" s="66">
        <v>43370.0</v>
      </c>
      <c r="B1724" s="69" t="s">
        <v>1262</v>
      </c>
    </row>
    <row r="1725">
      <c r="A1725" s="66">
        <v>43371.0</v>
      </c>
      <c r="B1725" s="69" t="s">
        <v>1263</v>
      </c>
    </row>
    <row r="1726">
      <c r="A1726" s="66">
        <v>43374.0</v>
      </c>
      <c r="B1726" s="69" t="s">
        <v>1264</v>
      </c>
    </row>
    <row r="1727">
      <c r="A1727" s="66">
        <v>43375.0</v>
      </c>
      <c r="B1727" s="69" t="s">
        <v>1265</v>
      </c>
    </row>
    <row r="1728">
      <c r="A1728" s="66">
        <v>43376.0</v>
      </c>
      <c r="B1728" s="69" t="s">
        <v>1266</v>
      </c>
    </row>
    <row r="1729">
      <c r="A1729" s="66">
        <v>43377.0</v>
      </c>
      <c r="B1729" s="69" t="s">
        <v>1267</v>
      </c>
    </row>
    <row r="1730">
      <c r="A1730" s="66">
        <v>43381.0</v>
      </c>
      <c r="B1730" s="69" t="s">
        <v>1268</v>
      </c>
    </row>
    <row r="1731">
      <c r="A1731" s="66">
        <v>43382.0</v>
      </c>
      <c r="B1731" s="69" t="s">
        <v>1269</v>
      </c>
    </row>
    <row r="1732">
      <c r="A1732" s="66">
        <v>43383.0</v>
      </c>
      <c r="B1732" s="69" t="s">
        <v>1270</v>
      </c>
    </row>
    <row r="1733">
      <c r="A1733" s="66">
        <v>43384.0</v>
      </c>
      <c r="B1733" s="69" t="s">
        <v>1271</v>
      </c>
    </row>
    <row r="1734">
      <c r="A1734" s="66">
        <v>43385.0</v>
      </c>
      <c r="B1734" s="69" t="s">
        <v>1272</v>
      </c>
    </row>
    <row r="1735">
      <c r="A1735" s="66">
        <v>43389.0</v>
      </c>
      <c r="B1735" s="69" t="s">
        <v>1273</v>
      </c>
    </row>
    <row r="1736">
      <c r="A1736" s="66">
        <v>43390.0</v>
      </c>
      <c r="B1736" s="69" t="s">
        <v>1274</v>
      </c>
    </row>
    <row r="1737">
      <c r="A1737" s="66">
        <v>43391.0</v>
      </c>
      <c r="B1737" s="69" t="s">
        <v>1275</v>
      </c>
    </row>
    <row r="1738">
      <c r="A1738" s="66">
        <v>43392.0</v>
      </c>
      <c r="B1738" s="69" t="s">
        <v>1276</v>
      </c>
    </row>
    <row r="1739">
      <c r="A1739" s="66">
        <v>43395.0</v>
      </c>
      <c r="B1739" s="69" t="s">
        <v>1277</v>
      </c>
    </row>
    <row r="1740">
      <c r="A1740" s="66">
        <v>43396.0</v>
      </c>
      <c r="B1740" s="69" t="s">
        <v>1278</v>
      </c>
    </row>
    <row r="1741">
      <c r="A1741" s="66">
        <v>43397.0</v>
      </c>
      <c r="B1741" s="69" t="s">
        <v>1279</v>
      </c>
    </row>
    <row r="1742">
      <c r="A1742" s="66">
        <v>43398.0</v>
      </c>
      <c r="B1742" s="69" t="s">
        <v>1280</v>
      </c>
    </row>
    <row r="1743">
      <c r="A1743" s="66">
        <v>43399.0</v>
      </c>
      <c r="B1743" s="69" t="s">
        <v>1281</v>
      </c>
    </row>
    <row r="1744">
      <c r="A1744" s="66">
        <v>43402.0</v>
      </c>
      <c r="B1744" s="69" t="s">
        <v>1282</v>
      </c>
    </row>
    <row r="1745">
      <c r="A1745" s="66">
        <v>43403.0</v>
      </c>
      <c r="B1745" s="69" t="s">
        <v>1270</v>
      </c>
    </row>
    <row r="1746">
      <c r="A1746" s="66">
        <v>43404.0</v>
      </c>
      <c r="B1746" s="69" t="s">
        <v>1278</v>
      </c>
    </row>
    <row r="1747">
      <c r="A1747" s="66">
        <v>43405.0</v>
      </c>
      <c r="B1747" s="69" t="s">
        <v>1283</v>
      </c>
    </row>
    <row r="1748">
      <c r="A1748" s="66">
        <v>43406.0</v>
      </c>
      <c r="B1748" s="69" t="s">
        <v>1284</v>
      </c>
    </row>
    <row r="1749">
      <c r="A1749" s="66">
        <v>43407.0</v>
      </c>
      <c r="B1749" s="69" t="s">
        <v>1285</v>
      </c>
    </row>
    <row r="1750">
      <c r="A1750" s="66">
        <v>43408.0</v>
      </c>
      <c r="B1750" s="69" t="s">
        <v>1285</v>
      </c>
    </row>
    <row r="1751">
      <c r="A1751" s="66">
        <v>43409.0</v>
      </c>
      <c r="B1751" s="69" t="s">
        <v>1286</v>
      </c>
    </row>
    <row r="1752">
      <c r="A1752" s="66">
        <v>43410.0</v>
      </c>
      <c r="B1752" s="69" t="s">
        <v>1287</v>
      </c>
    </row>
    <row r="1753">
      <c r="A1753" s="66">
        <v>43411.0</v>
      </c>
      <c r="B1753" s="69" t="s">
        <v>1287</v>
      </c>
    </row>
    <row r="1754">
      <c r="A1754" s="66">
        <v>43412.0</v>
      </c>
      <c r="B1754" s="69" t="s">
        <v>1288</v>
      </c>
    </row>
    <row r="1755">
      <c r="A1755" s="66">
        <v>43413.0</v>
      </c>
      <c r="B1755" s="69" t="s">
        <v>1289</v>
      </c>
    </row>
    <row r="1756">
      <c r="A1756" s="66">
        <v>43414.0</v>
      </c>
      <c r="B1756" s="69" t="s">
        <v>1290</v>
      </c>
    </row>
    <row r="1757">
      <c r="A1757" s="66">
        <v>43415.0</v>
      </c>
      <c r="B1757" s="69" t="s">
        <v>1290</v>
      </c>
    </row>
    <row r="1758">
      <c r="A1758" s="66">
        <v>43416.0</v>
      </c>
      <c r="B1758" s="69" t="s">
        <v>1291</v>
      </c>
    </row>
    <row r="1759">
      <c r="A1759" s="66">
        <v>43417.0</v>
      </c>
      <c r="B1759" s="69" t="s">
        <v>1292</v>
      </c>
    </row>
    <row r="1760">
      <c r="A1760" s="66">
        <v>43418.0</v>
      </c>
      <c r="B1760" s="69" t="s">
        <v>1292</v>
      </c>
    </row>
    <row r="1761">
      <c r="A1761" s="66">
        <v>43419.0</v>
      </c>
      <c r="B1761" s="69" t="s">
        <v>1293</v>
      </c>
    </row>
    <row r="1762">
      <c r="A1762" s="66">
        <v>43420.0</v>
      </c>
      <c r="B1762" s="69" t="s">
        <v>1293</v>
      </c>
    </row>
    <row r="1763">
      <c r="A1763" s="66">
        <v>43421.0</v>
      </c>
      <c r="B1763" s="69" t="s">
        <v>1294</v>
      </c>
    </row>
    <row r="1764">
      <c r="A1764" s="66">
        <v>43422.0</v>
      </c>
      <c r="B1764" s="69" t="s">
        <v>1294</v>
      </c>
    </row>
    <row r="1765">
      <c r="A1765" s="66">
        <v>43423.0</v>
      </c>
      <c r="B1765" s="69" t="s">
        <v>1294</v>
      </c>
    </row>
    <row r="1766">
      <c r="A1766" s="66">
        <v>43424.0</v>
      </c>
      <c r="B1766" s="69" t="s">
        <v>1295</v>
      </c>
    </row>
    <row r="1767">
      <c r="A1767" s="66">
        <v>43425.0</v>
      </c>
      <c r="B1767" s="69" t="s">
        <v>1296</v>
      </c>
    </row>
    <row r="1768">
      <c r="A1768" s="66">
        <v>43426.0</v>
      </c>
      <c r="B1768" s="69" t="s">
        <v>1297</v>
      </c>
    </row>
    <row r="1769">
      <c r="A1769" s="66">
        <v>43427.0</v>
      </c>
      <c r="B1769" s="69" t="s">
        <v>1296</v>
      </c>
    </row>
    <row r="1770">
      <c r="A1770" s="66">
        <v>43428.0</v>
      </c>
      <c r="B1770" s="69" t="s">
        <v>1298</v>
      </c>
    </row>
    <row r="1771">
      <c r="A1771" s="66">
        <v>43429.0</v>
      </c>
      <c r="B1771" s="69" t="s">
        <v>1298</v>
      </c>
    </row>
    <row r="1772">
      <c r="A1772" s="66">
        <v>43430.0</v>
      </c>
      <c r="B1772" s="69" t="s">
        <v>1298</v>
      </c>
    </row>
    <row r="1773">
      <c r="A1773" s="66">
        <v>43431.0</v>
      </c>
      <c r="B1773" s="69" t="s">
        <v>1299</v>
      </c>
    </row>
    <row r="1774">
      <c r="A1774" s="66">
        <v>43432.0</v>
      </c>
      <c r="B1774" s="69" t="s">
        <v>1300</v>
      </c>
    </row>
    <row r="1775">
      <c r="A1775" s="66">
        <v>43433.0</v>
      </c>
      <c r="B1775" s="69" t="s">
        <v>1301</v>
      </c>
    </row>
    <row r="1776">
      <c r="A1776" s="66">
        <v>43434.0</v>
      </c>
      <c r="B1776" s="69" t="s">
        <v>1302</v>
      </c>
    </row>
    <row r="1777">
      <c r="A1777" s="66">
        <v>43435.0</v>
      </c>
      <c r="B1777" s="69" t="s">
        <v>1302</v>
      </c>
    </row>
    <row r="1778">
      <c r="A1778" s="66">
        <v>43436.0</v>
      </c>
      <c r="B1778" s="69" t="s">
        <v>1302</v>
      </c>
    </row>
    <row r="1779">
      <c r="A1779" s="66">
        <v>43437.0</v>
      </c>
      <c r="B1779" s="69" t="s">
        <v>1303</v>
      </c>
    </row>
    <row r="1780">
      <c r="A1780" s="66">
        <v>43438.0</v>
      </c>
      <c r="B1780" s="69" t="s">
        <v>1304</v>
      </c>
    </row>
    <row r="1781">
      <c r="A1781" s="66">
        <v>43439.0</v>
      </c>
      <c r="B1781" s="69" t="s">
        <v>1305</v>
      </c>
    </row>
    <row r="1782">
      <c r="A1782" s="66">
        <v>43440.0</v>
      </c>
      <c r="B1782" s="69" t="s">
        <v>1306</v>
      </c>
    </row>
    <row r="1783">
      <c r="A1783" s="66">
        <v>43441.0</v>
      </c>
      <c r="B1783" s="69" t="s">
        <v>1307</v>
      </c>
    </row>
    <row r="1784">
      <c r="A1784" s="66">
        <v>43442.0</v>
      </c>
      <c r="B1784" s="69" t="s">
        <v>1308</v>
      </c>
    </row>
    <row r="1785">
      <c r="A1785" s="66">
        <v>43443.0</v>
      </c>
      <c r="B1785" s="69" t="s">
        <v>1308</v>
      </c>
    </row>
    <row r="1786">
      <c r="A1786" s="66">
        <v>43444.0</v>
      </c>
      <c r="B1786" s="69" t="s">
        <v>1309</v>
      </c>
    </row>
    <row r="1787">
      <c r="A1787" s="66">
        <v>43445.0</v>
      </c>
      <c r="B1787" s="69" t="s">
        <v>1310</v>
      </c>
    </row>
    <row r="1788">
      <c r="A1788" s="66">
        <v>43446.0</v>
      </c>
      <c r="B1788" s="69" t="s">
        <v>1310</v>
      </c>
    </row>
    <row r="1789">
      <c r="A1789" s="66">
        <v>43447.0</v>
      </c>
      <c r="B1789" s="69" t="s">
        <v>1308</v>
      </c>
    </row>
    <row r="1790">
      <c r="A1790" s="66">
        <v>43448.0</v>
      </c>
      <c r="B1790" s="69" t="s">
        <v>1311</v>
      </c>
    </row>
    <row r="1791">
      <c r="A1791" s="66">
        <v>43449.0</v>
      </c>
      <c r="B1791" s="69" t="s">
        <v>1312</v>
      </c>
    </row>
    <row r="1792">
      <c r="A1792" s="66">
        <v>43450.0</v>
      </c>
      <c r="B1792" s="69" t="s">
        <v>1312</v>
      </c>
    </row>
    <row r="1793">
      <c r="A1793" s="66">
        <v>43451.0</v>
      </c>
      <c r="B1793" s="69" t="s">
        <v>1313</v>
      </c>
    </row>
    <row r="1794">
      <c r="A1794" s="66">
        <v>43452.0</v>
      </c>
      <c r="B1794" s="69" t="s">
        <v>1313</v>
      </c>
    </row>
    <row r="1795">
      <c r="A1795" s="66">
        <v>43453.0</v>
      </c>
      <c r="B1795" s="69" t="s">
        <v>1314</v>
      </c>
    </row>
    <row r="1796">
      <c r="A1796" s="66">
        <v>43454.0</v>
      </c>
      <c r="B1796" s="69" t="s">
        <v>1315</v>
      </c>
    </row>
    <row r="1797">
      <c r="A1797" s="66">
        <v>43455.0</v>
      </c>
      <c r="B1797" s="69" t="s">
        <v>1300</v>
      </c>
    </row>
    <row r="1798">
      <c r="A1798" s="66">
        <v>43456.0</v>
      </c>
      <c r="B1798" s="69" t="s">
        <v>1316</v>
      </c>
    </row>
    <row r="1799">
      <c r="A1799" s="66">
        <v>43457.0</v>
      </c>
      <c r="B1799" s="69" t="s">
        <v>1316</v>
      </c>
    </row>
    <row r="1800">
      <c r="A1800" s="66">
        <v>43458.0</v>
      </c>
      <c r="B1800" s="69" t="s">
        <v>1316</v>
      </c>
    </row>
    <row r="1801">
      <c r="A1801" s="66">
        <v>43459.0</v>
      </c>
      <c r="B1801" s="69" t="s">
        <v>1316</v>
      </c>
    </row>
    <row r="1802">
      <c r="A1802" s="66">
        <v>43460.0</v>
      </c>
      <c r="B1802" s="69" t="s">
        <v>1317</v>
      </c>
    </row>
    <row r="1803">
      <c r="A1803" s="66">
        <v>43461.0</v>
      </c>
      <c r="B1803" s="69" t="s">
        <v>1318</v>
      </c>
    </row>
    <row r="1804">
      <c r="A1804" s="66">
        <v>43462.0</v>
      </c>
      <c r="B1804" s="69" t="s">
        <v>1312</v>
      </c>
    </row>
    <row r="1805">
      <c r="A1805" s="66">
        <v>43463.0</v>
      </c>
      <c r="B1805" s="69" t="s">
        <v>1319</v>
      </c>
    </row>
    <row r="1806">
      <c r="A1806" s="66">
        <v>43464.0</v>
      </c>
      <c r="B1806" s="69" t="s">
        <v>1319</v>
      </c>
    </row>
    <row r="1807">
      <c r="A1807" s="66">
        <v>43465.0</v>
      </c>
      <c r="B1807" s="69" t="s">
        <v>1319</v>
      </c>
    </row>
    <row r="1808">
      <c r="A1808" s="66">
        <v>43466.0</v>
      </c>
      <c r="B1808" s="69" t="s">
        <v>1319</v>
      </c>
    </row>
    <row r="1809">
      <c r="A1809" s="66">
        <v>43467.0</v>
      </c>
      <c r="B1809" s="69" t="s">
        <v>1298</v>
      </c>
    </row>
    <row r="1810">
      <c r="A1810" s="66">
        <v>43468.0</v>
      </c>
      <c r="B1810" s="69" t="s">
        <v>1298</v>
      </c>
    </row>
    <row r="1811">
      <c r="A1811" s="66">
        <v>43469.0</v>
      </c>
      <c r="B1811" s="69" t="s">
        <v>1320</v>
      </c>
    </row>
    <row r="1812">
      <c r="A1812" s="66">
        <v>43470.0</v>
      </c>
      <c r="B1812" s="69" t="s">
        <v>1321</v>
      </c>
    </row>
    <row r="1813">
      <c r="A1813" s="66">
        <v>43471.0</v>
      </c>
      <c r="B1813" s="69" t="s">
        <v>1321</v>
      </c>
    </row>
    <row r="1814">
      <c r="A1814" s="66">
        <v>43472.0</v>
      </c>
      <c r="B1814" s="69" t="s">
        <v>1322</v>
      </c>
    </row>
    <row r="1815">
      <c r="A1815" s="66">
        <v>43473.0</v>
      </c>
      <c r="B1815" s="69" t="s">
        <v>1323</v>
      </c>
    </row>
    <row r="1816">
      <c r="A1816" s="66">
        <v>43474.0</v>
      </c>
      <c r="B1816" s="69" t="s">
        <v>1271</v>
      </c>
    </row>
    <row r="1817">
      <c r="A1817" s="66">
        <v>43475.0</v>
      </c>
      <c r="B1817" s="69" t="s">
        <v>1324</v>
      </c>
    </row>
    <row r="1818">
      <c r="A1818" s="66">
        <v>43476.0</v>
      </c>
      <c r="B1818" s="69" t="s">
        <v>1325</v>
      </c>
    </row>
    <row r="1819">
      <c r="A1819" s="66">
        <v>43477.0</v>
      </c>
      <c r="B1819" s="69" t="s">
        <v>1326</v>
      </c>
    </row>
    <row r="1820">
      <c r="A1820" s="66">
        <v>43478.0</v>
      </c>
      <c r="B1820" s="69" t="s">
        <v>1326</v>
      </c>
    </row>
    <row r="1821">
      <c r="A1821" s="66">
        <v>43479.0</v>
      </c>
      <c r="B1821" s="69" t="s">
        <v>1327</v>
      </c>
    </row>
    <row r="1822">
      <c r="A1822" s="66">
        <v>43480.0</v>
      </c>
      <c r="B1822" s="69" t="s">
        <v>1328</v>
      </c>
    </row>
    <row r="1823">
      <c r="A1823" s="66">
        <v>43481.0</v>
      </c>
      <c r="B1823" s="69" t="s">
        <v>1327</v>
      </c>
    </row>
    <row r="1824">
      <c r="A1824" s="66">
        <v>43482.0</v>
      </c>
      <c r="B1824" s="69" t="s">
        <v>1329</v>
      </c>
    </row>
    <row r="1825">
      <c r="A1825" s="66">
        <v>43483.0</v>
      </c>
      <c r="B1825" s="69" t="s">
        <v>1330</v>
      </c>
    </row>
    <row r="1826">
      <c r="A1826" s="66">
        <v>43484.0</v>
      </c>
      <c r="B1826" s="69" t="s">
        <v>1331</v>
      </c>
    </row>
    <row r="1827">
      <c r="A1827" s="66">
        <v>43485.0</v>
      </c>
      <c r="B1827" s="69" t="s">
        <v>1331</v>
      </c>
    </row>
    <row r="1828">
      <c r="A1828" s="66">
        <v>43486.0</v>
      </c>
      <c r="B1828" s="69" t="s">
        <v>1332</v>
      </c>
    </row>
    <row r="1829">
      <c r="A1829" s="66">
        <v>43487.0</v>
      </c>
      <c r="B1829" s="69" t="s">
        <v>1333</v>
      </c>
    </row>
    <row r="1830">
      <c r="A1830" s="66">
        <v>43488.0</v>
      </c>
      <c r="B1830" s="69" t="s">
        <v>1305</v>
      </c>
    </row>
    <row r="1831">
      <c r="A1831" s="66">
        <v>43489.0</v>
      </c>
      <c r="B1831" s="69" t="s">
        <v>1305</v>
      </c>
    </row>
    <row r="1832">
      <c r="A1832" s="66">
        <v>43490.0</v>
      </c>
      <c r="B1832" s="69" t="s">
        <v>1260</v>
      </c>
    </row>
    <row r="1833">
      <c r="A1833" s="66">
        <v>43491.0</v>
      </c>
      <c r="B1833" s="69" t="s">
        <v>1329</v>
      </c>
    </row>
    <row r="1834">
      <c r="A1834" s="66">
        <v>43492.0</v>
      </c>
      <c r="B1834" s="69" t="s">
        <v>1329</v>
      </c>
    </row>
    <row r="1835">
      <c r="A1835" s="66">
        <v>43493.0</v>
      </c>
      <c r="B1835" s="69" t="s">
        <v>1326</v>
      </c>
    </row>
    <row r="1836">
      <c r="A1836" s="66">
        <v>43494.0</v>
      </c>
      <c r="B1836" s="69" t="s">
        <v>1270</v>
      </c>
    </row>
    <row r="1837">
      <c r="A1837" s="66">
        <v>43495.0</v>
      </c>
      <c r="B1837" s="69" t="s">
        <v>1323</v>
      </c>
    </row>
    <row r="1838">
      <c r="A1838" s="66">
        <v>43496.0</v>
      </c>
      <c r="B1838" s="69" t="s">
        <v>1334</v>
      </c>
    </row>
    <row r="1839">
      <c r="A1839" s="66">
        <v>43497.0</v>
      </c>
      <c r="B1839" s="69" t="s">
        <v>1335</v>
      </c>
    </row>
    <row r="1840">
      <c r="A1840" s="66">
        <v>43498.0</v>
      </c>
      <c r="B1840" s="69" t="s">
        <v>1336</v>
      </c>
    </row>
    <row r="1841">
      <c r="A1841" s="66">
        <v>43499.0</v>
      </c>
      <c r="B1841" s="69" t="s">
        <v>1336</v>
      </c>
    </row>
    <row r="1842">
      <c r="A1842" s="66">
        <v>43500.0</v>
      </c>
      <c r="B1842" s="69" t="s">
        <v>1259</v>
      </c>
    </row>
    <row r="1843">
      <c r="A1843" s="66">
        <v>43501.0</v>
      </c>
      <c r="B1843" s="69" t="s">
        <v>1337</v>
      </c>
    </row>
    <row r="1844">
      <c r="A1844" s="66">
        <v>43502.0</v>
      </c>
      <c r="B1844" s="69" t="s">
        <v>1338</v>
      </c>
    </row>
    <row r="1845">
      <c r="A1845" s="66">
        <v>43503.0</v>
      </c>
      <c r="B1845" s="69" t="s">
        <v>1260</v>
      </c>
    </row>
    <row r="1846">
      <c r="A1846" s="66">
        <v>43504.0</v>
      </c>
      <c r="B1846" s="69" t="s">
        <v>1332</v>
      </c>
    </row>
    <row r="1847">
      <c r="A1847" s="66">
        <v>43505.0</v>
      </c>
      <c r="B1847" s="69" t="s">
        <v>1339</v>
      </c>
    </row>
    <row r="1848">
      <c r="A1848" s="66">
        <v>43506.0</v>
      </c>
      <c r="B1848" s="69" t="s">
        <v>1339</v>
      </c>
    </row>
    <row r="1849">
      <c r="A1849" s="66">
        <v>43507.0</v>
      </c>
      <c r="B1849" s="69" t="s">
        <v>1340</v>
      </c>
    </row>
    <row r="1850">
      <c r="A1850" s="66">
        <v>43508.0</v>
      </c>
      <c r="B1850" s="69" t="s">
        <v>1341</v>
      </c>
    </row>
    <row r="1851">
      <c r="A1851" s="66">
        <v>43509.0</v>
      </c>
      <c r="B1851" s="69" t="s">
        <v>1342</v>
      </c>
    </row>
    <row r="1852">
      <c r="A1852" s="66">
        <v>43510.0</v>
      </c>
      <c r="B1852" s="69" t="s">
        <v>1343</v>
      </c>
    </row>
    <row r="1853">
      <c r="A1853" s="66">
        <v>43511.0</v>
      </c>
      <c r="B1853" s="69" t="s">
        <v>1344</v>
      </c>
    </row>
    <row r="1854">
      <c r="A1854" s="66">
        <v>43512.0</v>
      </c>
      <c r="B1854" s="69" t="s">
        <v>1345</v>
      </c>
    </row>
    <row r="1855">
      <c r="A1855" s="66">
        <v>43513.0</v>
      </c>
      <c r="B1855" s="69" t="s">
        <v>1345</v>
      </c>
    </row>
    <row r="1856">
      <c r="A1856" s="66">
        <v>43514.0</v>
      </c>
      <c r="B1856" s="69" t="s">
        <v>1346</v>
      </c>
    </row>
    <row r="1857">
      <c r="A1857" s="66">
        <v>43515.0</v>
      </c>
      <c r="B1857" s="69" t="s">
        <v>1347</v>
      </c>
    </row>
    <row r="1858">
      <c r="A1858" s="66">
        <v>43516.0</v>
      </c>
      <c r="B1858" s="69" t="s">
        <v>1348</v>
      </c>
    </row>
    <row r="1859">
      <c r="A1859" s="66">
        <v>43517.0</v>
      </c>
      <c r="B1859" s="69" t="s">
        <v>1348</v>
      </c>
    </row>
    <row r="1860">
      <c r="A1860" s="66">
        <v>43518.0</v>
      </c>
      <c r="B1860" s="69" t="s">
        <v>1349</v>
      </c>
    </row>
    <row r="1861">
      <c r="A1861" s="66">
        <v>43519.0</v>
      </c>
      <c r="B1861" s="69" t="s">
        <v>1350</v>
      </c>
    </row>
    <row r="1862">
      <c r="A1862" s="66">
        <v>43520.0</v>
      </c>
      <c r="B1862" s="69" t="s">
        <v>1350</v>
      </c>
    </row>
    <row r="1863">
      <c r="A1863" s="66">
        <v>43521.0</v>
      </c>
      <c r="B1863" s="69" t="s">
        <v>1351</v>
      </c>
    </row>
    <row r="1864">
      <c r="A1864" s="66">
        <v>43522.0</v>
      </c>
      <c r="B1864" s="69" t="s">
        <v>1248</v>
      </c>
    </row>
    <row r="1865">
      <c r="A1865" s="66">
        <v>43523.0</v>
      </c>
      <c r="B1865" s="69" t="s">
        <v>1352</v>
      </c>
    </row>
    <row r="1866">
      <c r="A1866" s="66">
        <v>43524.0</v>
      </c>
      <c r="B1866" s="69" t="s">
        <v>1353</v>
      </c>
    </row>
    <row r="1867">
      <c r="A1867" s="66">
        <v>43525.0</v>
      </c>
      <c r="B1867" s="69" t="s">
        <v>1354</v>
      </c>
    </row>
    <row r="1868">
      <c r="A1868" s="66">
        <v>43526.0</v>
      </c>
      <c r="B1868" s="69" t="s">
        <v>1355</v>
      </c>
    </row>
    <row r="1869">
      <c r="A1869" s="66">
        <v>43527.0</v>
      </c>
      <c r="B1869" s="69" t="s">
        <v>1355</v>
      </c>
    </row>
    <row r="1870">
      <c r="A1870" s="66">
        <v>43528.0</v>
      </c>
      <c r="B1870" s="69" t="s">
        <v>1355</v>
      </c>
    </row>
    <row r="1871">
      <c r="A1871" s="66">
        <v>43529.0</v>
      </c>
      <c r="B1871" s="69" t="s">
        <v>1355</v>
      </c>
    </row>
    <row r="1872">
      <c r="A1872" s="66">
        <v>43530.0</v>
      </c>
      <c r="B1872" s="69" t="s">
        <v>1356</v>
      </c>
    </row>
    <row r="1873">
      <c r="A1873" s="66">
        <v>43531.0</v>
      </c>
      <c r="B1873" s="69" t="s">
        <v>1357</v>
      </c>
    </row>
    <row r="1874">
      <c r="A1874" s="66">
        <v>43532.0</v>
      </c>
      <c r="B1874" s="69" t="s">
        <v>1358</v>
      </c>
    </row>
    <row r="1875">
      <c r="A1875" s="66">
        <v>43533.0</v>
      </c>
      <c r="B1875" s="69" t="s">
        <v>1264</v>
      </c>
    </row>
    <row r="1876">
      <c r="A1876" s="66">
        <v>43534.0</v>
      </c>
      <c r="B1876" s="69" t="s">
        <v>1264</v>
      </c>
    </row>
    <row r="1877">
      <c r="A1877" s="66">
        <v>43535.0</v>
      </c>
      <c r="B1877" s="69" t="s">
        <v>1359</v>
      </c>
    </row>
    <row r="1878">
      <c r="A1878" s="66">
        <v>43536.0</v>
      </c>
      <c r="B1878" s="69" t="s">
        <v>1360</v>
      </c>
    </row>
    <row r="1879">
      <c r="A1879" s="66">
        <v>43537.0</v>
      </c>
      <c r="B1879" s="69" t="s">
        <v>1361</v>
      </c>
    </row>
    <row r="1880">
      <c r="A1880" s="66">
        <v>43538.0</v>
      </c>
      <c r="B1880" s="69" t="s">
        <v>1362</v>
      </c>
    </row>
    <row r="1881">
      <c r="A1881" s="66">
        <v>43539.0</v>
      </c>
      <c r="B1881" s="69" t="s">
        <v>1363</v>
      </c>
    </row>
    <row r="1882">
      <c r="A1882" s="66">
        <v>43540.0</v>
      </c>
      <c r="B1882" s="69" t="s">
        <v>1254</v>
      </c>
    </row>
    <row r="1883">
      <c r="A1883" s="66">
        <v>43541.0</v>
      </c>
      <c r="B1883" s="69" t="s">
        <v>1254</v>
      </c>
    </row>
    <row r="1884">
      <c r="A1884" s="66">
        <v>43542.0</v>
      </c>
      <c r="B1884" s="69" t="s">
        <v>1364</v>
      </c>
    </row>
    <row r="1885">
      <c r="A1885" s="66">
        <v>43543.0</v>
      </c>
      <c r="B1885" s="69" t="s">
        <v>1365</v>
      </c>
    </row>
    <row r="1886">
      <c r="A1886" s="66">
        <v>43544.0</v>
      </c>
      <c r="B1886" s="69" t="s">
        <v>1356</v>
      </c>
    </row>
    <row r="1887">
      <c r="A1887" s="66">
        <v>43545.0</v>
      </c>
      <c r="B1887" s="69" t="s">
        <v>1366</v>
      </c>
    </row>
    <row r="1888">
      <c r="A1888" s="66">
        <v>43546.0</v>
      </c>
      <c r="B1888" s="69" t="s">
        <v>1367</v>
      </c>
    </row>
    <row r="1889">
      <c r="A1889" s="66">
        <v>43547.0</v>
      </c>
      <c r="B1889" s="69" t="s">
        <v>1368</v>
      </c>
    </row>
    <row r="1890">
      <c r="A1890" s="66">
        <v>43548.0</v>
      </c>
      <c r="B1890" s="69" t="s">
        <v>1368</v>
      </c>
    </row>
    <row r="1891">
      <c r="A1891" s="66">
        <v>43549.0</v>
      </c>
      <c r="B1891" s="69" t="s">
        <v>1369</v>
      </c>
    </row>
    <row r="1892">
      <c r="A1892" s="66">
        <v>43550.0</v>
      </c>
      <c r="B1892" s="69" t="s">
        <v>1370</v>
      </c>
    </row>
    <row r="1893">
      <c r="A1893" s="66">
        <v>43551.0</v>
      </c>
      <c r="B1893" s="69" t="s">
        <v>1371</v>
      </c>
    </row>
    <row r="1894">
      <c r="A1894" s="66">
        <v>43552.0</v>
      </c>
      <c r="B1894" s="69" t="s">
        <v>1372</v>
      </c>
    </row>
    <row r="1895">
      <c r="A1895" s="66">
        <v>43553.0</v>
      </c>
      <c r="B1895" s="69" t="s">
        <v>1373</v>
      </c>
    </row>
    <row r="1896">
      <c r="A1896" s="66">
        <v>43554.0</v>
      </c>
      <c r="B1896" s="69" t="s">
        <v>1373</v>
      </c>
    </row>
    <row r="1897">
      <c r="A1897" s="66">
        <v>43555.0</v>
      </c>
      <c r="B1897" s="69" t="s">
        <v>1373</v>
      </c>
    </row>
    <row r="1898">
      <c r="A1898" s="66">
        <v>43556.0</v>
      </c>
      <c r="B1898" s="69" t="s">
        <v>1374</v>
      </c>
    </row>
    <row r="1899">
      <c r="A1899" s="66">
        <v>43557.0</v>
      </c>
      <c r="B1899" s="69" t="s">
        <v>1375</v>
      </c>
    </row>
    <row r="1900">
      <c r="A1900" s="66">
        <v>43558.0</v>
      </c>
      <c r="B1900" s="69" t="s">
        <v>1376</v>
      </c>
    </row>
    <row r="1901">
      <c r="A1901" s="66">
        <v>43559.0</v>
      </c>
      <c r="B1901" s="69" t="s">
        <v>1377</v>
      </c>
    </row>
    <row r="1902">
      <c r="A1902" s="66">
        <v>43560.0</v>
      </c>
      <c r="B1902" s="69" t="s">
        <v>1378</v>
      </c>
    </row>
    <row r="1903">
      <c r="A1903" s="66">
        <v>43561.0</v>
      </c>
      <c r="B1903" s="69" t="s">
        <v>1379</v>
      </c>
    </row>
    <row r="1904">
      <c r="A1904" s="66">
        <v>43562.0</v>
      </c>
      <c r="B1904" s="69" t="s">
        <v>1379</v>
      </c>
    </row>
    <row r="1905">
      <c r="A1905" s="66">
        <v>43563.0</v>
      </c>
      <c r="B1905" s="69" t="s">
        <v>1380</v>
      </c>
    </row>
    <row r="1906">
      <c r="A1906" s="66">
        <v>43564.0</v>
      </c>
      <c r="B1906" s="69" t="s">
        <v>1380</v>
      </c>
    </row>
    <row r="1907">
      <c r="A1907" s="66">
        <v>43565.0</v>
      </c>
      <c r="B1907" s="69" t="s">
        <v>1381</v>
      </c>
    </row>
    <row r="1908">
      <c r="A1908" s="66">
        <v>43566.0</v>
      </c>
      <c r="B1908" s="69" t="s">
        <v>1382</v>
      </c>
    </row>
    <row r="1909">
      <c r="A1909" s="66">
        <v>43567.0</v>
      </c>
      <c r="B1909" s="69" t="s">
        <v>1383</v>
      </c>
    </row>
    <row r="1910">
      <c r="A1910" s="66">
        <v>43568.0</v>
      </c>
      <c r="B1910" s="69" t="s">
        <v>1384</v>
      </c>
    </row>
    <row r="1911">
      <c r="A1911" s="66">
        <v>43569.0</v>
      </c>
      <c r="B1911" s="69" t="s">
        <v>1384</v>
      </c>
    </row>
    <row r="1912">
      <c r="A1912" s="66">
        <v>43570.0</v>
      </c>
      <c r="B1912" s="69" t="s">
        <v>1385</v>
      </c>
    </row>
    <row r="1913">
      <c r="A1913" s="66">
        <v>43571.0</v>
      </c>
      <c r="B1913" s="69" t="s">
        <v>1386</v>
      </c>
    </row>
    <row r="1914">
      <c r="A1914" s="66">
        <v>43572.0</v>
      </c>
      <c r="B1914" s="69" t="s">
        <v>1387</v>
      </c>
    </row>
    <row r="1915">
      <c r="A1915" s="66">
        <v>43573.0</v>
      </c>
      <c r="B1915" s="69" t="s">
        <v>1388</v>
      </c>
    </row>
    <row r="1916">
      <c r="A1916" s="66">
        <v>43574.0</v>
      </c>
      <c r="B1916" s="69" t="s">
        <v>1388</v>
      </c>
    </row>
    <row r="1917">
      <c r="A1917" s="66">
        <v>43575.0</v>
      </c>
      <c r="B1917" s="69" t="s">
        <v>1388</v>
      </c>
    </row>
    <row r="1918">
      <c r="A1918" s="66">
        <v>43576.0</v>
      </c>
      <c r="B1918" s="69" t="s">
        <v>1388</v>
      </c>
    </row>
    <row r="1919">
      <c r="A1919" s="66">
        <v>43577.0</v>
      </c>
      <c r="B1919" s="69" t="s">
        <v>1389</v>
      </c>
    </row>
    <row r="1920">
      <c r="A1920" s="66">
        <v>43578.0</v>
      </c>
      <c r="B1920" s="69" t="s">
        <v>1390</v>
      </c>
    </row>
    <row r="1921">
      <c r="A1921" s="66">
        <v>43579.0</v>
      </c>
      <c r="B1921" s="69" t="s">
        <v>1391</v>
      </c>
    </row>
    <row r="1922">
      <c r="A1922" s="66">
        <v>43580.0</v>
      </c>
      <c r="B1922" s="69" t="s">
        <v>1392</v>
      </c>
    </row>
    <row r="1923">
      <c r="A1923" s="66">
        <v>43581.0</v>
      </c>
      <c r="B1923" s="69" t="s">
        <v>1393</v>
      </c>
    </row>
    <row r="1924">
      <c r="A1924" s="66">
        <v>43582.0</v>
      </c>
      <c r="B1924" s="69" t="s">
        <v>1394</v>
      </c>
    </row>
    <row r="1925">
      <c r="A1925" s="66">
        <v>43583.0</v>
      </c>
      <c r="B1925" s="69" t="s">
        <v>1394</v>
      </c>
    </row>
    <row r="1926">
      <c r="A1926" s="66">
        <v>43584.0</v>
      </c>
      <c r="B1926" s="69" t="s">
        <v>1395</v>
      </c>
    </row>
    <row r="1927">
      <c r="A1927" s="66">
        <v>43585.0</v>
      </c>
      <c r="B1927" s="69" t="s">
        <v>1395</v>
      </c>
    </row>
    <row r="1928">
      <c r="A1928" s="66">
        <v>43586.0</v>
      </c>
      <c r="B1928" s="69" t="s">
        <v>1396</v>
      </c>
    </row>
    <row r="1929">
      <c r="A1929" s="66">
        <v>43587.0</v>
      </c>
      <c r="B1929" s="69" t="s">
        <v>1397</v>
      </c>
    </row>
    <row r="1930">
      <c r="A1930" s="66">
        <v>43588.0</v>
      </c>
      <c r="B1930" s="69" t="s">
        <v>1398</v>
      </c>
    </row>
    <row r="1931">
      <c r="A1931" s="66">
        <v>43589.0</v>
      </c>
      <c r="B1931" s="69" t="s">
        <v>1399</v>
      </c>
    </row>
    <row r="1932">
      <c r="A1932" s="66">
        <v>43590.0</v>
      </c>
      <c r="B1932" s="69" t="s">
        <v>1399</v>
      </c>
    </row>
    <row r="1933">
      <c r="A1933" s="66">
        <v>43591.0</v>
      </c>
      <c r="B1933" s="69" t="s">
        <v>1400</v>
      </c>
    </row>
    <row r="1934">
      <c r="A1934" s="66">
        <v>43592.0</v>
      </c>
      <c r="B1934" s="69" t="s">
        <v>1401</v>
      </c>
    </row>
    <row r="1935">
      <c r="A1935" s="66">
        <v>43593.0</v>
      </c>
      <c r="B1935" s="69" t="s">
        <v>1402</v>
      </c>
    </row>
    <row r="1936">
      <c r="A1936" s="66">
        <v>43594.0</v>
      </c>
      <c r="B1936" s="69" t="s">
        <v>1403</v>
      </c>
    </row>
    <row r="1937">
      <c r="A1937" s="66">
        <v>43595.0</v>
      </c>
      <c r="B1937" s="69" t="s">
        <v>1404</v>
      </c>
    </row>
    <row r="1938">
      <c r="A1938" s="66">
        <v>43596.0</v>
      </c>
      <c r="B1938" s="69" t="s">
        <v>1405</v>
      </c>
    </row>
    <row r="1939">
      <c r="A1939" s="66">
        <v>43597.0</v>
      </c>
      <c r="B1939" s="69" t="s">
        <v>1405</v>
      </c>
    </row>
    <row r="1940">
      <c r="A1940" s="66">
        <v>43598.0</v>
      </c>
      <c r="B1940" s="69" t="s">
        <v>1406</v>
      </c>
    </row>
    <row r="1941">
      <c r="A1941" s="66">
        <v>43599.0</v>
      </c>
      <c r="B1941" s="69" t="s">
        <v>1407</v>
      </c>
    </row>
    <row r="1942">
      <c r="A1942" s="66">
        <v>43600.0</v>
      </c>
      <c r="B1942" s="69" t="s">
        <v>1408</v>
      </c>
    </row>
    <row r="1943">
      <c r="A1943" s="66">
        <v>43601.0</v>
      </c>
      <c r="B1943" s="69" t="s">
        <v>1409</v>
      </c>
    </row>
    <row r="1944">
      <c r="A1944" s="66">
        <v>43602.0</v>
      </c>
      <c r="B1944" s="69" t="s">
        <v>1410</v>
      </c>
    </row>
    <row r="1945">
      <c r="A1945" s="66">
        <v>43603.0</v>
      </c>
      <c r="B1945" s="69" t="s">
        <v>1411</v>
      </c>
    </row>
    <row r="1946">
      <c r="A1946" s="66">
        <v>43604.0</v>
      </c>
      <c r="B1946" s="69" t="s">
        <v>1411</v>
      </c>
    </row>
    <row r="1947">
      <c r="A1947" s="66">
        <v>43605.0</v>
      </c>
      <c r="B1947" s="69" t="s">
        <v>1412</v>
      </c>
    </row>
    <row r="1948">
      <c r="A1948" s="66">
        <v>43606.0</v>
      </c>
      <c r="B1948" s="69" t="s">
        <v>1413</v>
      </c>
    </row>
    <row r="1949">
      <c r="A1949" s="66">
        <v>43607.0</v>
      </c>
      <c r="B1949" s="69" t="s">
        <v>1414</v>
      </c>
    </row>
    <row r="1950">
      <c r="A1950" s="66">
        <v>43608.0</v>
      </c>
      <c r="B1950" s="69" t="s">
        <v>1414</v>
      </c>
    </row>
    <row r="1951">
      <c r="A1951" s="66">
        <v>43609.0</v>
      </c>
      <c r="B1951" s="69" t="s">
        <v>1412</v>
      </c>
    </row>
    <row r="1952">
      <c r="A1952" s="66">
        <v>43610.0</v>
      </c>
      <c r="B1952" s="69" t="s">
        <v>1415</v>
      </c>
    </row>
    <row r="1953">
      <c r="A1953" s="66">
        <v>43611.0</v>
      </c>
      <c r="B1953" s="69" t="s">
        <v>1415</v>
      </c>
    </row>
    <row r="1954">
      <c r="A1954" s="66">
        <v>43612.0</v>
      </c>
      <c r="B1954" s="69" t="s">
        <v>1416</v>
      </c>
    </row>
    <row r="1955">
      <c r="A1955" s="66">
        <v>43613.0</v>
      </c>
      <c r="B1955" s="69" t="s">
        <v>1417</v>
      </c>
    </row>
    <row r="1956">
      <c r="A1956" s="66">
        <v>43614.0</v>
      </c>
      <c r="B1956" s="69" t="s">
        <v>1418</v>
      </c>
    </row>
    <row r="1957">
      <c r="A1957" s="66">
        <v>43615.0</v>
      </c>
      <c r="B1957" s="69" t="s">
        <v>1419</v>
      </c>
    </row>
    <row r="1958">
      <c r="A1958" s="66">
        <v>43616.0</v>
      </c>
      <c r="B1958" s="69" t="s">
        <v>1420</v>
      </c>
    </row>
    <row r="1959">
      <c r="A1959" s="66">
        <v>43617.0</v>
      </c>
      <c r="B1959" s="69" t="s">
        <v>1419</v>
      </c>
    </row>
    <row r="1960">
      <c r="A1960" s="66">
        <v>43618.0</v>
      </c>
      <c r="B1960" s="69" t="s">
        <v>1419</v>
      </c>
    </row>
    <row r="1961">
      <c r="A1961" s="66">
        <v>43619.0</v>
      </c>
      <c r="B1961" s="69" t="s">
        <v>1421</v>
      </c>
    </row>
    <row r="1962">
      <c r="A1962" s="66">
        <v>43620.0</v>
      </c>
      <c r="B1962" s="69" t="s">
        <v>1422</v>
      </c>
    </row>
    <row r="1963">
      <c r="A1963" s="66">
        <v>43621.0</v>
      </c>
      <c r="B1963" s="69" t="s">
        <v>1423</v>
      </c>
    </row>
    <row r="1964">
      <c r="A1964" s="66">
        <v>43622.0</v>
      </c>
      <c r="B1964" s="69" t="s">
        <v>1424</v>
      </c>
    </row>
    <row r="1965">
      <c r="A1965" s="66">
        <v>43623.0</v>
      </c>
      <c r="B1965" s="69" t="s">
        <v>1425</v>
      </c>
    </row>
    <row r="1966">
      <c r="A1966" s="66">
        <v>43624.0</v>
      </c>
      <c r="B1966" s="69" t="s">
        <v>1426</v>
      </c>
    </row>
    <row r="1967">
      <c r="A1967" s="66">
        <v>43625.0</v>
      </c>
      <c r="B1967" s="69" t="s">
        <v>1426</v>
      </c>
    </row>
    <row r="1968">
      <c r="A1968" s="66">
        <v>43626.0</v>
      </c>
      <c r="B1968" s="69" t="s">
        <v>1427</v>
      </c>
    </row>
    <row r="1969">
      <c r="A1969" s="66">
        <v>43627.0</v>
      </c>
      <c r="B1969" s="69" t="s">
        <v>1419</v>
      </c>
    </row>
    <row r="1970">
      <c r="A1970" s="66">
        <v>43628.0</v>
      </c>
      <c r="B1970" s="69" t="s">
        <v>1428</v>
      </c>
    </row>
    <row r="1971">
      <c r="A1971" s="66">
        <v>43629.0</v>
      </c>
      <c r="B1971" s="69" t="s">
        <v>1429</v>
      </c>
    </row>
    <row r="1972">
      <c r="A1972" s="66">
        <v>43630.0</v>
      </c>
      <c r="B1972" s="69" t="s">
        <v>1430</v>
      </c>
    </row>
    <row r="1973">
      <c r="A1973" s="66">
        <v>43631.0</v>
      </c>
      <c r="B1973" s="69" t="s">
        <v>1431</v>
      </c>
    </row>
    <row r="1974">
      <c r="A1974" s="66">
        <v>43632.0</v>
      </c>
      <c r="B1974" s="69" t="s">
        <v>1431</v>
      </c>
    </row>
    <row r="1975">
      <c r="A1975" s="66">
        <v>43633.0</v>
      </c>
      <c r="B1975" s="69" t="s">
        <v>1431</v>
      </c>
    </row>
    <row r="1976">
      <c r="A1976" s="66">
        <v>43634.0</v>
      </c>
      <c r="B1976" s="69" t="s">
        <v>1432</v>
      </c>
    </row>
    <row r="1977">
      <c r="A1977" s="66">
        <v>43635.0</v>
      </c>
      <c r="B1977" s="69" t="s">
        <v>1433</v>
      </c>
    </row>
    <row r="1978">
      <c r="A1978" s="66">
        <v>43636.0</v>
      </c>
      <c r="B1978" s="69" t="s">
        <v>1434</v>
      </c>
    </row>
    <row r="1979">
      <c r="A1979" s="66">
        <v>43637.0</v>
      </c>
      <c r="B1979" s="69" t="s">
        <v>1435</v>
      </c>
    </row>
    <row r="1980">
      <c r="A1980" s="66">
        <v>43638.0</v>
      </c>
      <c r="B1980" s="69" t="s">
        <v>1436</v>
      </c>
    </row>
    <row r="1981">
      <c r="A1981" s="66">
        <v>43639.0</v>
      </c>
      <c r="B1981" s="69" t="s">
        <v>1436</v>
      </c>
    </row>
    <row r="1982">
      <c r="A1982" s="66">
        <v>43640.0</v>
      </c>
      <c r="B1982" s="69" t="s">
        <v>1437</v>
      </c>
    </row>
    <row r="1983">
      <c r="A1983" s="66">
        <v>43641.0</v>
      </c>
      <c r="B1983" s="69" t="s">
        <v>1390</v>
      </c>
    </row>
    <row r="1984">
      <c r="A1984" s="66">
        <v>43642.0</v>
      </c>
      <c r="B1984" s="69" t="s">
        <v>1438</v>
      </c>
    </row>
    <row r="1985">
      <c r="A1985" s="66">
        <v>43643.0</v>
      </c>
      <c r="B1985" s="69" t="s">
        <v>1439</v>
      </c>
    </row>
    <row r="1986">
      <c r="A1986" s="66">
        <v>43644.0</v>
      </c>
      <c r="B1986" s="69" t="s">
        <v>1440</v>
      </c>
    </row>
    <row r="1987">
      <c r="A1987" s="66">
        <v>43645.0</v>
      </c>
      <c r="B1987" s="69" t="s">
        <v>1441</v>
      </c>
    </row>
    <row r="1988">
      <c r="A1988" s="66">
        <v>43646.0</v>
      </c>
      <c r="B1988" s="69" t="s">
        <v>1441</v>
      </c>
    </row>
    <row r="1989">
      <c r="A1989" s="66">
        <v>43647.0</v>
      </c>
      <c r="B1989" s="69" t="s">
        <v>1382</v>
      </c>
    </row>
    <row r="1990">
      <c r="A1990" s="66">
        <v>43648.0</v>
      </c>
      <c r="B1990" s="69" t="s">
        <v>1442</v>
      </c>
    </row>
    <row r="1991">
      <c r="A1991" s="66">
        <v>43649.0</v>
      </c>
      <c r="B1991" s="69" t="s">
        <v>1443</v>
      </c>
    </row>
    <row r="1992">
      <c r="A1992" s="66">
        <v>43650.0</v>
      </c>
      <c r="B1992" s="69" t="s">
        <v>1444</v>
      </c>
    </row>
    <row r="1993">
      <c r="A1993" s="66">
        <v>43651.0</v>
      </c>
      <c r="B1993" s="69" t="s">
        <v>1445</v>
      </c>
    </row>
    <row r="1994">
      <c r="A1994" s="66">
        <v>43652.0</v>
      </c>
      <c r="B1994" s="69" t="s">
        <v>1446</v>
      </c>
    </row>
    <row r="1995">
      <c r="A1995" s="66">
        <v>43653.0</v>
      </c>
      <c r="B1995" s="69" t="s">
        <v>1446</v>
      </c>
    </row>
    <row r="1996">
      <c r="A1996" s="66">
        <v>43654.0</v>
      </c>
      <c r="B1996" s="69" t="s">
        <v>1446</v>
      </c>
    </row>
    <row r="1997">
      <c r="A1997" s="66">
        <v>43655.0</v>
      </c>
      <c r="B1997" s="69" t="s">
        <v>1446</v>
      </c>
    </row>
    <row r="1998">
      <c r="A1998" s="66">
        <v>43656.0</v>
      </c>
      <c r="B1998" s="69" t="s">
        <v>1447</v>
      </c>
    </row>
    <row r="1999">
      <c r="A1999" s="66">
        <v>43657.0</v>
      </c>
      <c r="B1999" s="69" t="s">
        <v>1448</v>
      </c>
    </row>
    <row r="2000">
      <c r="A2000" s="66">
        <v>43658.0</v>
      </c>
      <c r="B2000" s="69" t="s">
        <v>1449</v>
      </c>
    </row>
    <row r="2001">
      <c r="A2001" s="66">
        <v>43659.0</v>
      </c>
      <c r="B2001" s="69" t="s">
        <v>1450</v>
      </c>
    </row>
    <row r="2002">
      <c r="A2002" s="66">
        <v>43660.0</v>
      </c>
      <c r="B2002" s="69" t="s">
        <v>1450</v>
      </c>
    </row>
    <row r="2003">
      <c r="A2003" s="66">
        <v>43661.0</v>
      </c>
      <c r="B2003" s="69" t="s">
        <v>1451</v>
      </c>
    </row>
    <row r="2004">
      <c r="A2004" s="66">
        <v>43662.0</v>
      </c>
      <c r="B2004" s="69" t="s">
        <v>1452</v>
      </c>
    </row>
    <row r="2005">
      <c r="A2005" s="66">
        <v>43663.0</v>
      </c>
      <c r="B2005" s="69" t="s">
        <v>1453</v>
      </c>
    </row>
    <row r="2006">
      <c r="A2006" s="66">
        <v>43664.0</v>
      </c>
      <c r="B2006" s="69" t="s">
        <v>1454</v>
      </c>
    </row>
    <row r="2007">
      <c r="A2007" s="66">
        <v>43665.0</v>
      </c>
      <c r="B2007" s="69" t="s">
        <v>1455</v>
      </c>
    </row>
    <row r="2008">
      <c r="A2008" s="66">
        <v>43666.0</v>
      </c>
      <c r="B2008" s="69" t="s">
        <v>1368</v>
      </c>
    </row>
    <row r="2009">
      <c r="A2009" s="66">
        <v>43667.0</v>
      </c>
      <c r="B2009" s="69" t="s">
        <v>1368</v>
      </c>
    </row>
    <row r="2010">
      <c r="A2010" s="66">
        <v>43668.0</v>
      </c>
      <c r="B2010" s="69" t="s">
        <v>1455</v>
      </c>
    </row>
    <row r="2011">
      <c r="A2011" s="66">
        <v>43669.0</v>
      </c>
      <c r="B2011" s="69" t="s">
        <v>1456</v>
      </c>
    </row>
    <row r="2012">
      <c r="A2012" s="66">
        <v>43670.0</v>
      </c>
      <c r="B2012" s="69" t="s">
        <v>1457</v>
      </c>
    </row>
    <row r="2013">
      <c r="A2013" s="66">
        <v>43671.0</v>
      </c>
      <c r="B2013" s="69" t="s">
        <v>1381</v>
      </c>
    </row>
    <row r="2014">
      <c r="A2014" s="66">
        <v>43672.0</v>
      </c>
      <c r="B2014" s="69" t="s">
        <v>1458</v>
      </c>
    </row>
    <row r="2015">
      <c r="A2015" s="66">
        <v>43673.0</v>
      </c>
      <c r="B2015" s="69" t="s">
        <v>1459</v>
      </c>
    </row>
    <row r="2016">
      <c r="A2016" s="66">
        <v>43674.0</v>
      </c>
      <c r="B2016" s="69" t="s">
        <v>1459</v>
      </c>
    </row>
    <row r="2017">
      <c r="A2017" s="66">
        <v>43675.0</v>
      </c>
      <c r="B2017" s="69" t="s">
        <v>1460</v>
      </c>
    </row>
    <row r="2018">
      <c r="A2018" s="66">
        <v>43676.0</v>
      </c>
      <c r="B2018" s="69" t="s">
        <v>1461</v>
      </c>
    </row>
    <row r="2019">
      <c r="A2019" s="66">
        <v>43677.0</v>
      </c>
      <c r="B2019" s="69" t="s">
        <v>1462</v>
      </c>
    </row>
    <row r="2020">
      <c r="A2020" s="66">
        <v>43678.0</v>
      </c>
      <c r="B2020" s="69" t="s">
        <v>1419</v>
      </c>
    </row>
    <row r="2021">
      <c r="A2021" s="66">
        <v>43679.0</v>
      </c>
      <c r="B2021" s="69" t="s">
        <v>1419</v>
      </c>
    </row>
    <row r="2022">
      <c r="A2022" s="66">
        <v>43680.0</v>
      </c>
      <c r="B2022" s="69" t="s">
        <v>1463</v>
      </c>
    </row>
    <row r="2023">
      <c r="A2023" s="66">
        <v>43681.0</v>
      </c>
      <c r="B2023" s="69" t="s">
        <v>1463</v>
      </c>
    </row>
    <row r="2024">
      <c r="A2024" s="66">
        <v>43682.0</v>
      </c>
      <c r="B2024" s="69" t="s">
        <v>1464</v>
      </c>
    </row>
    <row r="2025">
      <c r="A2025" s="66">
        <v>43683.0</v>
      </c>
      <c r="B2025" s="69" t="s">
        <v>1465</v>
      </c>
    </row>
    <row r="2026">
      <c r="A2026" s="66">
        <v>43684.0</v>
      </c>
      <c r="B2026" s="69" t="s">
        <v>1466</v>
      </c>
    </row>
    <row r="2027">
      <c r="A2027" s="66">
        <v>43685.0</v>
      </c>
      <c r="B2027" s="69" t="s">
        <v>1467</v>
      </c>
    </row>
    <row r="2028">
      <c r="A2028" s="66">
        <v>43686.0</v>
      </c>
      <c r="B2028" s="69" t="s">
        <v>1468</v>
      </c>
    </row>
    <row r="2029">
      <c r="A2029" s="66">
        <v>43687.0</v>
      </c>
      <c r="B2029" s="69" t="s">
        <v>1469</v>
      </c>
    </row>
    <row r="2030">
      <c r="A2030" s="66">
        <v>43688.0</v>
      </c>
      <c r="B2030" s="69" t="s">
        <v>1469</v>
      </c>
    </row>
    <row r="2031">
      <c r="A2031" s="66">
        <v>43689.0</v>
      </c>
      <c r="B2031" s="69" t="s">
        <v>1470</v>
      </c>
    </row>
    <row r="2032">
      <c r="A2032" s="66">
        <v>43690.0</v>
      </c>
      <c r="B2032" s="69" t="s">
        <v>1471</v>
      </c>
    </row>
    <row r="2033">
      <c r="A2033" s="66">
        <v>43691.0</v>
      </c>
      <c r="B2033" s="69" t="s">
        <v>1472</v>
      </c>
    </row>
    <row r="2034">
      <c r="A2034" s="66">
        <v>43692.0</v>
      </c>
      <c r="B2034" s="69" t="s">
        <v>1473</v>
      </c>
    </row>
    <row r="2035">
      <c r="A2035" s="66">
        <v>43693.0</v>
      </c>
      <c r="B2035" s="69" t="s">
        <v>1474</v>
      </c>
    </row>
    <row r="2036">
      <c r="A2036" s="66">
        <v>43694.0</v>
      </c>
      <c r="B2036" s="69" t="s">
        <v>1475</v>
      </c>
    </row>
    <row r="2037">
      <c r="A2037" s="66">
        <v>43695.0</v>
      </c>
      <c r="B2037" s="69" t="s">
        <v>1475</v>
      </c>
    </row>
    <row r="2038">
      <c r="A2038" s="66">
        <v>43696.0</v>
      </c>
      <c r="B2038" s="69" t="s">
        <v>1475</v>
      </c>
    </row>
    <row r="2039">
      <c r="A2039" s="66">
        <v>43697.0</v>
      </c>
      <c r="B2039" s="69" t="s">
        <v>1476</v>
      </c>
    </row>
    <row r="2040">
      <c r="A2040" s="66">
        <v>43698.0</v>
      </c>
      <c r="B2040" s="69" t="s">
        <v>1477</v>
      </c>
    </row>
    <row r="2041">
      <c r="A2041" s="66">
        <v>43699.0</v>
      </c>
      <c r="B2041" s="69" t="s">
        <v>1478</v>
      </c>
    </row>
    <row r="2042">
      <c r="A2042" s="66">
        <v>43700.0</v>
      </c>
      <c r="B2042" s="69" t="s">
        <v>1479</v>
      </c>
    </row>
    <row r="2043">
      <c r="A2043" s="66">
        <v>43701.0</v>
      </c>
      <c r="B2043" s="69" t="s">
        <v>1480</v>
      </c>
    </row>
    <row r="2044">
      <c r="A2044" s="66">
        <v>43702.0</v>
      </c>
      <c r="B2044" s="69" t="s">
        <v>1480</v>
      </c>
    </row>
    <row r="2045">
      <c r="A2045" s="66">
        <v>43703.0</v>
      </c>
      <c r="B2045" s="69" t="s">
        <v>1478</v>
      </c>
    </row>
    <row r="2046">
      <c r="A2046" s="66">
        <v>43704.0</v>
      </c>
      <c r="B2046" s="69" t="s">
        <v>1481</v>
      </c>
    </row>
    <row r="2047">
      <c r="A2047" s="66">
        <v>43705.0</v>
      </c>
      <c r="B2047" s="69" t="s">
        <v>1482</v>
      </c>
    </row>
    <row r="2048">
      <c r="A2048" s="66">
        <v>43706.0</v>
      </c>
      <c r="B2048" s="69" t="s">
        <v>1483</v>
      </c>
    </row>
    <row r="2049">
      <c r="A2049" s="66">
        <v>43707.0</v>
      </c>
      <c r="B2049" s="69" t="s">
        <v>1484</v>
      </c>
    </row>
    <row r="2050">
      <c r="A2050" s="66">
        <v>43708.0</v>
      </c>
      <c r="B2050" s="69" t="s">
        <v>1485</v>
      </c>
    </row>
    <row r="2051">
      <c r="A2051" s="66">
        <v>43709.0</v>
      </c>
      <c r="B2051" s="69" t="s">
        <v>1485</v>
      </c>
    </row>
    <row r="2052">
      <c r="A2052" s="66">
        <v>43710.0</v>
      </c>
      <c r="B2052" s="69" t="s">
        <v>1486</v>
      </c>
    </row>
    <row r="2053">
      <c r="A2053" s="66">
        <v>43711.0</v>
      </c>
      <c r="B2053" s="69" t="s">
        <v>1487</v>
      </c>
    </row>
    <row r="2054">
      <c r="A2054" s="66">
        <v>43712.0</v>
      </c>
      <c r="B2054" s="69" t="s">
        <v>1488</v>
      </c>
    </row>
    <row r="2055">
      <c r="A2055" s="66">
        <v>43713.0</v>
      </c>
      <c r="B2055" s="69" t="s">
        <v>1489</v>
      </c>
    </row>
    <row r="2056">
      <c r="A2056" s="66">
        <v>43714.0</v>
      </c>
      <c r="B2056" s="69" t="s">
        <v>1490</v>
      </c>
    </row>
    <row r="2057">
      <c r="A2057" s="66">
        <v>43715.0</v>
      </c>
      <c r="B2057" s="69" t="s">
        <v>1491</v>
      </c>
    </row>
    <row r="2058">
      <c r="A2058" s="66">
        <v>43716.0</v>
      </c>
      <c r="B2058" s="69" t="s">
        <v>1491</v>
      </c>
    </row>
    <row r="2059">
      <c r="A2059" s="66">
        <v>43717.0</v>
      </c>
      <c r="B2059" s="69" t="s">
        <v>1492</v>
      </c>
    </row>
    <row r="2060">
      <c r="A2060" s="66">
        <v>43718.0</v>
      </c>
      <c r="B2060" s="69" t="s">
        <v>1493</v>
      </c>
    </row>
    <row r="2061">
      <c r="A2061" s="66">
        <v>43719.0</v>
      </c>
      <c r="B2061" s="69" t="s">
        <v>1494</v>
      </c>
    </row>
    <row r="2062">
      <c r="A2062" s="66">
        <v>43720.0</v>
      </c>
      <c r="B2062" s="69" t="s">
        <v>1495</v>
      </c>
    </row>
    <row r="2063">
      <c r="A2063" s="66">
        <v>43721.0</v>
      </c>
      <c r="B2063" s="69" t="s">
        <v>1496</v>
      </c>
    </row>
    <row r="2064">
      <c r="A2064" s="66">
        <v>43722.0</v>
      </c>
      <c r="B2064" s="69" t="s">
        <v>1497</v>
      </c>
    </row>
    <row r="2065">
      <c r="A2065" s="66">
        <v>43723.0</v>
      </c>
      <c r="B2065" s="69" t="s">
        <v>1497</v>
      </c>
    </row>
    <row r="2066">
      <c r="A2066" s="66">
        <v>43724.0</v>
      </c>
      <c r="B2066" s="69" t="s">
        <v>1498</v>
      </c>
    </row>
    <row r="2067">
      <c r="A2067" s="66">
        <v>43725.0</v>
      </c>
      <c r="B2067" s="69" t="s">
        <v>1499</v>
      </c>
    </row>
    <row r="2068">
      <c r="A2068" s="66">
        <v>43726.0</v>
      </c>
      <c r="B2068" s="69" t="s">
        <v>1500</v>
      </c>
    </row>
    <row r="2069">
      <c r="A2069" s="66">
        <v>43727.0</v>
      </c>
      <c r="B2069" s="69" t="s">
        <v>1501</v>
      </c>
    </row>
    <row r="2070">
      <c r="A2070" s="66">
        <v>43728.0</v>
      </c>
      <c r="B2070" s="69" t="s">
        <v>1502</v>
      </c>
    </row>
    <row r="2071">
      <c r="A2071" s="66">
        <v>43729.0</v>
      </c>
      <c r="B2071" s="69" t="s">
        <v>1503</v>
      </c>
    </row>
    <row r="2072">
      <c r="A2072" s="66">
        <v>43730.0</v>
      </c>
      <c r="B2072" s="69" t="s">
        <v>1503</v>
      </c>
    </row>
    <row r="2073">
      <c r="A2073" s="66">
        <v>43731.0</v>
      </c>
      <c r="B2073" s="69" t="s">
        <v>1504</v>
      </c>
    </row>
    <row r="2074">
      <c r="A2074" s="66">
        <v>43732.0</v>
      </c>
      <c r="B2074" s="69" t="s">
        <v>1505</v>
      </c>
    </row>
    <row r="2075">
      <c r="A2075" s="66">
        <v>43733.0</v>
      </c>
      <c r="B2075" s="69" t="s">
        <v>1506</v>
      </c>
    </row>
    <row r="2076">
      <c r="A2076" s="66">
        <v>43734.0</v>
      </c>
      <c r="B2076" s="69" t="s">
        <v>1507</v>
      </c>
    </row>
    <row r="2077">
      <c r="A2077" s="66">
        <v>43735.0</v>
      </c>
      <c r="B2077" s="69" t="s">
        <v>1508</v>
      </c>
    </row>
    <row r="2078">
      <c r="A2078" s="66">
        <v>43736.0</v>
      </c>
      <c r="B2078" s="69" t="s">
        <v>1509</v>
      </c>
    </row>
    <row r="2079">
      <c r="A2079" s="66">
        <v>43737.0</v>
      </c>
      <c r="B2079" s="69" t="s">
        <v>1509</v>
      </c>
    </row>
    <row r="2080">
      <c r="A2080" s="66">
        <v>43738.0</v>
      </c>
      <c r="B2080" s="69" t="s">
        <v>1510</v>
      </c>
    </row>
    <row r="2081">
      <c r="A2081" s="66">
        <v>43739.0</v>
      </c>
      <c r="B2081" s="69" t="s">
        <v>1511</v>
      </c>
    </row>
    <row r="2082">
      <c r="A2082" s="66">
        <v>43740.0</v>
      </c>
      <c r="B2082" s="69" t="s">
        <v>1512</v>
      </c>
    </row>
    <row r="2083">
      <c r="A2083" s="66">
        <v>43741.0</v>
      </c>
      <c r="B2083" s="69" t="s">
        <v>1513</v>
      </c>
    </row>
    <row r="2084">
      <c r="A2084" s="66">
        <v>43742.0</v>
      </c>
      <c r="B2084" s="69" t="s">
        <v>1514</v>
      </c>
    </row>
    <row r="2085">
      <c r="A2085" s="66">
        <v>43743.0</v>
      </c>
      <c r="B2085" s="69" t="s">
        <v>1515</v>
      </c>
    </row>
    <row r="2086">
      <c r="A2086" s="66">
        <v>43744.0</v>
      </c>
      <c r="B2086" s="69" t="s">
        <v>1515</v>
      </c>
    </row>
    <row r="2087">
      <c r="A2087" s="66">
        <v>43745.0</v>
      </c>
      <c r="B2087" s="69" t="s">
        <v>1516</v>
      </c>
    </row>
    <row r="2088">
      <c r="A2088" s="66">
        <v>43746.0</v>
      </c>
      <c r="B2088" s="69" t="s">
        <v>1517</v>
      </c>
    </row>
    <row r="2089">
      <c r="A2089" s="66">
        <v>43747.0</v>
      </c>
      <c r="B2089" s="69" t="s">
        <v>1518</v>
      </c>
    </row>
    <row r="2090">
      <c r="A2090" s="66">
        <v>43748.0</v>
      </c>
      <c r="B2090" s="69" t="s">
        <v>1519</v>
      </c>
    </row>
    <row r="2091">
      <c r="A2091" s="66">
        <v>43749.0</v>
      </c>
      <c r="B2091" s="69" t="s">
        <v>1520</v>
      </c>
    </row>
    <row r="2092">
      <c r="A2092" s="66">
        <v>43750.0</v>
      </c>
      <c r="B2092" s="69" t="s">
        <v>1500</v>
      </c>
    </row>
    <row r="2093">
      <c r="A2093" s="66">
        <v>43751.0</v>
      </c>
      <c r="B2093" s="69" t="s">
        <v>1500</v>
      </c>
    </row>
    <row r="2094">
      <c r="A2094" s="66">
        <v>43752.0</v>
      </c>
      <c r="B2094" s="69" t="s">
        <v>1500</v>
      </c>
    </row>
    <row r="2095">
      <c r="A2095" s="66">
        <v>43753.0</v>
      </c>
      <c r="B2095" s="69" t="s">
        <v>1521</v>
      </c>
    </row>
    <row r="2096">
      <c r="A2096" s="66">
        <v>43754.0</v>
      </c>
      <c r="B2096" s="69" t="s">
        <v>1500</v>
      </c>
    </row>
    <row r="2097">
      <c r="A2097" s="66">
        <v>43755.0</v>
      </c>
      <c r="B2097" s="69" t="s">
        <v>1522</v>
      </c>
    </row>
    <row r="2098">
      <c r="A2098" s="66">
        <v>43756.0</v>
      </c>
      <c r="B2098" s="69" t="s">
        <v>1523</v>
      </c>
    </row>
    <row r="2099">
      <c r="A2099" s="66">
        <v>43757.0</v>
      </c>
      <c r="B2099" s="69" t="s">
        <v>1524</v>
      </c>
    </row>
    <row r="2100">
      <c r="A2100" s="66">
        <v>43758.0</v>
      </c>
      <c r="B2100" s="69" t="s">
        <v>1524</v>
      </c>
    </row>
    <row r="2101">
      <c r="A2101" s="66">
        <v>43759.0</v>
      </c>
      <c r="B2101" s="69" t="s">
        <v>1523</v>
      </c>
    </row>
    <row r="2102">
      <c r="A2102" s="66">
        <v>43760.0</v>
      </c>
      <c r="B2102" s="69" t="s">
        <v>1525</v>
      </c>
    </row>
    <row r="2103">
      <c r="A2103" s="66">
        <v>43761.0</v>
      </c>
      <c r="B2103" s="69" t="s">
        <v>1526</v>
      </c>
    </row>
    <row r="2104">
      <c r="A2104" s="66">
        <v>43762.0</v>
      </c>
      <c r="B2104" s="69" t="s">
        <v>1527</v>
      </c>
    </row>
    <row r="2105">
      <c r="A2105" s="66">
        <v>43763.0</v>
      </c>
      <c r="B2105" s="69" t="s">
        <v>1528</v>
      </c>
    </row>
    <row r="2106">
      <c r="A2106" s="66">
        <v>43764.0</v>
      </c>
      <c r="B2106" s="69" t="s">
        <v>1529</v>
      </c>
    </row>
    <row r="2107">
      <c r="A2107" s="66">
        <v>43765.0</v>
      </c>
      <c r="B2107" s="69" t="s">
        <v>1529</v>
      </c>
    </row>
    <row r="2108">
      <c r="A2108" s="66">
        <v>43766.0</v>
      </c>
      <c r="B2108" s="69" t="s">
        <v>1529</v>
      </c>
    </row>
    <row r="2109">
      <c r="A2109" s="66">
        <v>43767.0</v>
      </c>
      <c r="B2109" s="69" t="s">
        <v>1530</v>
      </c>
    </row>
    <row r="2110">
      <c r="A2110" s="66">
        <v>43768.0</v>
      </c>
      <c r="B2110" s="69" t="s">
        <v>1531</v>
      </c>
    </row>
    <row r="2111">
      <c r="A2111" s="66">
        <v>43769.0</v>
      </c>
      <c r="B2111" s="69" t="s">
        <v>1532</v>
      </c>
    </row>
    <row r="2112">
      <c r="A2112" s="66">
        <v>43770.0</v>
      </c>
      <c r="B2112" s="69" t="s">
        <v>1533</v>
      </c>
    </row>
    <row r="2113">
      <c r="A2113" s="66">
        <v>43771.0</v>
      </c>
      <c r="B2113" s="69" t="s">
        <v>1534</v>
      </c>
    </row>
    <row r="2114">
      <c r="A2114" s="66">
        <v>43772.0</v>
      </c>
      <c r="B2114" s="69" t="s">
        <v>1534</v>
      </c>
    </row>
    <row r="2115">
      <c r="A2115" s="66">
        <v>43773.0</v>
      </c>
      <c r="B2115" s="69" t="s">
        <v>1534</v>
      </c>
    </row>
    <row r="2116">
      <c r="A2116" s="66">
        <v>43774.0</v>
      </c>
      <c r="B2116" s="69" t="s">
        <v>1535</v>
      </c>
    </row>
    <row r="2117">
      <c r="A2117" s="66">
        <v>43775.0</v>
      </c>
      <c r="B2117" s="69" t="s">
        <v>1536</v>
      </c>
    </row>
    <row r="2118">
      <c r="A2118" s="66">
        <v>43776.0</v>
      </c>
      <c r="B2118" s="69" t="s">
        <v>1537</v>
      </c>
    </row>
    <row r="2119">
      <c r="A2119" s="66">
        <v>43777.0</v>
      </c>
      <c r="B2119" s="69" t="s">
        <v>1538</v>
      </c>
    </row>
    <row r="2120">
      <c r="A2120" s="66">
        <v>43778.0</v>
      </c>
      <c r="B2120" s="69" t="s">
        <v>1539</v>
      </c>
    </row>
    <row r="2121">
      <c r="A2121" s="66">
        <v>43779.0</v>
      </c>
      <c r="B2121" s="69" t="s">
        <v>1539</v>
      </c>
    </row>
    <row r="2122">
      <c r="A2122" s="66">
        <v>43780.0</v>
      </c>
      <c r="B2122" s="69" t="s">
        <v>1540</v>
      </c>
    </row>
    <row r="2123">
      <c r="A2123" s="66">
        <v>43781.0</v>
      </c>
      <c r="B2123" s="69" t="s">
        <v>1541</v>
      </c>
    </row>
    <row r="2124">
      <c r="A2124" s="66">
        <v>43782.0</v>
      </c>
      <c r="B2124" s="69" t="s">
        <v>1542</v>
      </c>
    </row>
    <row r="2125">
      <c r="A2125" s="66">
        <v>43783.0</v>
      </c>
      <c r="B2125" s="69" t="s">
        <v>1543</v>
      </c>
    </row>
    <row r="2126">
      <c r="A2126" s="66">
        <v>43784.0</v>
      </c>
      <c r="B2126" s="69" t="s">
        <v>1544</v>
      </c>
    </row>
    <row r="2127">
      <c r="A2127" s="66">
        <v>43785.0</v>
      </c>
      <c r="B2127" s="69" t="s">
        <v>1545</v>
      </c>
    </row>
    <row r="2128">
      <c r="A2128" s="66">
        <v>43786.0</v>
      </c>
      <c r="B2128" s="69" t="s">
        <v>1545</v>
      </c>
    </row>
    <row r="2129">
      <c r="A2129" s="66">
        <v>43787.0</v>
      </c>
      <c r="B2129" s="69" t="s">
        <v>1545</v>
      </c>
    </row>
    <row r="2130">
      <c r="A2130" s="66">
        <v>43788.0</v>
      </c>
      <c r="B2130" s="69" t="s">
        <v>1546</v>
      </c>
    </row>
    <row r="2131">
      <c r="A2131" s="66">
        <v>43789.0</v>
      </c>
      <c r="B2131" s="69" t="s">
        <v>1547</v>
      </c>
    </row>
    <row r="2132">
      <c r="A2132" s="66">
        <v>43790.0</v>
      </c>
      <c r="B2132" s="69" t="s">
        <v>1548</v>
      </c>
    </row>
    <row r="2133">
      <c r="A2133" s="66">
        <v>43791.0</v>
      </c>
      <c r="B2133" s="69" t="s">
        <v>1549</v>
      </c>
    </row>
    <row r="2134">
      <c r="A2134" s="66">
        <v>43792.0</v>
      </c>
      <c r="B2134" s="69" t="s">
        <v>1550</v>
      </c>
    </row>
    <row r="2135">
      <c r="A2135" s="66">
        <v>43793.0</v>
      </c>
      <c r="B2135" s="69" t="s">
        <v>1550</v>
      </c>
    </row>
    <row r="2136">
      <c r="A2136" s="66">
        <v>43794.0</v>
      </c>
      <c r="B2136" s="69" t="s">
        <v>1549</v>
      </c>
    </row>
    <row r="2137">
      <c r="A2137" s="66">
        <v>43795.0</v>
      </c>
      <c r="B2137" s="69" t="s">
        <v>1551</v>
      </c>
    </row>
    <row r="2138">
      <c r="A2138" s="66">
        <v>43796.0</v>
      </c>
      <c r="B2138" s="69" t="s">
        <v>1552</v>
      </c>
    </row>
    <row r="2139">
      <c r="A2139" s="66">
        <v>43797.0</v>
      </c>
      <c r="B2139" s="69" t="s">
        <v>1553</v>
      </c>
    </row>
    <row r="2140">
      <c r="A2140" s="66">
        <v>43798.0</v>
      </c>
      <c r="B2140" s="69" t="s">
        <v>1554</v>
      </c>
    </row>
    <row r="2141">
      <c r="A2141" s="66">
        <v>43799.0</v>
      </c>
      <c r="B2141" s="69" t="s">
        <v>1555</v>
      </c>
    </row>
    <row r="2142">
      <c r="A2142" s="66">
        <v>43800.0</v>
      </c>
      <c r="B2142" s="69" t="s">
        <v>1555</v>
      </c>
    </row>
    <row r="2143">
      <c r="A2143" s="66">
        <v>43801.0</v>
      </c>
      <c r="B2143" s="69" t="s">
        <v>1556</v>
      </c>
    </row>
    <row r="2144">
      <c r="A2144" s="66">
        <v>43802.0</v>
      </c>
      <c r="B2144" s="69" t="s">
        <v>1557</v>
      </c>
    </row>
    <row r="2145">
      <c r="A2145" s="66">
        <v>43803.0</v>
      </c>
      <c r="B2145" s="69" t="s">
        <v>1558</v>
      </c>
    </row>
    <row r="2146">
      <c r="A2146" s="66">
        <v>43804.0</v>
      </c>
      <c r="B2146" s="69" t="s">
        <v>1559</v>
      </c>
    </row>
    <row r="2147">
      <c r="A2147" s="66">
        <v>43805.0</v>
      </c>
      <c r="B2147" s="69" t="s">
        <v>1560</v>
      </c>
    </row>
    <row r="2148">
      <c r="A2148" s="66">
        <v>43806.0</v>
      </c>
      <c r="B2148" s="69" t="s">
        <v>1561</v>
      </c>
    </row>
    <row r="2149">
      <c r="A2149" s="66">
        <v>43807.0</v>
      </c>
      <c r="B2149" s="69" t="s">
        <v>1561</v>
      </c>
    </row>
    <row r="2150">
      <c r="A2150" s="66">
        <v>43808.0</v>
      </c>
      <c r="B2150" s="69" t="s">
        <v>1562</v>
      </c>
    </row>
    <row r="2151">
      <c r="A2151" s="66">
        <v>43809.0</v>
      </c>
      <c r="B2151" s="69" t="s">
        <v>1563</v>
      </c>
    </row>
    <row r="2152">
      <c r="A2152" s="66">
        <v>43810.0</v>
      </c>
      <c r="B2152" s="69" t="s">
        <v>1564</v>
      </c>
    </row>
    <row r="2153">
      <c r="A2153" s="66">
        <v>43811.0</v>
      </c>
      <c r="B2153" s="69" t="s">
        <v>1565</v>
      </c>
    </row>
    <row r="2154">
      <c r="A2154" s="66">
        <v>43812.0</v>
      </c>
      <c r="B2154" s="69" t="s">
        <v>1566</v>
      </c>
    </row>
    <row r="2155">
      <c r="A2155" s="66">
        <v>43813.0</v>
      </c>
      <c r="B2155" s="69" t="s">
        <v>1567</v>
      </c>
    </row>
    <row r="2156">
      <c r="A2156" s="66">
        <v>43814.0</v>
      </c>
      <c r="B2156" s="69" t="s">
        <v>1567</v>
      </c>
    </row>
    <row r="2157">
      <c r="A2157" s="66">
        <v>43815.0</v>
      </c>
      <c r="B2157" s="69" t="s">
        <v>1567</v>
      </c>
    </row>
    <row r="2158">
      <c r="A2158" s="66">
        <v>43816.0</v>
      </c>
      <c r="B2158" s="69" t="s">
        <v>1568</v>
      </c>
    </row>
    <row r="2159">
      <c r="A2159" s="66">
        <v>43817.0</v>
      </c>
      <c r="B2159" s="69" t="s">
        <v>1569</v>
      </c>
    </row>
    <row r="2160">
      <c r="A2160" s="66">
        <v>43818.0</v>
      </c>
      <c r="B2160" s="69" t="s">
        <v>1570</v>
      </c>
    </row>
    <row r="2161">
      <c r="A2161" s="66">
        <v>43819.0</v>
      </c>
      <c r="B2161" s="69" t="s">
        <v>1571</v>
      </c>
    </row>
    <row r="2162">
      <c r="A2162" s="66">
        <v>43820.0</v>
      </c>
      <c r="B2162" s="69" t="s">
        <v>1572</v>
      </c>
    </row>
    <row r="2163">
      <c r="A2163" s="66">
        <v>43821.0</v>
      </c>
      <c r="B2163" s="69" t="s">
        <v>1572</v>
      </c>
    </row>
    <row r="2164">
      <c r="A2164" s="66">
        <v>43822.0</v>
      </c>
      <c r="B2164" s="69" t="s">
        <v>1572</v>
      </c>
    </row>
    <row r="2165">
      <c r="A2165" s="66">
        <v>43823.0</v>
      </c>
      <c r="B2165" s="69" t="s">
        <v>1573</v>
      </c>
    </row>
    <row r="2166">
      <c r="A2166" s="66">
        <v>43824.0</v>
      </c>
      <c r="B2166" s="69" t="s">
        <v>1573</v>
      </c>
    </row>
    <row r="2167">
      <c r="A2167" s="66">
        <v>43825.0</v>
      </c>
      <c r="B2167" s="69" t="s">
        <v>1574</v>
      </c>
    </row>
    <row r="2168">
      <c r="A2168" s="66">
        <v>43826.0</v>
      </c>
      <c r="B2168" s="69" t="s">
        <v>1575</v>
      </c>
    </row>
    <row r="2169">
      <c r="A2169" s="66">
        <v>43827.0</v>
      </c>
      <c r="B2169" s="69" t="s">
        <v>1576</v>
      </c>
    </row>
    <row r="2170">
      <c r="A2170" s="66">
        <v>43828.0</v>
      </c>
      <c r="B2170" s="69" t="s">
        <v>1576</v>
      </c>
    </row>
    <row r="2171">
      <c r="A2171" s="66">
        <v>43829.0</v>
      </c>
      <c r="B2171" s="69" t="s">
        <v>1576</v>
      </c>
    </row>
    <row r="2172">
      <c r="A2172" s="66">
        <v>43830.0</v>
      </c>
      <c r="B2172" s="69" t="s">
        <v>1577</v>
      </c>
    </row>
    <row r="2173">
      <c r="A2173" s="66">
        <v>43831.0</v>
      </c>
      <c r="B2173" s="69" t="s">
        <v>1577</v>
      </c>
    </row>
    <row r="2174">
      <c r="A2174" s="66">
        <v>43832.0</v>
      </c>
      <c r="B2174" s="69" t="s">
        <v>1577</v>
      </c>
    </row>
    <row r="2175">
      <c r="A2175" s="66">
        <v>43833.0</v>
      </c>
      <c r="B2175" s="69" t="s">
        <v>1578</v>
      </c>
    </row>
    <row r="2176">
      <c r="A2176" s="66">
        <v>43834.0</v>
      </c>
      <c r="B2176" s="69" t="s">
        <v>1579</v>
      </c>
    </row>
    <row r="2177">
      <c r="A2177" s="66">
        <v>43835.0</v>
      </c>
      <c r="B2177" s="69" t="s">
        <v>1579</v>
      </c>
    </row>
    <row r="2178">
      <c r="A2178" s="66">
        <v>43836.0</v>
      </c>
      <c r="B2178" s="69" t="s">
        <v>1579</v>
      </c>
    </row>
    <row r="2179">
      <c r="A2179" s="66">
        <v>43837.0</v>
      </c>
      <c r="B2179" s="69" t="s">
        <v>1580</v>
      </c>
    </row>
    <row r="2180">
      <c r="A2180" s="66">
        <v>43838.0</v>
      </c>
      <c r="B2180" s="69" t="s">
        <v>1581</v>
      </c>
    </row>
    <row r="2181">
      <c r="A2181" s="66">
        <v>43839.0</v>
      </c>
      <c r="B2181" s="69" t="s">
        <v>1582</v>
      </c>
    </row>
    <row r="2182">
      <c r="A2182" s="66">
        <v>43840.0</v>
      </c>
      <c r="B2182" s="69" t="s">
        <v>1583</v>
      </c>
    </row>
    <row r="2183">
      <c r="A2183" s="66">
        <v>43841.0</v>
      </c>
      <c r="B2183" s="69" t="s">
        <v>1584</v>
      </c>
    </row>
    <row r="2184">
      <c r="A2184" s="66">
        <v>43842.0</v>
      </c>
      <c r="B2184" s="69" t="s">
        <v>1584</v>
      </c>
    </row>
    <row r="2185">
      <c r="A2185" s="66">
        <v>43843.0</v>
      </c>
      <c r="B2185" s="69" t="s">
        <v>1584</v>
      </c>
    </row>
    <row r="2186">
      <c r="A2186" s="66">
        <v>43844.0</v>
      </c>
      <c r="B2186" s="69" t="s">
        <v>1585</v>
      </c>
    </row>
    <row r="2187">
      <c r="A2187" s="66">
        <v>43845.0</v>
      </c>
      <c r="B2187" s="69" t="s">
        <v>1586</v>
      </c>
    </row>
    <row r="2188">
      <c r="A2188" s="66">
        <v>43846.0</v>
      </c>
      <c r="B2188" s="69" t="s">
        <v>1587</v>
      </c>
    </row>
    <row r="2189">
      <c r="A2189" s="66">
        <v>43847.0</v>
      </c>
      <c r="B2189" s="69" t="s">
        <v>1588</v>
      </c>
    </row>
    <row r="2190">
      <c r="A2190" s="66">
        <v>43848.0</v>
      </c>
      <c r="B2190" s="69" t="s">
        <v>1589</v>
      </c>
    </row>
    <row r="2191">
      <c r="A2191" s="66">
        <v>43849.0</v>
      </c>
      <c r="B2191" s="69" t="s">
        <v>1589</v>
      </c>
    </row>
    <row r="2192">
      <c r="A2192" s="66">
        <v>43850.0</v>
      </c>
      <c r="B2192" s="69" t="s">
        <v>1589</v>
      </c>
    </row>
    <row r="2193">
      <c r="A2193" s="66">
        <v>43851.0</v>
      </c>
      <c r="B2193" s="69" t="s">
        <v>1590</v>
      </c>
    </row>
    <row r="2194">
      <c r="A2194" s="66">
        <v>43852.0</v>
      </c>
      <c r="B2194" s="69" t="s">
        <v>1591</v>
      </c>
    </row>
    <row r="2195">
      <c r="A2195" s="66">
        <v>43853.0</v>
      </c>
      <c r="B2195" s="69" t="s">
        <v>1592</v>
      </c>
    </row>
    <row r="2196">
      <c r="A2196" s="66">
        <v>43854.0</v>
      </c>
      <c r="B2196" s="69" t="s">
        <v>1593</v>
      </c>
    </row>
    <row r="2197">
      <c r="A2197" s="66">
        <v>43855.0</v>
      </c>
      <c r="B2197" s="69" t="s">
        <v>1594</v>
      </c>
    </row>
    <row r="2198">
      <c r="A2198" s="66">
        <v>43856.0</v>
      </c>
      <c r="B2198" s="69" t="s">
        <v>1594</v>
      </c>
    </row>
    <row r="2199">
      <c r="A2199" s="66">
        <v>43857.0</v>
      </c>
      <c r="B2199" s="69" t="s">
        <v>1594</v>
      </c>
    </row>
    <row r="2200">
      <c r="A2200" s="66">
        <v>43858.0</v>
      </c>
      <c r="B2200" s="69" t="s">
        <v>1595</v>
      </c>
    </row>
    <row r="2201">
      <c r="A2201" s="66">
        <v>43859.0</v>
      </c>
      <c r="B2201" s="69" t="s">
        <v>1596</v>
      </c>
    </row>
    <row r="2202">
      <c r="A2202" s="66">
        <v>43860.0</v>
      </c>
      <c r="B2202" s="69" t="s">
        <v>1597</v>
      </c>
    </row>
    <row r="2203">
      <c r="A2203" s="66">
        <v>43861.0</v>
      </c>
      <c r="B2203" s="69" t="s">
        <v>1598</v>
      </c>
    </row>
    <row r="2204">
      <c r="A2204" s="66">
        <v>43862.0</v>
      </c>
      <c r="B2204" s="69" t="s">
        <v>1599</v>
      </c>
    </row>
    <row r="2205">
      <c r="A2205" s="66">
        <v>43863.0</v>
      </c>
      <c r="B2205" s="69" t="s">
        <v>1599</v>
      </c>
    </row>
    <row r="2206">
      <c r="A2206" s="66">
        <v>43864.0</v>
      </c>
      <c r="B2206" s="69" t="s">
        <v>1599</v>
      </c>
    </row>
    <row r="2207">
      <c r="A2207" s="66">
        <v>43865.0</v>
      </c>
      <c r="B2207" s="69" t="s">
        <v>1600</v>
      </c>
    </row>
    <row r="2208">
      <c r="A2208" s="66">
        <v>43866.0</v>
      </c>
      <c r="B2208" s="69" t="s">
        <v>1601</v>
      </c>
    </row>
    <row r="2209">
      <c r="A2209" s="66">
        <v>43867.0</v>
      </c>
      <c r="B2209" s="69" t="s">
        <v>1602</v>
      </c>
    </row>
    <row r="2210">
      <c r="A2210" s="66">
        <v>43868.0</v>
      </c>
      <c r="B2210" s="69" t="s">
        <v>1603</v>
      </c>
    </row>
    <row r="2211">
      <c r="A2211" s="66">
        <v>43869.0</v>
      </c>
      <c r="B2211" s="69" t="s">
        <v>1604</v>
      </c>
    </row>
    <row r="2212">
      <c r="A2212" s="66">
        <v>43870.0</v>
      </c>
      <c r="B2212" s="69" t="s">
        <v>1604</v>
      </c>
    </row>
    <row r="2213">
      <c r="A2213" s="66">
        <v>43871.0</v>
      </c>
      <c r="B2213" s="69" t="s">
        <v>1604</v>
      </c>
    </row>
    <row r="2214">
      <c r="A2214" s="66">
        <v>43872.0</v>
      </c>
      <c r="B2214" s="69" t="s">
        <v>1605</v>
      </c>
    </row>
    <row r="2215">
      <c r="A2215" s="66">
        <v>43873.0</v>
      </c>
      <c r="B2215" s="69" t="s">
        <v>1606</v>
      </c>
    </row>
    <row r="2216">
      <c r="A2216" s="66">
        <v>43874.0</v>
      </c>
      <c r="B2216" s="69" t="s">
        <v>1607</v>
      </c>
    </row>
    <row r="2217">
      <c r="A2217" s="66">
        <v>43875.0</v>
      </c>
      <c r="B2217" s="69" t="s">
        <v>1608</v>
      </c>
    </row>
    <row r="2218">
      <c r="A2218" s="66">
        <v>43876.0</v>
      </c>
      <c r="B2218" s="69" t="s">
        <v>1609</v>
      </c>
    </row>
    <row r="2219">
      <c r="A2219" s="66">
        <v>43877.0</v>
      </c>
      <c r="B2219" s="69" t="s">
        <v>1609</v>
      </c>
    </row>
    <row r="2220">
      <c r="A2220" s="66">
        <v>43878.0</v>
      </c>
      <c r="B2220" s="69" t="s">
        <v>1609</v>
      </c>
    </row>
    <row r="2221">
      <c r="A2221" s="66">
        <v>43879.0</v>
      </c>
      <c r="B2221" s="69" t="s">
        <v>1610</v>
      </c>
    </row>
    <row r="2222">
      <c r="A2222" s="66">
        <v>43880.0</v>
      </c>
      <c r="B2222" s="69" t="s">
        <v>1611</v>
      </c>
    </row>
    <row r="2223">
      <c r="A2223" s="66">
        <v>43881.0</v>
      </c>
      <c r="B2223" s="69" t="s">
        <v>1612</v>
      </c>
    </row>
    <row r="2224">
      <c r="A2224" s="66">
        <v>43882.0</v>
      </c>
      <c r="B2224" s="69" t="s">
        <v>1613</v>
      </c>
    </row>
    <row r="2225">
      <c r="A2225" s="66">
        <v>43883.0</v>
      </c>
      <c r="B2225" s="69" t="s">
        <v>1614</v>
      </c>
    </row>
    <row r="2226">
      <c r="A2226" s="66">
        <v>43884.0</v>
      </c>
      <c r="B2226" s="69" t="s">
        <v>1614</v>
      </c>
    </row>
    <row r="2227">
      <c r="A2227" s="66">
        <v>43885.0</v>
      </c>
      <c r="B2227" s="69" t="s">
        <v>1614</v>
      </c>
    </row>
    <row r="2228">
      <c r="A2228" s="66">
        <v>43886.0</v>
      </c>
      <c r="B2228" s="69" t="s">
        <v>1614</v>
      </c>
    </row>
    <row r="2229">
      <c r="A2229" s="66">
        <v>43887.0</v>
      </c>
      <c r="B2229" s="69" t="s">
        <v>1614</v>
      </c>
    </row>
    <row r="2230">
      <c r="A2230" s="66">
        <v>43888.0</v>
      </c>
      <c r="B2230" s="69" t="s">
        <v>1615</v>
      </c>
    </row>
    <row r="2231">
      <c r="A2231" s="66">
        <v>43889.0</v>
      </c>
      <c r="B2231" s="69" t="s">
        <v>1616</v>
      </c>
    </row>
    <row r="2232">
      <c r="A2232" s="66">
        <v>43890.0</v>
      </c>
      <c r="B2232" s="69" t="s">
        <v>1617</v>
      </c>
    </row>
    <row r="2233">
      <c r="A2233" s="66">
        <v>43891.0</v>
      </c>
      <c r="B2233" s="69" t="s">
        <v>1617</v>
      </c>
    </row>
    <row r="2234">
      <c r="A2234" s="66">
        <v>43892.0</v>
      </c>
      <c r="B2234" s="69" t="s">
        <v>1617</v>
      </c>
    </row>
    <row r="2235">
      <c r="A2235" s="66">
        <v>43893.0</v>
      </c>
      <c r="B2235" s="69" t="s">
        <v>1618</v>
      </c>
    </row>
    <row r="2236">
      <c r="A2236" s="66">
        <v>43894.0</v>
      </c>
      <c r="B2236" s="69" t="s">
        <v>1619</v>
      </c>
    </row>
    <row r="2237">
      <c r="A2237" s="66">
        <v>43895.0</v>
      </c>
      <c r="B2237" s="69" t="s">
        <v>1620</v>
      </c>
    </row>
    <row r="2238">
      <c r="A2238" s="66">
        <v>43896.0</v>
      </c>
      <c r="B2238" s="69" t="s">
        <v>1621</v>
      </c>
    </row>
    <row r="2239">
      <c r="A2239" s="66">
        <v>43897.0</v>
      </c>
      <c r="B2239" s="69" t="s">
        <v>1622</v>
      </c>
    </row>
    <row r="2240">
      <c r="A2240" s="66">
        <v>43898.0</v>
      </c>
      <c r="B2240" s="69" t="s">
        <v>1622</v>
      </c>
    </row>
    <row r="2241">
      <c r="A2241" s="66">
        <v>43899.0</v>
      </c>
      <c r="B2241" s="69" t="s">
        <v>1622</v>
      </c>
    </row>
    <row r="2242">
      <c r="A2242" s="66">
        <v>43900.0</v>
      </c>
      <c r="B2242" s="69" t="s">
        <v>1623</v>
      </c>
    </row>
    <row r="2243">
      <c r="A2243" s="66">
        <v>43901.0</v>
      </c>
      <c r="B2243" s="69" t="s">
        <v>1624</v>
      </c>
    </row>
    <row r="2244">
      <c r="A2244" s="66">
        <v>43902.0</v>
      </c>
      <c r="B2244" s="69" t="s">
        <v>1625</v>
      </c>
    </row>
    <row r="2245">
      <c r="A2245" s="66">
        <v>43903.0</v>
      </c>
      <c r="B2245" s="69" t="s">
        <v>1626</v>
      </c>
    </row>
    <row r="2246">
      <c r="A2246" s="66">
        <v>43904.0</v>
      </c>
      <c r="B2246" s="69" t="s">
        <v>1627</v>
      </c>
    </row>
    <row r="2247">
      <c r="A2247" s="66">
        <v>43905.0</v>
      </c>
      <c r="B2247" s="69" t="s">
        <v>1627</v>
      </c>
    </row>
    <row r="2248">
      <c r="A2248" s="66">
        <v>43906.0</v>
      </c>
      <c r="B2248" s="69" t="s">
        <v>1627</v>
      </c>
    </row>
    <row r="2249">
      <c r="A2249" s="66">
        <v>43907.0</v>
      </c>
      <c r="B2249" s="69" t="s">
        <v>1628</v>
      </c>
    </row>
    <row r="2250">
      <c r="A2250" s="66">
        <v>43908.0</v>
      </c>
      <c r="B2250" s="69" t="s">
        <v>1629</v>
      </c>
    </row>
    <row r="2251">
      <c r="A2251" s="66">
        <v>43909.0</v>
      </c>
      <c r="B2251" s="69" t="s">
        <v>1630</v>
      </c>
    </row>
    <row r="2252">
      <c r="A2252" s="66">
        <v>43910.0</v>
      </c>
      <c r="B2252" s="69" t="s">
        <v>1631</v>
      </c>
    </row>
    <row r="2253">
      <c r="A2253" s="66">
        <v>43911.0</v>
      </c>
      <c r="B2253" s="69" t="s">
        <v>1632</v>
      </c>
    </row>
    <row r="2254">
      <c r="A2254" s="66">
        <v>43912.0</v>
      </c>
      <c r="B2254" s="69" t="s">
        <v>1632</v>
      </c>
    </row>
    <row r="2255">
      <c r="A2255" s="66">
        <v>43913.0</v>
      </c>
      <c r="B2255" s="69" t="s">
        <v>1632</v>
      </c>
    </row>
    <row r="2256">
      <c r="A2256" s="66">
        <v>43914.0</v>
      </c>
      <c r="B2256" s="69" t="s">
        <v>1632</v>
      </c>
    </row>
    <row r="2257">
      <c r="A2257" s="66">
        <v>43915.0</v>
      </c>
      <c r="B2257" s="69" t="s">
        <v>1633</v>
      </c>
    </row>
    <row r="2258">
      <c r="A2258" s="66">
        <v>43916.0</v>
      </c>
      <c r="B2258" s="69" t="s">
        <v>1634</v>
      </c>
    </row>
    <row r="2259">
      <c r="A2259" s="66">
        <v>43917.0</v>
      </c>
      <c r="B2259" s="69" t="s">
        <v>1623</v>
      </c>
    </row>
    <row r="2260">
      <c r="A2260" s="66">
        <v>43918.0</v>
      </c>
      <c r="B2260" s="69" t="s">
        <v>1623</v>
      </c>
    </row>
    <row r="2261">
      <c r="A2261" s="66">
        <v>43919.0</v>
      </c>
      <c r="B2261" s="69" t="s">
        <v>1623</v>
      </c>
    </row>
    <row r="2262">
      <c r="A2262" s="66">
        <v>43920.0</v>
      </c>
      <c r="B2262" s="69" t="s">
        <v>1635</v>
      </c>
    </row>
    <row r="2263">
      <c r="A2263" s="66">
        <v>43921.0</v>
      </c>
      <c r="B2263" s="69" t="s">
        <v>1635</v>
      </c>
    </row>
    <row r="2264">
      <c r="A2264" s="66">
        <v>43922.0</v>
      </c>
      <c r="B2264" s="69" t="s">
        <v>1636</v>
      </c>
    </row>
    <row r="2265">
      <c r="A2265" s="66">
        <v>43923.0</v>
      </c>
      <c r="B2265" s="69" t="s">
        <v>1637</v>
      </c>
    </row>
    <row r="2266">
      <c r="A2266" s="66">
        <v>43924.0</v>
      </c>
      <c r="B2266" s="69" t="s">
        <v>1638</v>
      </c>
    </row>
    <row r="2267">
      <c r="A2267" s="66">
        <v>43925.0</v>
      </c>
      <c r="B2267" s="69" t="s">
        <v>1638</v>
      </c>
    </row>
    <row r="2268">
      <c r="A2268" s="66">
        <v>43926.0</v>
      </c>
      <c r="B2268" s="69" t="s">
        <v>1638</v>
      </c>
    </row>
    <row r="2269">
      <c r="A2269" s="66">
        <v>43927.0</v>
      </c>
      <c r="B2269" s="69" t="s">
        <v>1639</v>
      </c>
    </row>
    <row r="2270">
      <c r="A2270" s="66">
        <v>43928.0</v>
      </c>
      <c r="B2270" s="69" t="s">
        <v>1640</v>
      </c>
    </row>
    <row r="2271">
      <c r="A2271" s="66">
        <v>43929.0</v>
      </c>
      <c r="B2271" s="69" t="s">
        <v>1641</v>
      </c>
    </row>
    <row r="2272">
      <c r="A2272" s="66">
        <v>43930.0</v>
      </c>
      <c r="B2272" s="69" t="s">
        <v>1641</v>
      </c>
    </row>
    <row r="2273">
      <c r="A2273" s="66">
        <v>43931.0</v>
      </c>
      <c r="B2273" s="69" t="s">
        <v>1641</v>
      </c>
    </row>
    <row r="2274">
      <c r="A2274" s="66">
        <v>43932.0</v>
      </c>
      <c r="B2274" s="69" t="s">
        <v>1641</v>
      </c>
    </row>
    <row r="2275">
      <c r="A2275" s="66">
        <v>43933.0</v>
      </c>
      <c r="B2275" s="69" t="s">
        <v>1641</v>
      </c>
    </row>
    <row r="2276">
      <c r="A2276" s="66">
        <v>43934.0</v>
      </c>
      <c r="B2276" s="69" t="s">
        <v>1642</v>
      </c>
    </row>
    <row r="2277">
      <c r="A2277" s="66">
        <v>43935.0</v>
      </c>
      <c r="B2277" s="69" t="s">
        <v>1643</v>
      </c>
    </row>
    <row r="2278">
      <c r="A2278" s="66">
        <v>43936.0</v>
      </c>
      <c r="B2278" s="69" t="s">
        <v>1644</v>
      </c>
    </row>
    <row r="2279">
      <c r="A2279" s="66">
        <v>43937.0</v>
      </c>
      <c r="B2279" s="69" t="s">
        <v>1645</v>
      </c>
    </row>
    <row r="2280">
      <c r="A2280" s="66">
        <v>43938.0</v>
      </c>
      <c r="B2280" s="69" t="s">
        <v>1646</v>
      </c>
    </row>
    <row r="2281">
      <c r="A2281" s="66">
        <v>43939.0</v>
      </c>
      <c r="B2281" s="69" t="s">
        <v>1646</v>
      </c>
    </row>
    <row r="2282">
      <c r="A2282" s="66">
        <v>43940.0</v>
      </c>
      <c r="B2282" s="69" t="s">
        <v>1646</v>
      </c>
    </row>
    <row r="2283">
      <c r="A2283" s="66">
        <v>43941.0</v>
      </c>
      <c r="B2283" s="69" t="s">
        <v>1647</v>
      </c>
    </row>
    <row r="2284">
      <c r="A2284" s="66">
        <v>43942.0</v>
      </c>
      <c r="B2284" s="69" t="s">
        <v>1648</v>
      </c>
    </row>
    <row r="2285">
      <c r="A2285" s="66">
        <v>43943.0</v>
      </c>
      <c r="B2285" s="69" t="s">
        <v>1649</v>
      </c>
    </row>
    <row r="2286">
      <c r="A2286" s="66">
        <v>43944.0</v>
      </c>
      <c r="B2286" s="69" t="s">
        <v>1650</v>
      </c>
    </row>
    <row r="2287">
      <c r="A2287" s="66">
        <v>43945.0</v>
      </c>
      <c r="B2287" s="69" t="s">
        <v>1651</v>
      </c>
    </row>
    <row r="2288">
      <c r="A2288" s="66">
        <v>43946.0</v>
      </c>
      <c r="B2288" s="69" t="s">
        <v>1651</v>
      </c>
    </row>
    <row r="2289">
      <c r="A2289" s="66">
        <v>43947.0</v>
      </c>
      <c r="B2289" s="69" t="s">
        <v>1651</v>
      </c>
    </row>
    <row r="2290">
      <c r="A2290" s="66">
        <v>43948.0</v>
      </c>
      <c r="B2290" s="69" t="s">
        <v>1652</v>
      </c>
    </row>
    <row r="2291">
      <c r="A2291" s="66">
        <v>43949.0</v>
      </c>
      <c r="B2291" s="69" t="s">
        <v>1653</v>
      </c>
    </row>
    <row r="2292">
      <c r="A2292" s="66">
        <v>43950.0</v>
      </c>
      <c r="B2292" s="69" t="s">
        <v>1654</v>
      </c>
    </row>
    <row r="2293">
      <c r="A2293" s="66">
        <v>43951.0</v>
      </c>
      <c r="B2293" s="69" t="s">
        <v>1655</v>
      </c>
    </row>
    <row r="2294">
      <c r="A2294" s="66">
        <v>43952.0</v>
      </c>
      <c r="B2294" s="69" t="s">
        <v>1655</v>
      </c>
    </row>
    <row r="2295">
      <c r="A2295" s="66">
        <v>43953.0</v>
      </c>
      <c r="B2295" s="69" t="s">
        <v>1655</v>
      </c>
    </row>
    <row r="2296">
      <c r="A2296" s="66">
        <v>43954.0</v>
      </c>
      <c r="B2296" s="69" t="s">
        <v>1655</v>
      </c>
    </row>
    <row r="2297">
      <c r="A2297" s="66">
        <v>43955.0</v>
      </c>
      <c r="B2297" s="69" t="s">
        <v>1656</v>
      </c>
    </row>
    <row r="2298">
      <c r="A2298" s="66">
        <v>43956.0</v>
      </c>
      <c r="B2298" s="69" t="s">
        <v>1657</v>
      </c>
    </row>
    <row r="2299">
      <c r="A2299" s="66">
        <v>43957.0</v>
      </c>
      <c r="B2299" s="69" t="s">
        <v>1658</v>
      </c>
    </row>
    <row r="2300">
      <c r="A2300" s="66">
        <v>43958.0</v>
      </c>
      <c r="B2300" s="69" t="s">
        <v>1659</v>
      </c>
    </row>
    <row r="2301">
      <c r="A2301" s="66">
        <v>43959.0</v>
      </c>
      <c r="B2301" s="69" t="s">
        <v>1660</v>
      </c>
    </row>
    <row r="2302">
      <c r="A2302" s="66">
        <v>43960.0</v>
      </c>
      <c r="B2302" s="69" t="s">
        <v>1660</v>
      </c>
    </row>
    <row r="2303">
      <c r="A2303" s="66">
        <v>43961.0</v>
      </c>
      <c r="B2303" s="69" t="s">
        <v>1660</v>
      </c>
    </row>
    <row r="2304">
      <c r="A2304" s="66">
        <v>43962.0</v>
      </c>
      <c r="B2304" s="69" t="s">
        <v>1661</v>
      </c>
    </row>
    <row r="2305">
      <c r="A2305" s="66">
        <v>43963.0</v>
      </c>
      <c r="B2305" s="69" t="s">
        <v>1662</v>
      </c>
    </row>
    <row r="2306">
      <c r="A2306" s="66">
        <v>43964.0</v>
      </c>
      <c r="B2306" s="69" t="s">
        <v>1663</v>
      </c>
    </row>
    <row r="2307">
      <c r="A2307" s="66">
        <v>43965.0</v>
      </c>
      <c r="B2307" s="69" t="s">
        <v>1664</v>
      </c>
    </row>
    <row r="2308">
      <c r="A2308" s="66">
        <v>43966.0</v>
      </c>
      <c r="B2308" s="69" t="s">
        <v>1665</v>
      </c>
    </row>
    <row r="2309">
      <c r="A2309" s="66">
        <v>43967.0</v>
      </c>
      <c r="B2309" s="69" t="s">
        <v>1665</v>
      </c>
    </row>
    <row r="2310">
      <c r="A2310" s="66">
        <v>43968.0</v>
      </c>
      <c r="B2310" s="69" t="s">
        <v>1665</v>
      </c>
    </row>
    <row r="2311">
      <c r="A2311" s="66">
        <v>43969.0</v>
      </c>
      <c r="B2311" s="69" t="s">
        <v>1666</v>
      </c>
    </row>
    <row r="2312">
      <c r="A2312" s="66">
        <v>43970.0</v>
      </c>
      <c r="B2312" s="69" t="s">
        <v>1667</v>
      </c>
    </row>
    <row r="2313">
      <c r="A2313" s="66">
        <v>43971.0</v>
      </c>
      <c r="B2313" s="69" t="s">
        <v>1668</v>
      </c>
    </row>
    <row r="2314">
      <c r="A2314" s="66">
        <v>43972.0</v>
      </c>
      <c r="B2314" s="69" t="s">
        <v>1669</v>
      </c>
    </row>
    <row r="2315">
      <c r="A2315" s="66">
        <v>43973.0</v>
      </c>
      <c r="B2315" s="69" t="s">
        <v>1670</v>
      </c>
    </row>
    <row r="2316">
      <c r="A2316" s="66">
        <v>43974.0</v>
      </c>
      <c r="B2316" s="69" t="s">
        <v>1670</v>
      </c>
    </row>
    <row r="2317">
      <c r="A2317" s="66">
        <v>43975.0</v>
      </c>
      <c r="B2317" s="69" t="s">
        <v>1670</v>
      </c>
    </row>
    <row r="2318">
      <c r="A2318" s="66">
        <v>43976.0</v>
      </c>
      <c r="B2318" s="69" t="s">
        <v>1670</v>
      </c>
    </row>
    <row r="2319">
      <c r="A2319" s="66">
        <v>43977.0</v>
      </c>
      <c r="B2319" s="69" t="s">
        <v>1671</v>
      </c>
    </row>
    <row r="2320">
      <c r="A2320" s="66">
        <v>43978.0</v>
      </c>
      <c r="B2320" s="69" t="s">
        <v>1672</v>
      </c>
    </row>
    <row r="2321">
      <c r="A2321" s="66">
        <v>43979.0</v>
      </c>
      <c r="B2321" s="69" t="s">
        <v>1673</v>
      </c>
    </row>
    <row r="2322">
      <c r="A2322" s="66">
        <v>43980.0</v>
      </c>
      <c r="B2322" s="69" t="s">
        <v>1674</v>
      </c>
    </row>
    <row r="2323">
      <c r="A2323" s="66">
        <v>43981.0</v>
      </c>
      <c r="B2323" s="69" t="s">
        <v>1674</v>
      </c>
    </row>
    <row r="2324">
      <c r="A2324" s="66">
        <v>43982.0</v>
      </c>
      <c r="B2324" s="69" t="s">
        <v>1674</v>
      </c>
    </row>
    <row r="2325">
      <c r="A2325" s="66">
        <v>43983.0</v>
      </c>
      <c r="B2325" s="69" t="s">
        <v>1675</v>
      </c>
    </row>
    <row r="2326">
      <c r="A2326" s="66">
        <v>43984.0</v>
      </c>
      <c r="B2326" s="69" t="s">
        <v>1676</v>
      </c>
    </row>
    <row r="2327">
      <c r="A2327" s="66">
        <v>43985.0</v>
      </c>
      <c r="B2327" s="69" t="s">
        <v>1677</v>
      </c>
    </row>
    <row r="2328">
      <c r="A2328" s="66">
        <v>43986.0</v>
      </c>
      <c r="B2328" s="69" t="s">
        <v>1678</v>
      </c>
    </row>
    <row r="2329">
      <c r="A2329" s="66">
        <v>43987.0</v>
      </c>
      <c r="B2329" s="69" t="s">
        <v>1679</v>
      </c>
    </row>
    <row r="2330">
      <c r="A2330" s="66">
        <v>43988.0</v>
      </c>
      <c r="B2330" s="69" t="s">
        <v>1679</v>
      </c>
    </row>
    <row r="2331">
      <c r="A2331" s="66">
        <v>43989.0</v>
      </c>
      <c r="B2331" s="69" t="s">
        <v>1679</v>
      </c>
    </row>
    <row r="2332">
      <c r="A2332" s="66">
        <v>43990.0</v>
      </c>
      <c r="B2332" s="69" t="s">
        <v>1680</v>
      </c>
    </row>
    <row r="2333">
      <c r="A2333" s="66">
        <v>43991.0</v>
      </c>
      <c r="B2333" s="69" t="s">
        <v>1681</v>
      </c>
    </row>
    <row r="2334">
      <c r="A2334" s="66">
        <v>43992.0</v>
      </c>
      <c r="B2334" s="69" t="s">
        <v>1682</v>
      </c>
    </row>
    <row r="2335">
      <c r="A2335" s="66">
        <v>43993.0</v>
      </c>
      <c r="B2335" s="69" t="s">
        <v>1683</v>
      </c>
    </row>
    <row r="2336">
      <c r="A2336" s="66">
        <v>43994.0</v>
      </c>
      <c r="B2336" s="69" t="s">
        <v>1684</v>
      </c>
    </row>
    <row r="2337">
      <c r="A2337" s="66">
        <v>43995.0</v>
      </c>
      <c r="B2337" s="69" t="s">
        <v>1684</v>
      </c>
    </row>
    <row r="2338">
      <c r="A2338" s="66">
        <v>43996.0</v>
      </c>
      <c r="B2338" s="69" t="s">
        <v>1684</v>
      </c>
    </row>
    <row r="2339">
      <c r="A2339" s="66">
        <v>43997.0</v>
      </c>
      <c r="B2339" s="69" t="s">
        <v>1684</v>
      </c>
    </row>
    <row r="2340">
      <c r="A2340" s="66">
        <v>43998.0</v>
      </c>
      <c r="B2340" s="69" t="s">
        <v>1685</v>
      </c>
    </row>
    <row r="2341">
      <c r="A2341" s="66">
        <v>43999.0</v>
      </c>
      <c r="B2341" s="69" t="s">
        <v>1686</v>
      </c>
    </row>
    <row r="2342">
      <c r="A2342" s="66">
        <v>44000.0</v>
      </c>
      <c r="B2342" s="69" t="s">
        <v>1687</v>
      </c>
    </row>
    <row r="2343">
      <c r="A2343" s="66">
        <v>44001.0</v>
      </c>
      <c r="B2343" s="69" t="s">
        <v>1688</v>
      </c>
    </row>
    <row r="2344">
      <c r="A2344" s="66">
        <v>44002.0</v>
      </c>
      <c r="B2344" s="69" t="s">
        <v>1688</v>
      </c>
    </row>
    <row r="2345">
      <c r="A2345" s="66">
        <v>44003.0</v>
      </c>
      <c r="B2345" s="69" t="s">
        <v>1688</v>
      </c>
    </row>
    <row r="2346">
      <c r="A2346" s="66">
        <v>44004.0</v>
      </c>
      <c r="B2346" s="69" t="s">
        <v>1689</v>
      </c>
    </row>
    <row r="2347">
      <c r="A2347" s="66">
        <v>44005.0</v>
      </c>
      <c r="B2347" s="69" t="s">
        <v>1690</v>
      </c>
    </row>
    <row r="2348">
      <c r="A2348" s="66">
        <v>44006.0</v>
      </c>
      <c r="B2348" s="69" t="s">
        <v>1691</v>
      </c>
    </row>
    <row r="2349">
      <c r="A2349" s="66">
        <v>44007.0</v>
      </c>
      <c r="B2349" s="69" t="s">
        <v>1692</v>
      </c>
    </row>
    <row r="2350">
      <c r="A2350" s="66">
        <v>44008.0</v>
      </c>
      <c r="B2350" s="69" t="s">
        <v>1693</v>
      </c>
    </row>
    <row r="2351">
      <c r="A2351" s="66">
        <v>44009.0</v>
      </c>
      <c r="B2351" s="69" t="s">
        <v>1693</v>
      </c>
    </row>
    <row r="2352">
      <c r="A2352" s="66">
        <v>44010.0</v>
      </c>
      <c r="B2352" s="69" t="s">
        <v>1693</v>
      </c>
    </row>
    <row r="2353">
      <c r="A2353" s="66">
        <v>44011.0</v>
      </c>
      <c r="B2353" s="69" t="s">
        <v>1694</v>
      </c>
    </row>
    <row r="2354">
      <c r="A2354" s="66">
        <v>44012.0</v>
      </c>
      <c r="B2354" s="69" t="s">
        <v>1695</v>
      </c>
    </row>
    <row r="2355">
      <c r="A2355" s="66">
        <v>44013.0</v>
      </c>
      <c r="B2355" s="69" t="s">
        <v>1696</v>
      </c>
    </row>
    <row r="2356">
      <c r="A2356" s="66">
        <v>44014.0</v>
      </c>
      <c r="B2356" s="69" t="s">
        <v>1697</v>
      </c>
    </row>
    <row r="2357">
      <c r="A2357" s="66">
        <v>44015.0</v>
      </c>
      <c r="B2357" s="69" t="s">
        <v>1698</v>
      </c>
    </row>
    <row r="2358">
      <c r="A2358" s="66">
        <v>44016.0</v>
      </c>
      <c r="B2358" s="69" t="s">
        <v>1698</v>
      </c>
    </row>
    <row r="2359">
      <c r="A2359" s="66">
        <v>44017.0</v>
      </c>
      <c r="B2359" s="69" t="s">
        <v>1698</v>
      </c>
    </row>
    <row r="2360">
      <c r="A2360" s="66">
        <v>44018.0</v>
      </c>
      <c r="B2360" s="69" t="s">
        <v>1699</v>
      </c>
    </row>
    <row r="2361">
      <c r="A2361" s="66">
        <v>44019.0</v>
      </c>
      <c r="B2361" s="69" t="s">
        <v>1700</v>
      </c>
    </row>
    <row r="2362">
      <c r="A2362" s="66">
        <v>44020.0</v>
      </c>
      <c r="B2362" s="69" t="s">
        <v>1685</v>
      </c>
    </row>
    <row r="2363">
      <c r="A2363" s="66">
        <v>44021.0</v>
      </c>
      <c r="B2363" s="69" t="s">
        <v>1685</v>
      </c>
    </row>
    <row r="2364">
      <c r="A2364" s="66">
        <v>44022.0</v>
      </c>
      <c r="B2364" s="69" t="s">
        <v>1685</v>
      </c>
    </row>
    <row r="2365">
      <c r="A2365" s="66">
        <v>44023.0</v>
      </c>
      <c r="B2365" s="69" t="s">
        <v>1685</v>
      </c>
    </row>
    <row r="2366">
      <c r="A2366" s="66">
        <v>44024.0</v>
      </c>
      <c r="B2366" s="69" t="s">
        <v>1685</v>
      </c>
    </row>
    <row r="2367">
      <c r="A2367" s="66">
        <v>44025.0</v>
      </c>
      <c r="B2367" s="69" t="s">
        <v>1701</v>
      </c>
    </row>
    <row r="2368">
      <c r="A2368" s="66">
        <v>44026.0</v>
      </c>
      <c r="B2368" s="69" t="s">
        <v>1702</v>
      </c>
    </row>
    <row r="2369">
      <c r="A2369" s="66">
        <v>44027.0</v>
      </c>
      <c r="B2369" s="69" t="s">
        <v>1703</v>
      </c>
    </row>
    <row r="2370">
      <c r="A2370" s="66">
        <v>44028.0</v>
      </c>
      <c r="B2370" s="69" t="s">
        <v>1704</v>
      </c>
    </row>
    <row r="2371">
      <c r="A2371" s="66">
        <v>44029.0</v>
      </c>
      <c r="B2371" s="69" t="s">
        <v>1705</v>
      </c>
    </row>
    <row r="2372">
      <c r="A2372" s="66">
        <v>44030.0</v>
      </c>
      <c r="B2372" s="69" t="s">
        <v>1705</v>
      </c>
    </row>
    <row r="2373">
      <c r="A2373" s="66">
        <v>44031.0</v>
      </c>
      <c r="B2373" s="69" t="s">
        <v>1705</v>
      </c>
    </row>
    <row r="2374">
      <c r="A2374" s="66">
        <v>44032.0</v>
      </c>
      <c r="B2374" s="69" t="s">
        <v>1706</v>
      </c>
    </row>
    <row r="2375">
      <c r="A2375" s="66">
        <v>44033.0</v>
      </c>
      <c r="B2375" s="69" t="s">
        <v>1707</v>
      </c>
    </row>
    <row r="2376">
      <c r="A2376" s="66">
        <v>44034.0</v>
      </c>
      <c r="B2376" s="69" t="s">
        <v>1708</v>
      </c>
    </row>
    <row r="2377">
      <c r="A2377" s="66">
        <v>44035.0</v>
      </c>
      <c r="B2377" s="69" t="s">
        <v>1709</v>
      </c>
    </row>
    <row r="2378">
      <c r="A2378" s="66">
        <v>44036.0</v>
      </c>
      <c r="B2378" s="69" t="s">
        <v>1710</v>
      </c>
    </row>
    <row r="2379">
      <c r="A2379" s="66">
        <v>44037.0</v>
      </c>
      <c r="B2379" s="69" t="s">
        <v>1710</v>
      </c>
    </row>
    <row r="2380">
      <c r="A2380" s="66">
        <v>44038.0</v>
      </c>
      <c r="B2380" s="69" t="s">
        <v>1710</v>
      </c>
    </row>
    <row r="2381">
      <c r="A2381" s="66">
        <v>44039.0</v>
      </c>
      <c r="B2381" s="69" t="s">
        <v>1711</v>
      </c>
    </row>
    <row r="2382">
      <c r="A2382" s="66">
        <v>44040.0</v>
      </c>
      <c r="B2382" s="69" t="s">
        <v>1712</v>
      </c>
    </row>
    <row r="2383">
      <c r="A2383" s="66">
        <v>44041.0</v>
      </c>
      <c r="B2383" s="69" t="s">
        <v>1713</v>
      </c>
    </row>
    <row r="2384">
      <c r="A2384" s="66">
        <v>44042.0</v>
      </c>
      <c r="B2384" s="69" t="s">
        <v>1714</v>
      </c>
    </row>
    <row r="2385">
      <c r="A2385" s="66">
        <v>44043.0</v>
      </c>
      <c r="B2385" s="69" t="s">
        <v>1715</v>
      </c>
    </row>
    <row r="2386">
      <c r="A2386" s="66">
        <v>44044.0</v>
      </c>
      <c r="B2386" s="69" t="s">
        <v>1715</v>
      </c>
    </row>
    <row r="2387">
      <c r="A2387" s="66">
        <v>44045.0</v>
      </c>
      <c r="B2387" s="69" t="s">
        <v>1715</v>
      </c>
    </row>
    <row r="2388">
      <c r="A2388" s="66">
        <v>44046.0</v>
      </c>
      <c r="B2388" s="69" t="s">
        <v>1716</v>
      </c>
    </row>
    <row r="2389">
      <c r="A2389" s="66">
        <v>44047.0</v>
      </c>
      <c r="B2389" s="69" t="s">
        <v>1717</v>
      </c>
    </row>
    <row r="2390">
      <c r="A2390" s="66">
        <v>44048.0</v>
      </c>
      <c r="B2390" s="69" t="s">
        <v>1718</v>
      </c>
    </row>
    <row r="2391">
      <c r="A2391" s="66">
        <v>44049.0</v>
      </c>
      <c r="B2391" s="69" t="s">
        <v>1719</v>
      </c>
    </row>
    <row r="2392">
      <c r="A2392" s="66">
        <v>44050.0</v>
      </c>
      <c r="B2392" s="69" t="s">
        <v>1720</v>
      </c>
    </row>
    <row r="2393">
      <c r="A2393" s="66">
        <v>44051.0</v>
      </c>
      <c r="B2393" s="69" t="s">
        <v>1720</v>
      </c>
    </row>
    <row r="2394">
      <c r="A2394" s="66">
        <v>44052.0</v>
      </c>
      <c r="B2394" s="69" t="s">
        <v>1720</v>
      </c>
    </row>
    <row r="2395">
      <c r="A2395" s="66">
        <v>44053.0</v>
      </c>
      <c r="B2395" s="69" t="s">
        <v>1721</v>
      </c>
    </row>
    <row r="2396">
      <c r="A2396" s="66">
        <v>44054.0</v>
      </c>
      <c r="B2396" s="69" t="s">
        <v>1722</v>
      </c>
    </row>
    <row r="2397">
      <c r="A2397" s="66">
        <v>44055.0</v>
      </c>
      <c r="B2397" s="69" t="s">
        <v>1723</v>
      </c>
    </row>
    <row r="2398">
      <c r="A2398" s="66">
        <v>44056.0</v>
      </c>
      <c r="B2398" s="69" t="s">
        <v>1724</v>
      </c>
    </row>
    <row r="2399">
      <c r="A2399" s="66">
        <v>44057.0</v>
      </c>
      <c r="B2399" s="69" t="s">
        <v>1725</v>
      </c>
    </row>
    <row r="2400">
      <c r="A2400" s="66">
        <v>44058.0</v>
      </c>
      <c r="B2400" s="69" t="s">
        <v>1725</v>
      </c>
    </row>
    <row r="2401">
      <c r="A2401" s="66">
        <v>44059.0</v>
      </c>
      <c r="B2401" s="69" t="s">
        <v>1725</v>
      </c>
    </row>
    <row r="2402">
      <c r="A2402" s="66">
        <v>44060.0</v>
      </c>
      <c r="B2402" s="69" t="s">
        <v>1725</v>
      </c>
    </row>
    <row r="2403">
      <c r="A2403" s="66">
        <v>44061.0</v>
      </c>
      <c r="B2403" s="69" t="s">
        <v>1726</v>
      </c>
    </row>
    <row r="2404">
      <c r="A2404" s="66">
        <v>44062.0</v>
      </c>
      <c r="B2404" s="69" t="s">
        <v>1727</v>
      </c>
    </row>
    <row r="2405">
      <c r="A2405" s="66">
        <v>44063.0</v>
      </c>
      <c r="B2405" s="69" t="s">
        <v>1728</v>
      </c>
    </row>
    <row r="2406">
      <c r="A2406" s="66">
        <v>44064.0</v>
      </c>
      <c r="B2406" s="69" t="s">
        <v>1729</v>
      </c>
    </row>
    <row r="2407">
      <c r="A2407" s="66">
        <v>44065.0</v>
      </c>
      <c r="B2407" s="69" t="s">
        <v>1729</v>
      </c>
    </row>
    <row r="2408">
      <c r="A2408" s="66">
        <v>44066.0</v>
      </c>
      <c r="B2408" s="69" t="s">
        <v>1729</v>
      </c>
    </row>
    <row r="2409">
      <c r="A2409" s="66">
        <v>44067.0</v>
      </c>
      <c r="B2409" s="69" t="s">
        <v>1730</v>
      </c>
    </row>
    <row r="2410">
      <c r="A2410" s="66">
        <v>44068.0</v>
      </c>
      <c r="B2410" s="69" t="s">
        <v>1731</v>
      </c>
    </row>
    <row r="2411">
      <c r="A2411" s="66">
        <v>44069.0</v>
      </c>
      <c r="B2411" s="69" t="s">
        <v>1732</v>
      </c>
    </row>
    <row r="2412">
      <c r="A2412" s="66">
        <v>44070.0</v>
      </c>
      <c r="B2412" s="69" t="s">
        <v>1733</v>
      </c>
    </row>
    <row r="2413">
      <c r="A2413" s="66">
        <v>44071.0</v>
      </c>
      <c r="B2413" s="69" t="s">
        <v>1734</v>
      </c>
    </row>
    <row r="2414">
      <c r="A2414" s="66">
        <v>44072.0</v>
      </c>
      <c r="B2414" s="69" t="s">
        <v>1734</v>
      </c>
    </row>
    <row r="2415">
      <c r="A2415" s="66">
        <v>44073.0</v>
      </c>
      <c r="B2415" s="69" t="s">
        <v>1734</v>
      </c>
    </row>
    <row r="2416">
      <c r="A2416" s="66">
        <v>44074.0</v>
      </c>
      <c r="B2416" s="69" t="s">
        <v>1735</v>
      </c>
    </row>
    <row r="2417">
      <c r="A2417" s="66">
        <v>44075.0</v>
      </c>
      <c r="B2417" s="69" t="s">
        <v>1736</v>
      </c>
    </row>
    <row r="2418">
      <c r="A2418" s="66">
        <v>44076.0</v>
      </c>
      <c r="B2418" s="69" t="s">
        <v>1737</v>
      </c>
    </row>
    <row r="2419">
      <c r="A2419" s="66">
        <v>44077.0</v>
      </c>
      <c r="B2419" s="69" t="s">
        <v>1738</v>
      </c>
    </row>
    <row r="2420">
      <c r="A2420" s="66">
        <v>44078.0</v>
      </c>
      <c r="B2420" s="69" t="s">
        <v>1739</v>
      </c>
    </row>
    <row r="2421">
      <c r="A2421" s="66">
        <v>44079.0</v>
      </c>
      <c r="B2421" s="69" t="s">
        <v>1739</v>
      </c>
    </row>
    <row r="2422">
      <c r="A2422" s="66">
        <v>44080.0</v>
      </c>
      <c r="B2422" s="69" t="s">
        <v>1739</v>
      </c>
    </row>
    <row r="2423">
      <c r="A2423" s="66">
        <v>44081.0</v>
      </c>
      <c r="B2423" s="69" t="s">
        <v>1740</v>
      </c>
    </row>
    <row r="2424">
      <c r="A2424" s="66">
        <v>44082.0</v>
      </c>
      <c r="B2424" s="69" t="s">
        <v>1741</v>
      </c>
    </row>
    <row r="2425">
      <c r="A2425" s="66">
        <v>44083.0</v>
      </c>
      <c r="B2425" s="69" t="s">
        <v>1742</v>
      </c>
    </row>
    <row r="2426">
      <c r="A2426" s="66">
        <v>44084.0</v>
      </c>
      <c r="B2426" s="69" t="s">
        <v>1743</v>
      </c>
    </row>
    <row r="2427">
      <c r="A2427" s="66">
        <v>44085.0</v>
      </c>
      <c r="B2427" s="69" t="s">
        <v>1744</v>
      </c>
    </row>
    <row r="2428">
      <c r="A2428" s="66">
        <v>44086.0</v>
      </c>
      <c r="B2428" s="69" t="s">
        <v>1744</v>
      </c>
    </row>
    <row r="2429">
      <c r="A2429" s="66">
        <v>44087.0</v>
      </c>
      <c r="B2429" s="69" t="s">
        <v>1744</v>
      </c>
    </row>
    <row r="2430">
      <c r="A2430" s="66">
        <v>44088.0</v>
      </c>
      <c r="B2430" s="69" t="s">
        <v>1745</v>
      </c>
    </row>
    <row r="2431">
      <c r="A2431" s="66">
        <v>44089.0</v>
      </c>
      <c r="B2431" s="69" t="s">
        <v>1746</v>
      </c>
    </row>
    <row r="2432">
      <c r="A2432" s="66">
        <v>44090.0</v>
      </c>
      <c r="B2432" s="69" t="s">
        <v>1747</v>
      </c>
    </row>
    <row r="2433">
      <c r="A2433" s="66">
        <v>44091.0</v>
      </c>
      <c r="B2433" s="69" t="s">
        <v>1748</v>
      </c>
    </row>
    <row r="2434">
      <c r="A2434" s="66">
        <v>44092.0</v>
      </c>
      <c r="B2434" s="69" t="s">
        <v>1749</v>
      </c>
    </row>
    <row r="2435">
      <c r="A2435" s="66">
        <v>44095.0</v>
      </c>
      <c r="B2435" s="69" t="s">
        <v>1750</v>
      </c>
    </row>
    <row r="2436">
      <c r="A2436" s="66">
        <v>44096.0</v>
      </c>
      <c r="B2436" s="69" t="s">
        <v>1751</v>
      </c>
    </row>
    <row r="2437">
      <c r="A2437" s="66">
        <v>44097.0</v>
      </c>
      <c r="B2437" s="69" t="s">
        <v>1752</v>
      </c>
    </row>
    <row r="2438">
      <c r="A2438" s="66">
        <v>44098.0</v>
      </c>
      <c r="B2438" s="69" t="s">
        <v>1753</v>
      </c>
    </row>
    <row r="2439">
      <c r="A2439" s="66">
        <v>44099.0</v>
      </c>
      <c r="B2439" s="69" t="s">
        <v>1754</v>
      </c>
    </row>
    <row r="2440">
      <c r="A2440" s="66">
        <v>44102.0</v>
      </c>
      <c r="B2440" s="69" t="s">
        <v>1755</v>
      </c>
    </row>
    <row r="2441">
      <c r="A2441" s="66">
        <v>44103.0</v>
      </c>
      <c r="B2441" s="69" t="s">
        <v>1756</v>
      </c>
    </row>
    <row r="2442">
      <c r="A2442" s="66">
        <v>44104.0</v>
      </c>
      <c r="B2442" s="69" t="s">
        <v>1757</v>
      </c>
    </row>
    <row r="2443">
      <c r="A2443" s="66">
        <v>44105.0</v>
      </c>
      <c r="B2443" s="69" t="s">
        <v>1758</v>
      </c>
    </row>
    <row r="2444">
      <c r="A2444" s="66">
        <v>44106.0</v>
      </c>
      <c r="B2444" s="69" t="s">
        <v>1759</v>
      </c>
    </row>
    <row r="2445">
      <c r="A2445" s="66">
        <v>44109.0</v>
      </c>
      <c r="B2445" s="69" t="s">
        <v>1760</v>
      </c>
    </row>
    <row r="2446">
      <c r="A2446" s="66">
        <v>44110.0</v>
      </c>
      <c r="B2446" s="69" t="s">
        <v>1761</v>
      </c>
    </row>
    <row r="2447">
      <c r="A2447" s="66">
        <v>44111.0</v>
      </c>
      <c r="B2447" s="69" t="s">
        <v>1762</v>
      </c>
    </row>
    <row r="2448">
      <c r="A2448" s="66">
        <v>44112.0</v>
      </c>
      <c r="B2448" s="69" t="s">
        <v>1763</v>
      </c>
    </row>
    <row r="2449">
      <c r="A2449" s="66">
        <v>44113.0</v>
      </c>
      <c r="B2449" s="69" t="s">
        <v>1764</v>
      </c>
    </row>
    <row r="2450">
      <c r="A2450" s="66">
        <v>44117.0</v>
      </c>
      <c r="B2450" s="69" t="s">
        <v>1765</v>
      </c>
    </row>
    <row r="2451">
      <c r="A2451" s="66">
        <v>44118.0</v>
      </c>
      <c r="B2451" s="69" t="s">
        <v>1766</v>
      </c>
    </row>
    <row r="2452">
      <c r="A2452" s="66">
        <v>44119.0</v>
      </c>
      <c r="B2452" s="69" t="s">
        <v>1767</v>
      </c>
    </row>
    <row r="2453">
      <c r="A2453" s="66">
        <v>44120.0</v>
      </c>
      <c r="B2453" s="69" t="s">
        <v>1768</v>
      </c>
    </row>
    <row r="2454">
      <c r="A2454" s="66">
        <v>44123.0</v>
      </c>
      <c r="B2454" s="69" t="s">
        <v>1769</v>
      </c>
    </row>
    <row r="2455">
      <c r="A2455" s="66">
        <v>44124.0</v>
      </c>
      <c r="B2455" s="69" t="s">
        <v>1770</v>
      </c>
    </row>
    <row r="2456">
      <c r="A2456" s="66">
        <v>44125.0</v>
      </c>
      <c r="B2456" s="69" t="s">
        <v>1771</v>
      </c>
    </row>
    <row r="2457">
      <c r="A2457" s="66">
        <v>44126.0</v>
      </c>
      <c r="B2457" s="69" t="s">
        <v>1772</v>
      </c>
    </row>
    <row r="2458">
      <c r="A2458" s="66">
        <v>44127.0</v>
      </c>
      <c r="B2458" s="69" t="s">
        <v>1773</v>
      </c>
    </row>
    <row r="2459">
      <c r="A2459" s="66">
        <v>44130.0</v>
      </c>
      <c r="B2459" s="69" t="s">
        <v>1774</v>
      </c>
    </row>
    <row r="2460">
      <c r="A2460" s="66">
        <v>44131.0</v>
      </c>
      <c r="B2460" s="69" t="s">
        <v>1775</v>
      </c>
    </row>
    <row r="2461">
      <c r="A2461" s="66">
        <v>44132.0</v>
      </c>
      <c r="B2461" s="69" t="s">
        <v>1776</v>
      </c>
    </row>
    <row r="2462">
      <c r="A2462" s="66">
        <v>44133.0</v>
      </c>
      <c r="B2462" s="69" t="s">
        <v>1777</v>
      </c>
    </row>
    <row r="2463">
      <c r="A2463" s="66">
        <v>44134.0</v>
      </c>
      <c r="B2463" s="69" t="s">
        <v>1778</v>
      </c>
    </row>
    <row r="2464">
      <c r="A2464" s="66">
        <v>44137.0</v>
      </c>
      <c r="B2464" s="69" t="s">
        <v>1779</v>
      </c>
    </row>
    <row r="2465">
      <c r="A2465" s="66">
        <v>44138.0</v>
      </c>
      <c r="B2465" s="69" t="s">
        <v>1780</v>
      </c>
    </row>
    <row r="2466">
      <c r="A2466" s="66">
        <v>44139.0</v>
      </c>
      <c r="B2466" s="69" t="s">
        <v>1781</v>
      </c>
    </row>
    <row r="2467">
      <c r="A2467" s="66">
        <v>44140.0</v>
      </c>
      <c r="B2467" s="69" t="s">
        <v>1782</v>
      </c>
    </row>
    <row r="2468">
      <c r="A2468" s="66">
        <v>44141.0</v>
      </c>
      <c r="B2468" s="69" t="s">
        <v>1783</v>
      </c>
    </row>
    <row r="2469">
      <c r="A2469" s="66">
        <v>44144.0</v>
      </c>
      <c r="B2469" s="69" t="s">
        <v>1784</v>
      </c>
    </row>
    <row r="2470">
      <c r="A2470" s="66">
        <v>44145.0</v>
      </c>
      <c r="B2470" s="69" t="s">
        <v>1756</v>
      </c>
    </row>
    <row r="2471">
      <c r="A2471" s="66">
        <v>44146.0</v>
      </c>
      <c r="B2471" s="69" t="s">
        <v>1785</v>
      </c>
    </row>
    <row r="2472">
      <c r="A2472" s="66">
        <v>44147.0</v>
      </c>
      <c r="B2472" s="69" t="s">
        <v>1786</v>
      </c>
    </row>
    <row r="2473">
      <c r="A2473" s="66">
        <v>44148.0</v>
      </c>
      <c r="B2473" s="69" t="s">
        <v>1787</v>
      </c>
    </row>
    <row r="2474">
      <c r="A2474" s="66">
        <v>44151.0</v>
      </c>
      <c r="B2474" s="69" t="s">
        <v>1788</v>
      </c>
    </row>
    <row r="2475">
      <c r="A2475" s="66">
        <v>44152.0</v>
      </c>
      <c r="B2475" s="69" t="s">
        <v>1789</v>
      </c>
    </row>
    <row r="2476">
      <c r="A2476" s="66">
        <v>44153.0</v>
      </c>
      <c r="B2476" s="69" t="s">
        <v>1790</v>
      </c>
    </row>
    <row r="2477">
      <c r="A2477" s="66">
        <v>44154.0</v>
      </c>
      <c r="B2477" s="69" t="s">
        <v>1791</v>
      </c>
    </row>
    <row r="2478">
      <c r="A2478" s="66">
        <v>44155.0</v>
      </c>
      <c r="B2478" s="69" t="s">
        <v>1792</v>
      </c>
    </row>
    <row r="2479">
      <c r="A2479" s="66">
        <v>44159.0</v>
      </c>
      <c r="B2479" s="69" t="s">
        <v>1793</v>
      </c>
    </row>
    <row r="2480">
      <c r="A2480" s="66">
        <v>44160.0</v>
      </c>
      <c r="B2480" s="69" t="s">
        <v>1794</v>
      </c>
    </row>
    <row r="2481">
      <c r="A2481" s="66">
        <v>44162.0</v>
      </c>
      <c r="B2481" s="69" t="s">
        <v>1795</v>
      </c>
    </row>
    <row r="2482">
      <c r="A2482" s="66">
        <v>44165.0</v>
      </c>
      <c r="B2482" s="69" t="s">
        <v>1796</v>
      </c>
    </row>
    <row r="2483">
      <c r="A2483" s="66">
        <v>44166.0</v>
      </c>
      <c r="B2483" s="69" t="s">
        <v>1797</v>
      </c>
    </row>
    <row r="2484">
      <c r="A2484" s="66">
        <v>44167.0</v>
      </c>
      <c r="B2484" s="69" t="s">
        <v>1798</v>
      </c>
    </row>
    <row r="2485">
      <c r="A2485" s="66">
        <v>44168.0</v>
      </c>
      <c r="B2485" s="69" t="s">
        <v>1799</v>
      </c>
    </row>
    <row r="2486">
      <c r="A2486" s="66">
        <v>44169.0</v>
      </c>
      <c r="B2486" s="69" t="s">
        <v>1800</v>
      </c>
    </row>
    <row r="2487">
      <c r="A2487" s="66">
        <v>44174.0</v>
      </c>
      <c r="B2487" s="69" t="s">
        <v>1801</v>
      </c>
    </row>
    <row r="2488">
      <c r="A2488" s="66">
        <v>44175.0</v>
      </c>
      <c r="B2488" s="69" t="s">
        <v>1802</v>
      </c>
    </row>
    <row r="2489">
      <c r="A2489" s="66">
        <v>44179.0</v>
      </c>
      <c r="B2489" s="69" t="s">
        <v>1803</v>
      </c>
    </row>
    <row r="2490">
      <c r="A2490" s="66">
        <v>44180.0</v>
      </c>
      <c r="B2490" s="69" t="s">
        <v>1804</v>
      </c>
    </row>
    <row r="2491">
      <c r="A2491" s="66">
        <v>44181.0</v>
      </c>
      <c r="B2491" s="69" t="s">
        <v>1805</v>
      </c>
    </row>
    <row r="2492">
      <c r="A2492" s="66">
        <v>44182.0</v>
      </c>
      <c r="B2492" s="69" t="s">
        <v>1806</v>
      </c>
    </row>
    <row r="2493">
      <c r="A2493" s="66">
        <v>44183.0</v>
      </c>
      <c r="B2493" s="69" t="s">
        <v>1807</v>
      </c>
    </row>
    <row r="2494">
      <c r="A2494" s="66">
        <v>44186.0</v>
      </c>
      <c r="B2494" s="69" t="s">
        <v>1808</v>
      </c>
    </row>
    <row r="2495">
      <c r="A2495" s="66">
        <v>44187.0</v>
      </c>
      <c r="B2495" s="69" t="s">
        <v>1809</v>
      </c>
    </row>
    <row r="2496">
      <c r="A2496" s="66">
        <v>44188.0</v>
      </c>
      <c r="B2496" s="69" t="s">
        <v>1810</v>
      </c>
    </row>
    <row r="2497">
      <c r="A2497" s="66">
        <v>44193.0</v>
      </c>
      <c r="B2497" s="69" t="s">
        <v>1811</v>
      </c>
    </row>
    <row r="2498">
      <c r="A2498" s="66">
        <v>44194.0</v>
      </c>
      <c r="B2498" s="69" t="s">
        <v>1812</v>
      </c>
    </row>
    <row r="2499">
      <c r="A2499" s="66">
        <v>44195.0</v>
      </c>
      <c r="B2499" s="69" t="s">
        <v>1813</v>
      </c>
    </row>
    <row r="2500">
      <c r="A2500" s="66">
        <v>44200.0</v>
      </c>
      <c r="B2500" s="69" t="s">
        <v>1814</v>
      </c>
    </row>
    <row r="2501">
      <c r="A2501" s="66">
        <v>44201.0</v>
      </c>
      <c r="B2501" s="69" t="s">
        <v>1815</v>
      </c>
    </row>
    <row r="2502">
      <c r="A2502" s="66">
        <v>44202.0</v>
      </c>
      <c r="B2502" s="69" t="s">
        <v>1816</v>
      </c>
    </row>
    <row r="2503">
      <c r="A2503" s="66">
        <v>44203.0</v>
      </c>
      <c r="B2503" s="69" t="s">
        <v>1817</v>
      </c>
    </row>
    <row r="2504">
      <c r="A2504" s="66">
        <v>44204.0</v>
      </c>
      <c r="B2504" s="69" t="s">
        <v>1818</v>
      </c>
    </row>
    <row r="2505">
      <c r="A2505" s="66">
        <v>44207.0</v>
      </c>
      <c r="B2505" s="69" t="s">
        <v>1819</v>
      </c>
    </row>
    <row r="2506">
      <c r="A2506" s="66">
        <v>44208.0</v>
      </c>
      <c r="B2506" s="69" t="s">
        <v>1819</v>
      </c>
    </row>
    <row r="2507">
      <c r="A2507" s="66">
        <v>44209.0</v>
      </c>
      <c r="B2507" s="69" t="s">
        <v>1820</v>
      </c>
    </row>
    <row r="2508">
      <c r="A2508" s="66">
        <v>44210.0</v>
      </c>
      <c r="B2508" s="69" t="s">
        <v>1796</v>
      </c>
    </row>
    <row r="2509">
      <c r="A2509" s="66">
        <v>44211.0</v>
      </c>
      <c r="B2509" s="69" t="s">
        <v>1821</v>
      </c>
    </row>
    <row r="2510">
      <c r="A2510" s="66">
        <v>44214.0</v>
      </c>
      <c r="B2510" s="69" t="s">
        <v>1822</v>
      </c>
    </row>
    <row r="2511">
      <c r="A2511" s="66">
        <v>44215.0</v>
      </c>
      <c r="B2511" s="69" t="s">
        <v>1823</v>
      </c>
    </row>
    <row r="2512">
      <c r="A2512" s="66">
        <v>44216.0</v>
      </c>
      <c r="B2512" s="69" t="s">
        <v>1759</v>
      </c>
    </row>
    <row r="2513">
      <c r="A2513" s="66">
        <v>44217.0</v>
      </c>
      <c r="B2513" s="69" t="s">
        <v>1824</v>
      </c>
    </row>
    <row r="2514">
      <c r="A2514" s="66">
        <v>44218.0</v>
      </c>
      <c r="B2514" s="69" t="s">
        <v>1825</v>
      </c>
    </row>
    <row r="2515">
      <c r="A2515" s="66">
        <v>44221.0</v>
      </c>
      <c r="B2515" s="69" t="s">
        <v>1826</v>
      </c>
    </row>
    <row r="2516">
      <c r="A2516" s="66">
        <v>44222.0</v>
      </c>
      <c r="B2516" s="69" t="s">
        <v>1827</v>
      </c>
    </row>
    <row r="2517">
      <c r="A2517" s="66">
        <v>44223.0</v>
      </c>
      <c r="B2517" s="69" t="s">
        <v>1828</v>
      </c>
    </row>
    <row r="2518">
      <c r="A2518" s="66">
        <v>44224.0</v>
      </c>
      <c r="B2518" s="69" t="s">
        <v>1829</v>
      </c>
    </row>
    <row r="2519">
      <c r="A2519" s="66">
        <v>44225.0</v>
      </c>
      <c r="B2519" s="69" t="s">
        <v>1830</v>
      </c>
    </row>
    <row r="2520">
      <c r="A2520" s="66">
        <v>44228.0</v>
      </c>
      <c r="B2520" s="69" t="s">
        <v>1831</v>
      </c>
    </row>
    <row r="2521">
      <c r="A2521" s="66">
        <v>44229.0</v>
      </c>
      <c r="B2521" s="69" t="s">
        <v>1832</v>
      </c>
    </row>
    <row r="2522">
      <c r="A2522" s="66">
        <v>44230.0</v>
      </c>
      <c r="B2522" s="69" t="s">
        <v>1833</v>
      </c>
    </row>
    <row r="2523">
      <c r="A2523" s="66">
        <v>44231.0</v>
      </c>
      <c r="B2523" s="69" t="s">
        <v>1834</v>
      </c>
    </row>
    <row r="2524">
      <c r="A2524" s="66">
        <v>44232.0</v>
      </c>
      <c r="B2524" s="69" t="s">
        <v>1835</v>
      </c>
    </row>
    <row r="2525">
      <c r="A2525" s="66">
        <v>44235.0</v>
      </c>
      <c r="B2525" s="69" t="s">
        <v>1836</v>
      </c>
    </row>
    <row r="2526">
      <c r="A2526" s="66">
        <v>44236.0</v>
      </c>
      <c r="B2526" s="69" t="s">
        <v>1837</v>
      </c>
    </row>
    <row r="2527">
      <c r="A2527" s="66">
        <v>44237.0</v>
      </c>
      <c r="B2527" s="69" t="s">
        <v>1838</v>
      </c>
    </row>
    <row r="2528">
      <c r="A2528" s="66">
        <v>44238.0</v>
      </c>
      <c r="B2528" s="69" t="s">
        <v>1839</v>
      </c>
    </row>
    <row r="2529">
      <c r="A2529" s="66">
        <v>44239.0</v>
      </c>
      <c r="B2529" s="69" t="s">
        <v>1840</v>
      </c>
    </row>
    <row r="2530">
      <c r="A2530" s="66">
        <v>44244.0</v>
      </c>
      <c r="B2530" s="69" t="s">
        <v>1841</v>
      </c>
    </row>
    <row r="2531">
      <c r="A2531" s="66">
        <v>44245.0</v>
      </c>
      <c r="B2531" s="69" t="s">
        <v>1842</v>
      </c>
    </row>
    <row r="2532">
      <c r="A2532" s="66">
        <v>44246.0</v>
      </c>
      <c r="B2532" s="69" t="s">
        <v>1843</v>
      </c>
    </row>
    <row r="2533">
      <c r="A2533" s="66">
        <v>44249.0</v>
      </c>
      <c r="B2533" s="69" t="s">
        <v>1844</v>
      </c>
    </row>
    <row r="2534">
      <c r="A2534" s="66">
        <v>44250.0</v>
      </c>
      <c r="B2534" s="69" t="s">
        <v>1845</v>
      </c>
    </row>
    <row r="2535">
      <c r="A2535" s="66">
        <v>44251.0</v>
      </c>
      <c r="B2535" s="69" t="s">
        <v>1846</v>
      </c>
    </row>
    <row r="2536">
      <c r="A2536" s="66">
        <v>44252.0</v>
      </c>
      <c r="B2536" s="69" t="s">
        <v>1847</v>
      </c>
    </row>
    <row r="2537">
      <c r="A2537" s="66">
        <v>44253.0</v>
      </c>
      <c r="B2537" s="69" t="s">
        <v>1848</v>
      </c>
    </row>
    <row r="2538">
      <c r="A2538" s="66">
        <v>44256.0</v>
      </c>
      <c r="B2538" s="69" t="s">
        <v>1783</v>
      </c>
    </row>
    <row r="2539">
      <c r="A2539" s="66">
        <v>44257.0</v>
      </c>
      <c r="B2539" s="69" t="s">
        <v>1849</v>
      </c>
    </row>
    <row r="2540">
      <c r="A2540" s="66">
        <v>44258.0</v>
      </c>
      <c r="B2540" s="69" t="s">
        <v>1850</v>
      </c>
    </row>
    <row r="2541">
      <c r="A2541" s="66">
        <v>44259.0</v>
      </c>
      <c r="B2541" s="69" t="s">
        <v>1851</v>
      </c>
    </row>
    <row r="2542">
      <c r="A2542" s="66">
        <v>44260.0</v>
      </c>
      <c r="B2542" s="69" t="s">
        <v>1852</v>
      </c>
    </row>
    <row r="2543">
      <c r="A2543" s="66">
        <v>44263.0</v>
      </c>
      <c r="B2543" s="69" t="s">
        <v>1853</v>
      </c>
    </row>
    <row r="2544">
      <c r="A2544" s="66">
        <v>44264.0</v>
      </c>
      <c r="B2544" s="69" t="s">
        <v>1854</v>
      </c>
    </row>
    <row r="2545">
      <c r="A2545" s="66">
        <v>44265.0</v>
      </c>
      <c r="B2545" s="69" t="s">
        <v>1796</v>
      </c>
    </row>
    <row r="2546">
      <c r="A2546" s="66">
        <v>44266.0</v>
      </c>
      <c r="B2546" s="69" t="s">
        <v>1855</v>
      </c>
    </row>
    <row r="2547">
      <c r="A2547" s="66">
        <v>44267.0</v>
      </c>
      <c r="B2547" s="69" t="s">
        <v>1856</v>
      </c>
    </row>
    <row r="2548">
      <c r="A2548" s="66">
        <v>44270.0</v>
      </c>
      <c r="B2548" s="69" t="s">
        <v>1857</v>
      </c>
    </row>
    <row r="2549">
      <c r="A2549" s="66">
        <v>44271.0</v>
      </c>
      <c r="B2549" s="69" t="s">
        <v>1858</v>
      </c>
    </row>
    <row r="2550">
      <c r="A2550" s="66">
        <v>44272.0</v>
      </c>
      <c r="B2550" s="69" t="s">
        <v>1859</v>
      </c>
    </row>
    <row r="2551">
      <c r="A2551" s="66">
        <v>44273.0</v>
      </c>
      <c r="B2551" s="69" t="s">
        <v>1860</v>
      </c>
    </row>
    <row r="2552">
      <c r="A2552" s="66">
        <v>44274.0</v>
      </c>
      <c r="B2552" s="69" t="s">
        <v>1861</v>
      </c>
    </row>
    <row r="2553">
      <c r="A2553" s="66">
        <v>44277.0</v>
      </c>
      <c r="B2553" s="69" t="s">
        <v>1862</v>
      </c>
    </row>
    <row r="2554">
      <c r="A2554" s="66">
        <v>44278.0</v>
      </c>
      <c r="B2554" s="69" t="s">
        <v>1863</v>
      </c>
    </row>
    <row r="2555">
      <c r="A2555" s="66">
        <v>44280.0</v>
      </c>
      <c r="B2555" s="69" t="s">
        <v>1864</v>
      </c>
    </row>
    <row r="2556">
      <c r="A2556" s="66">
        <v>44281.0</v>
      </c>
      <c r="B2556" s="69" t="s">
        <v>1865</v>
      </c>
    </row>
    <row r="2557">
      <c r="A2557" s="66">
        <v>44284.0</v>
      </c>
      <c r="B2557" s="69" t="s">
        <v>1813</v>
      </c>
    </row>
    <row r="2558">
      <c r="A2558" s="66">
        <v>44285.0</v>
      </c>
      <c r="B2558" s="69" t="s">
        <v>1866</v>
      </c>
    </row>
    <row r="2559">
      <c r="A2559" s="66">
        <v>44286.0</v>
      </c>
      <c r="B2559" s="69" t="s">
        <v>1867</v>
      </c>
    </row>
    <row r="2560">
      <c r="A2560" s="66">
        <v>44291.0</v>
      </c>
      <c r="B2560" s="69" t="s">
        <v>1868</v>
      </c>
    </row>
    <row r="2561">
      <c r="A2561" s="66">
        <v>44292.0</v>
      </c>
      <c r="B2561" s="69" t="s">
        <v>1869</v>
      </c>
    </row>
    <row r="2562">
      <c r="A2562" s="66">
        <v>44293.0</v>
      </c>
      <c r="B2562" s="69" t="s">
        <v>1870</v>
      </c>
    </row>
    <row r="2563">
      <c r="A2563" s="66">
        <v>44294.0</v>
      </c>
      <c r="B2563" s="69" t="s">
        <v>1821</v>
      </c>
    </row>
    <row r="2564">
      <c r="A2564" s="66">
        <v>44295.0</v>
      </c>
      <c r="B2564" s="69" t="s">
        <v>1871</v>
      </c>
    </row>
    <row r="2565">
      <c r="A2565" s="66">
        <v>44298.0</v>
      </c>
      <c r="B2565" s="69" t="s">
        <v>1872</v>
      </c>
    </row>
    <row r="2566">
      <c r="A2566" s="66">
        <v>44299.0</v>
      </c>
      <c r="B2566" s="69" t="s">
        <v>1873</v>
      </c>
    </row>
    <row r="2567">
      <c r="A2567" s="66">
        <v>44300.0</v>
      </c>
      <c r="B2567" s="69" t="s">
        <v>1874</v>
      </c>
    </row>
    <row r="2568">
      <c r="A2568" s="66">
        <v>44301.0</v>
      </c>
      <c r="B2568" s="69" t="s">
        <v>1875</v>
      </c>
    </row>
    <row r="2569">
      <c r="A2569" s="66">
        <v>44302.0</v>
      </c>
      <c r="B2569" s="69" t="s">
        <v>1876</v>
      </c>
    </row>
    <row r="2570">
      <c r="A2570" s="66">
        <v>44305.0</v>
      </c>
      <c r="B2570" s="69" t="s">
        <v>1877</v>
      </c>
    </row>
    <row r="2571">
      <c r="A2571" s="66">
        <v>44306.0</v>
      </c>
      <c r="B2571" s="69" t="s">
        <v>1781</v>
      </c>
    </row>
    <row r="2572">
      <c r="A2572" s="66">
        <v>44307.0</v>
      </c>
      <c r="B2572" s="69" t="s">
        <v>1795</v>
      </c>
    </row>
    <row r="2573">
      <c r="A2573" s="66">
        <v>44308.0</v>
      </c>
      <c r="B2573" s="69" t="s">
        <v>1878</v>
      </c>
    </row>
    <row r="2574">
      <c r="A2574" s="66">
        <v>44309.0</v>
      </c>
      <c r="B2574" s="69" t="s">
        <v>1792</v>
      </c>
    </row>
    <row r="2575">
      <c r="A2575" s="66">
        <v>44312.0</v>
      </c>
      <c r="B2575" s="69" t="s">
        <v>1879</v>
      </c>
    </row>
    <row r="2576">
      <c r="A2576" s="66">
        <v>44313.0</v>
      </c>
      <c r="B2576" s="69" t="s">
        <v>1835</v>
      </c>
    </row>
    <row r="2577">
      <c r="A2577" s="66">
        <v>44314.0</v>
      </c>
      <c r="B2577" s="69" t="s">
        <v>1880</v>
      </c>
    </row>
    <row r="2578">
      <c r="A2578" s="66">
        <v>44315.0</v>
      </c>
      <c r="B2578" s="69" t="s">
        <v>1881</v>
      </c>
    </row>
    <row r="2579">
      <c r="A2579" s="66">
        <v>44316.0</v>
      </c>
      <c r="B2579" s="69" t="s">
        <v>1882</v>
      </c>
    </row>
    <row r="2580">
      <c r="A2580" s="66">
        <v>44319.0</v>
      </c>
      <c r="B2580" s="69" t="s">
        <v>1883</v>
      </c>
    </row>
    <row r="2581">
      <c r="A2581" s="66">
        <v>44320.0</v>
      </c>
      <c r="B2581" s="69" t="s">
        <v>1884</v>
      </c>
    </row>
    <row r="2582">
      <c r="A2582" s="66">
        <v>44321.0</v>
      </c>
      <c r="B2582" s="69" t="s">
        <v>1885</v>
      </c>
    </row>
    <row r="2583">
      <c r="A2583" s="66">
        <v>44322.0</v>
      </c>
      <c r="B2583" s="69" t="s">
        <v>1886</v>
      </c>
    </row>
    <row r="2584">
      <c r="A2584" s="66">
        <v>44323.0</v>
      </c>
      <c r="B2584" s="69" t="s">
        <v>1887</v>
      </c>
    </row>
    <row r="2585">
      <c r="A2585" s="66">
        <v>44326.0</v>
      </c>
      <c r="B2585" s="69" t="s">
        <v>1888</v>
      </c>
    </row>
    <row r="2586">
      <c r="A2586" s="66">
        <v>44327.0</v>
      </c>
      <c r="B2586" s="69" t="s">
        <v>1889</v>
      </c>
    </row>
    <row r="2587">
      <c r="A2587" s="66">
        <v>44328.0</v>
      </c>
      <c r="B2587" s="69" t="s">
        <v>1890</v>
      </c>
    </row>
    <row r="2588">
      <c r="A2588" s="66">
        <v>44329.0</v>
      </c>
      <c r="B2588" s="69" t="s">
        <v>1891</v>
      </c>
    </row>
    <row r="2589">
      <c r="A2589" s="66">
        <v>44330.0</v>
      </c>
      <c r="B2589" s="69" t="s">
        <v>1892</v>
      </c>
    </row>
    <row r="2590">
      <c r="A2590" s="66">
        <v>44333.0</v>
      </c>
      <c r="B2590" s="69" t="s">
        <v>1893</v>
      </c>
    </row>
    <row r="2591">
      <c r="A2591" s="66">
        <v>44334.0</v>
      </c>
      <c r="B2591" s="69" t="s">
        <v>1894</v>
      </c>
    </row>
    <row r="2592">
      <c r="A2592" s="66">
        <v>44335.0</v>
      </c>
      <c r="B2592" s="69" t="s">
        <v>1895</v>
      </c>
    </row>
    <row r="2593">
      <c r="A2593" s="66">
        <v>44336.0</v>
      </c>
      <c r="B2593" s="69" t="s">
        <v>1896</v>
      </c>
    </row>
    <row r="2594">
      <c r="A2594" s="66">
        <v>44337.0</v>
      </c>
      <c r="B2594" s="69" t="s">
        <v>1897</v>
      </c>
    </row>
    <row r="2595">
      <c r="A2595" s="66">
        <v>44342.0</v>
      </c>
      <c r="B2595" s="69" t="s">
        <v>1898</v>
      </c>
    </row>
    <row r="2596">
      <c r="A2596" s="66">
        <v>44343.0</v>
      </c>
      <c r="B2596" s="69" t="s">
        <v>1899</v>
      </c>
    </row>
    <row r="2597">
      <c r="A2597" s="66">
        <v>44344.0</v>
      </c>
      <c r="B2597" s="69" t="s">
        <v>1900</v>
      </c>
    </row>
    <row r="2598">
      <c r="A2598" s="66">
        <v>44347.0</v>
      </c>
      <c r="B2598" s="69" t="s">
        <v>1901</v>
      </c>
    </row>
    <row r="2599">
      <c r="A2599" s="66">
        <v>44348.0</v>
      </c>
      <c r="B2599" s="69" t="s">
        <v>1902</v>
      </c>
    </row>
    <row r="2600">
      <c r="A2600" s="66">
        <v>44349.0</v>
      </c>
      <c r="B2600" s="69" t="s">
        <v>1903</v>
      </c>
    </row>
    <row r="2601">
      <c r="A2601" s="66">
        <v>44350.0</v>
      </c>
      <c r="B2601" s="69" t="s">
        <v>1904</v>
      </c>
    </row>
    <row r="2602">
      <c r="A2602" s="66">
        <v>44351.0</v>
      </c>
      <c r="B2602" s="69" t="s">
        <v>1905</v>
      </c>
    </row>
    <row r="2603">
      <c r="A2603" s="66">
        <v>44354.0</v>
      </c>
      <c r="B2603" s="69" t="s">
        <v>1906</v>
      </c>
    </row>
    <row r="2604">
      <c r="A2604" s="66">
        <v>44355.0</v>
      </c>
      <c r="B2604" s="69" t="s">
        <v>1907</v>
      </c>
    </row>
    <row r="2605">
      <c r="A2605" s="66">
        <v>44356.0</v>
      </c>
      <c r="B2605" s="69" t="s">
        <v>1908</v>
      </c>
    </row>
    <row r="2606">
      <c r="A2606" s="66">
        <v>44357.0</v>
      </c>
      <c r="B2606" s="69" t="s">
        <v>1909</v>
      </c>
    </row>
    <row r="2607">
      <c r="A2607" s="66">
        <v>44358.0</v>
      </c>
      <c r="B2607" s="69" t="s">
        <v>1910</v>
      </c>
    </row>
    <row r="2608">
      <c r="A2608" s="66">
        <v>44361.0</v>
      </c>
      <c r="B2608" s="69" t="s">
        <v>1911</v>
      </c>
    </row>
    <row r="2609">
      <c r="A2609" s="66">
        <v>44362.0</v>
      </c>
      <c r="B2609" s="69" t="s">
        <v>1912</v>
      </c>
    </row>
    <row r="2610">
      <c r="A2610" s="66">
        <v>44363.0</v>
      </c>
      <c r="B2610" s="69" t="s">
        <v>1913</v>
      </c>
    </row>
    <row r="2611">
      <c r="A2611" s="66">
        <v>44364.0</v>
      </c>
      <c r="B2611" s="69" t="s">
        <v>1914</v>
      </c>
    </row>
    <row r="2612">
      <c r="A2612" s="66">
        <v>44365.0</v>
      </c>
      <c r="B2612" s="69" t="s">
        <v>1915</v>
      </c>
    </row>
    <row r="2613">
      <c r="A2613" s="66">
        <v>44369.0</v>
      </c>
      <c r="B2613" s="69" t="s">
        <v>1916</v>
      </c>
    </row>
    <row r="2614">
      <c r="A2614" s="66">
        <v>44370.0</v>
      </c>
      <c r="B2614" s="69" t="s">
        <v>1917</v>
      </c>
    </row>
    <row r="2615">
      <c r="A2615" s="66">
        <v>44371.0</v>
      </c>
      <c r="B2615" s="69" t="s">
        <v>1918</v>
      </c>
    </row>
    <row r="2616">
      <c r="A2616" s="66">
        <v>44372.0</v>
      </c>
      <c r="B2616" s="69" t="s">
        <v>1919</v>
      </c>
    </row>
    <row r="2617">
      <c r="A2617" s="66">
        <v>44375.0</v>
      </c>
      <c r="B2617" s="69" t="s">
        <v>1920</v>
      </c>
    </row>
    <row r="2618">
      <c r="A2618" s="66">
        <v>44376.0</v>
      </c>
      <c r="B2618" s="69" t="s">
        <v>1921</v>
      </c>
    </row>
    <row r="2619">
      <c r="A2619" s="66">
        <v>44377.0</v>
      </c>
      <c r="B2619" s="69" t="s">
        <v>1922</v>
      </c>
    </row>
    <row r="2620">
      <c r="A2620" s="66">
        <v>44378.0</v>
      </c>
      <c r="B2620" s="69" t="s">
        <v>1923</v>
      </c>
    </row>
    <row r="2621">
      <c r="A2621" s="66">
        <v>44379.0</v>
      </c>
      <c r="B2621" s="69" t="s">
        <v>1924</v>
      </c>
    </row>
    <row r="2622">
      <c r="A2622" s="66">
        <v>44382.0</v>
      </c>
      <c r="B2622" s="69" t="s">
        <v>1925</v>
      </c>
    </row>
    <row r="2623">
      <c r="A2623" s="66">
        <v>44383.0</v>
      </c>
      <c r="B2623" s="69" t="s">
        <v>1926</v>
      </c>
    </row>
    <row r="2624">
      <c r="A2624" s="66">
        <v>44384.0</v>
      </c>
      <c r="B2624" s="69" t="s">
        <v>1927</v>
      </c>
    </row>
    <row r="2625">
      <c r="A2625" s="66">
        <v>44385.0</v>
      </c>
      <c r="B2625" s="69" t="s">
        <v>1928</v>
      </c>
    </row>
    <row r="2626">
      <c r="A2626" s="66">
        <v>44389.0</v>
      </c>
      <c r="B2626" s="69" t="s">
        <v>1929</v>
      </c>
    </row>
    <row r="2627">
      <c r="A2627" s="66">
        <v>44390.0</v>
      </c>
      <c r="B2627" s="69" t="s">
        <v>1930</v>
      </c>
    </row>
    <row r="2628">
      <c r="A2628" s="66">
        <v>44391.0</v>
      </c>
      <c r="B2628" s="69" t="s">
        <v>1931</v>
      </c>
    </row>
    <row r="2629">
      <c r="A2629" s="66">
        <v>44392.0</v>
      </c>
      <c r="B2629" s="69" t="s">
        <v>1932</v>
      </c>
    </row>
    <row r="2630">
      <c r="A2630" s="66">
        <v>44393.0</v>
      </c>
      <c r="B2630" s="69" t="s">
        <v>1933</v>
      </c>
    </row>
    <row r="2631">
      <c r="A2631" s="66">
        <v>44396.0</v>
      </c>
      <c r="B2631" s="69" t="s">
        <v>1934</v>
      </c>
    </row>
    <row r="2632">
      <c r="A2632" s="66">
        <v>44397.0</v>
      </c>
      <c r="B2632" s="69" t="s">
        <v>1935</v>
      </c>
    </row>
    <row r="2633">
      <c r="A2633" s="66">
        <v>44398.0</v>
      </c>
      <c r="B2633" s="69" t="s">
        <v>1936</v>
      </c>
    </row>
    <row r="2634">
      <c r="A2634" s="66">
        <v>44399.0</v>
      </c>
      <c r="B2634" s="69" t="s">
        <v>1937</v>
      </c>
    </row>
    <row r="2635">
      <c r="A2635" s="66">
        <v>44400.0</v>
      </c>
      <c r="B2635" s="69" t="s">
        <v>1938</v>
      </c>
    </row>
    <row r="2636">
      <c r="A2636" s="66">
        <v>44403.0</v>
      </c>
      <c r="B2636" s="69" t="s">
        <v>1939</v>
      </c>
    </row>
    <row r="2637">
      <c r="A2637" s="66">
        <v>44404.0</v>
      </c>
      <c r="B2637" s="69" t="s">
        <v>1940</v>
      </c>
    </row>
    <row r="2638">
      <c r="A2638" s="66">
        <v>44405.0</v>
      </c>
      <c r="B2638" s="69" t="s">
        <v>1941</v>
      </c>
    </row>
    <row r="2639">
      <c r="A2639" s="66">
        <v>44406.0</v>
      </c>
      <c r="B2639" s="69" t="s">
        <v>1942</v>
      </c>
    </row>
    <row r="2640">
      <c r="A2640" s="66">
        <v>44407.0</v>
      </c>
      <c r="B2640" s="69" t="s">
        <v>1943</v>
      </c>
    </row>
    <row r="2641">
      <c r="A2641" s="66">
        <v>44410.0</v>
      </c>
      <c r="B2641" s="69" t="s">
        <v>1944</v>
      </c>
    </row>
    <row r="2642">
      <c r="A2642" s="66">
        <v>44411.0</v>
      </c>
      <c r="B2642" s="69" t="s">
        <v>1945</v>
      </c>
    </row>
    <row r="2643">
      <c r="A2643" s="66">
        <v>44412.0</v>
      </c>
      <c r="B2643" s="69" t="s">
        <v>1946</v>
      </c>
    </row>
    <row r="2644">
      <c r="A2644" s="66">
        <v>44413.0</v>
      </c>
      <c r="B2644" s="69" t="s">
        <v>1947</v>
      </c>
    </row>
    <row r="2645">
      <c r="A2645" s="66">
        <v>44414.0</v>
      </c>
      <c r="B2645" s="69" t="s">
        <v>1948</v>
      </c>
    </row>
    <row r="2646">
      <c r="A2646" s="66">
        <v>44417.0</v>
      </c>
      <c r="B2646" s="69" t="s">
        <v>1949</v>
      </c>
    </row>
    <row r="2647">
      <c r="A2647" s="66">
        <v>44418.0</v>
      </c>
      <c r="B2647" s="69" t="s">
        <v>1950</v>
      </c>
    </row>
    <row r="2648">
      <c r="A2648" s="66">
        <v>44419.0</v>
      </c>
      <c r="B2648" s="69" t="s">
        <v>1951</v>
      </c>
    </row>
    <row r="2649">
      <c r="A2649" s="66">
        <v>44420.0</v>
      </c>
      <c r="B2649" s="69" t="s">
        <v>1952</v>
      </c>
    </row>
    <row r="2650">
      <c r="A2650" s="66">
        <v>44421.0</v>
      </c>
      <c r="B2650" s="69" t="s">
        <v>1953</v>
      </c>
    </row>
    <row r="2651">
      <c r="A2651" s="66">
        <v>44425.0</v>
      </c>
      <c r="B2651" s="69" t="s">
        <v>1954</v>
      </c>
    </row>
    <row r="2652">
      <c r="A2652" s="66">
        <v>44426.0</v>
      </c>
      <c r="B2652" s="69" t="s">
        <v>1955</v>
      </c>
    </row>
    <row r="2653">
      <c r="A2653" s="66">
        <v>44427.0</v>
      </c>
      <c r="B2653" s="69" t="s">
        <v>1956</v>
      </c>
    </row>
    <row r="2654">
      <c r="A2654" s="66">
        <v>44428.0</v>
      </c>
      <c r="B2654" s="69" t="s">
        <v>1957</v>
      </c>
    </row>
    <row r="2655">
      <c r="A2655" s="66">
        <v>44431.0</v>
      </c>
      <c r="B2655" s="69" t="s">
        <v>1958</v>
      </c>
    </row>
    <row r="2656">
      <c r="A2656" s="66">
        <v>44432.0</v>
      </c>
      <c r="B2656" s="69" t="s">
        <v>1959</v>
      </c>
    </row>
    <row r="2657">
      <c r="A2657" s="66">
        <v>44433.0</v>
      </c>
      <c r="B2657" s="69" t="s">
        <v>1960</v>
      </c>
    </row>
    <row r="2658">
      <c r="A2658" s="66">
        <v>44434.0</v>
      </c>
      <c r="B2658" s="69" t="s">
        <v>1961</v>
      </c>
    </row>
    <row r="2659">
      <c r="A2659" s="66">
        <v>44435.0</v>
      </c>
      <c r="B2659" s="69" t="s">
        <v>1962</v>
      </c>
    </row>
    <row r="2660">
      <c r="A2660" s="66">
        <v>44438.0</v>
      </c>
      <c r="B2660" s="69" t="s">
        <v>1963</v>
      </c>
    </row>
    <row r="2661">
      <c r="A2661" s="66">
        <v>44439.0</v>
      </c>
      <c r="B2661" s="69" t="s">
        <v>1964</v>
      </c>
    </row>
    <row r="2662">
      <c r="A2662" s="66">
        <v>44440.0</v>
      </c>
      <c r="B2662" s="69" t="s">
        <v>1965</v>
      </c>
    </row>
    <row r="2663">
      <c r="A2663" s="66">
        <v>44441.0</v>
      </c>
      <c r="B2663" s="69" t="s">
        <v>1966</v>
      </c>
    </row>
    <row r="2664">
      <c r="A2664" s="66">
        <v>44442.0</v>
      </c>
      <c r="B2664" s="69" t="s">
        <v>1967</v>
      </c>
    </row>
    <row r="2665">
      <c r="A2665" s="66">
        <v>44445.0</v>
      </c>
      <c r="B2665" s="69" t="s">
        <v>1968</v>
      </c>
    </row>
    <row r="2666">
      <c r="A2666" s="66">
        <v>44446.0</v>
      </c>
      <c r="B2666" s="69" t="s">
        <v>1969</v>
      </c>
    </row>
    <row r="2667">
      <c r="A2667" s="66">
        <v>44447.0</v>
      </c>
      <c r="B2667" s="69" t="s">
        <v>1970</v>
      </c>
    </row>
    <row r="2668">
      <c r="A2668" s="66">
        <v>44448.0</v>
      </c>
      <c r="B2668" s="69" t="s">
        <v>1971</v>
      </c>
    </row>
    <row r="2669">
      <c r="A2669" s="66">
        <v>44449.0</v>
      </c>
      <c r="B2669" s="69" t="s">
        <v>1972</v>
      </c>
    </row>
    <row r="2670">
      <c r="A2670" s="66">
        <v>44452.0</v>
      </c>
      <c r="B2670" s="69" t="s">
        <v>1973</v>
      </c>
    </row>
    <row r="2671">
      <c r="A2671" s="66">
        <v>44453.0</v>
      </c>
      <c r="B2671" s="69" t="s">
        <v>1974</v>
      </c>
    </row>
    <row r="2672">
      <c r="A2672" s="66">
        <v>44454.0</v>
      </c>
      <c r="B2672" s="69" t="s">
        <v>1975</v>
      </c>
    </row>
    <row r="2673">
      <c r="A2673" s="66">
        <v>44455.0</v>
      </c>
      <c r="B2673" s="69" t="s">
        <v>1976</v>
      </c>
    </row>
    <row r="2674">
      <c r="A2674" s="66">
        <v>44456.0</v>
      </c>
      <c r="B2674" s="69" t="s">
        <v>1977</v>
      </c>
    </row>
    <row r="2675">
      <c r="A2675" s="66">
        <v>44459.0</v>
      </c>
      <c r="B2675" s="69" t="s">
        <v>1978</v>
      </c>
    </row>
    <row r="2676">
      <c r="A2676" s="66">
        <v>44460.0</v>
      </c>
      <c r="B2676" s="69" t="s">
        <v>1979</v>
      </c>
    </row>
    <row r="2677">
      <c r="A2677" s="66">
        <v>44461.0</v>
      </c>
      <c r="B2677" s="69" t="s">
        <v>1980</v>
      </c>
    </row>
    <row r="2678">
      <c r="A2678" s="66">
        <v>44462.0</v>
      </c>
      <c r="B2678" s="69" t="s">
        <v>1981</v>
      </c>
    </row>
    <row r="2679">
      <c r="A2679" s="66">
        <v>44463.0</v>
      </c>
      <c r="B2679" s="69" t="s">
        <v>1982</v>
      </c>
    </row>
    <row r="2680">
      <c r="A2680" s="66">
        <v>44466.0</v>
      </c>
      <c r="B2680" s="69" t="s">
        <v>1983</v>
      </c>
    </row>
    <row r="2681">
      <c r="A2681" s="66">
        <v>44467.0</v>
      </c>
      <c r="B2681" s="69" t="s">
        <v>1984</v>
      </c>
    </row>
    <row r="2682">
      <c r="A2682" s="66">
        <v>44468.0</v>
      </c>
      <c r="B2682" s="69" t="s">
        <v>1985</v>
      </c>
    </row>
    <row r="2683">
      <c r="A2683" s="66">
        <v>44469.0</v>
      </c>
      <c r="B2683" s="69" t="s">
        <v>1986</v>
      </c>
    </row>
    <row r="2684">
      <c r="A2684" s="66">
        <v>44470.0</v>
      </c>
      <c r="B2684" s="69" t="s">
        <v>1987</v>
      </c>
    </row>
    <row r="2685">
      <c r="A2685" s="66">
        <v>44473.0</v>
      </c>
      <c r="B2685" s="69" t="s">
        <v>1988</v>
      </c>
    </row>
    <row r="2686">
      <c r="A2686" s="66">
        <v>44474.0</v>
      </c>
      <c r="B2686" s="69" t="s">
        <v>1989</v>
      </c>
    </row>
    <row r="2687">
      <c r="A2687" s="66">
        <v>44475.0</v>
      </c>
      <c r="B2687" s="69" t="s">
        <v>1990</v>
      </c>
    </row>
    <row r="2688">
      <c r="A2688" s="66">
        <v>44476.0</v>
      </c>
      <c r="B2688" s="69" t="s">
        <v>1991</v>
      </c>
    </row>
    <row r="2689">
      <c r="A2689" s="66">
        <v>44481.0</v>
      </c>
      <c r="B2689" s="69" t="s">
        <v>1992</v>
      </c>
    </row>
    <row r="2690">
      <c r="A2690" s="66">
        <v>44482.0</v>
      </c>
      <c r="B2690" s="69" t="s">
        <v>1993</v>
      </c>
    </row>
    <row r="2691">
      <c r="A2691" s="66">
        <v>44483.0</v>
      </c>
      <c r="B2691" s="69" t="s">
        <v>1994</v>
      </c>
    </row>
    <row r="2692">
      <c r="A2692" s="66">
        <v>44484.0</v>
      </c>
      <c r="B2692" s="69" t="s">
        <v>1995</v>
      </c>
    </row>
    <row r="2693">
      <c r="A2693" s="66">
        <v>44487.0</v>
      </c>
      <c r="B2693" s="69" t="s">
        <v>1996</v>
      </c>
    </row>
    <row r="2694">
      <c r="A2694" s="66">
        <v>44488.0</v>
      </c>
      <c r="B2694" s="69" t="s">
        <v>1997</v>
      </c>
    </row>
    <row r="2695">
      <c r="A2695" s="66">
        <v>44489.0</v>
      </c>
      <c r="B2695" s="69" t="s">
        <v>1998</v>
      </c>
    </row>
    <row r="2696">
      <c r="A2696" s="66">
        <v>44490.0</v>
      </c>
      <c r="B2696" s="69" t="s">
        <v>1999</v>
      </c>
    </row>
    <row r="2697">
      <c r="A2697" s="66">
        <v>44491.0</v>
      </c>
      <c r="B2697" s="69" t="s">
        <v>2000</v>
      </c>
    </row>
    <row r="2698">
      <c r="A2698" s="66">
        <v>44494.0</v>
      </c>
      <c r="B2698" s="69" t="s">
        <v>2001</v>
      </c>
    </row>
    <row r="2699">
      <c r="A2699" s="66">
        <v>44495.0</v>
      </c>
      <c r="B2699" s="69" t="s">
        <v>2002</v>
      </c>
    </row>
    <row r="2700">
      <c r="A2700" s="66">
        <v>44496.0</v>
      </c>
      <c r="B2700" s="69" t="s">
        <v>2003</v>
      </c>
    </row>
    <row r="2701">
      <c r="A2701" s="66">
        <v>44497.0</v>
      </c>
      <c r="B2701" s="69" t="s">
        <v>2004</v>
      </c>
    </row>
    <row r="2702">
      <c r="A2702" s="66">
        <v>44498.0</v>
      </c>
      <c r="B2702" s="69" t="s">
        <v>2005</v>
      </c>
    </row>
    <row r="2703">
      <c r="A2703" s="66">
        <v>44501.0</v>
      </c>
      <c r="B2703" s="69" t="s">
        <v>2006</v>
      </c>
    </row>
    <row r="2704">
      <c r="A2704" s="66">
        <v>44502.0</v>
      </c>
      <c r="B2704" s="69" t="s">
        <v>2007</v>
      </c>
    </row>
    <row r="2705">
      <c r="A2705" s="66">
        <v>44503.0</v>
      </c>
      <c r="B2705" s="69" t="s">
        <v>2008</v>
      </c>
    </row>
    <row r="2706">
      <c r="A2706" s="66">
        <v>44504.0</v>
      </c>
      <c r="B2706" s="69" t="s">
        <v>2009</v>
      </c>
    </row>
    <row r="2707">
      <c r="A2707" s="66">
        <v>44505.0</v>
      </c>
      <c r="B2707" s="69" t="s">
        <v>2010</v>
      </c>
    </row>
    <row r="2708">
      <c r="A2708" s="66">
        <v>44508.0</v>
      </c>
      <c r="B2708" s="69" t="s">
        <v>2011</v>
      </c>
    </row>
    <row r="2709">
      <c r="A2709" s="66">
        <v>44509.0</v>
      </c>
      <c r="B2709" s="69" t="s">
        <v>2012</v>
      </c>
    </row>
    <row r="2710">
      <c r="A2710" s="66">
        <v>44510.0</v>
      </c>
      <c r="B2710" s="69" t="s">
        <v>2013</v>
      </c>
    </row>
    <row r="2711">
      <c r="A2711" s="66">
        <v>44511.0</v>
      </c>
      <c r="B2711" s="69" t="s">
        <v>2014</v>
      </c>
    </row>
    <row r="2712">
      <c r="A2712" s="66">
        <v>44512.0</v>
      </c>
      <c r="B2712" s="69" t="s">
        <v>2015</v>
      </c>
    </row>
    <row r="2713">
      <c r="A2713" s="66">
        <v>44515.0</v>
      </c>
      <c r="B2713" s="69" t="s">
        <v>2016</v>
      </c>
    </row>
    <row r="2714">
      <c r="A2714" s="66">
        <v>44516.0</v>
      </c>
      <c r="B2714" s="69" t="s">
        <v>2017</v>
      </c>
    </row>
    <row r="2715">
      <c r="A2715" s="66">
        <v>44517.0</v>
      </c>
      <c r="B2715" s="69" t="s">
        <v>2018</v>
      </c>
    </row>
    <row r="2716">
      <c r="A2716" s="66">
        <v>44518.0</v>
      </c>
      <c r="B2716" s="69" t="s">
        <v>2019</v>
      </c>
    </row>
    <row r="2717">
      <c r="A2717" s="66">
        <v>44519.0</v>
      </c>
      <c r="B2717" s="69" t="s">
        <v>2020</v>
      </c>
    </row>
    <row r="2718">
      <c r="A2718" s="66">
        <v>44523.0</v>
      </c>
      <c r="B2718" s="69" t="s">
        <v>2021</v>
      </c>
    </row>
    <row r="2719">
      <c r="A2719" s="66">
        <v>44524.0</v>
      </c>
      <c r="B2719" s="69" t="s">
        <v>2022</v>
      </c>
    </row>
    <row r="2720">
      <c r="A2720" s="66">
        <v>44525.0</v>
      </c>
      <c r="B2720" s="69" t="s">
        <v>2023</v>
      </c>
    </row>
    <row r="2721">
      <c r="A2721" s="66">
        <v>44526.0</v>
      </c>
      <c r="B2721" s="69" t="s">
        <v>2024</v>
      </c>
    </row>
    <row r="2722">
      <c r="A2722" s="66">
        <v>44529.0</v>
      </c>
      <c r="B2722" s="69" t="s">
        <v>2025</v>
      </c>
    </row>
    <row r="2723">
      <c r="A2723" s="66">
        <v>44530.0</v>
      </c>
      <c r="B2723" s="69" t="s">
        <v>2026</v>
      </c>
    </row>
    <row r="2724">
      <c r="A2724" s="66">
        <v>44531.0</v>
      </c>
      <c r="B2724" s="69" t="s">
        <v>2027</v>
      </c>
    </row>
    <row r="2725">
      <c r="A2725" s="66">
        <v>44532.0</v>
      </c>
      <c r="B2725" s="69" t="s">
        <v>2028</v>
      </c>
    </row>
    <row r="2726">
      <c r="A2726" s="66">
        <v>44533.0</v>
      </c>
      <c r="B2726" s="69" t="s">
        <v>2029</v>
      </c>
    </row>
    <row r="2727">
      <c r="A2727" s="66">
        <v>44536.0</v>
      </c>
      <c r="B2727" s="69" t="s">
        <v>2030</v>
      </c>
    </row>
    <row r="2728">
      <c r="A2728" s="66">
        <v>44537.0</v>
      </c>
      <c r="B2728" s="69" t="s">
        <v>2031</v>
      </c>
    </row>
    <row r="2729">
      <c r="A2729" s="66">
        <v>44539.0</v>
      </c>
      <c r="B2729" s="69" t="s">
        <v>2032</v>
      </c>
    </row>
    <row r="2730">
      <c r="A2730" s="66">
        <v>44540.0</v>
      </c>
      <c r="B2730" s="69" t="s">
        <v>2033</v>
      </c>
    </row>
    <row r="2731">
      <c r="A2731" s="66">
        <v>44543.0</v>
      </c>
      <c r="B2731" s="69" t="s">
        <v>2034</v>
      </c>
    </row>
    <row r="2732">
      <c r="A2732" s="66">
        <v>44544.0</v>
      </c>
      <c r="B2732" s="69" t="s">
        <v>2035</v>
      </c>
    </row>
    <row r="2733">
      <c r="A2733" s="66">
        <v>44545.0</v>
      </c>
      <c r="B2733" s="69" t="s">
        <v>2036</v>
      </c>
    </row>
    <row r="2734">
      <c r="A2734" s="66">
        <v>44546.0</v>
      </c>
      <c r="B2734" s="69" t="s">
        <v>2037</v>
      </c>
    </row>
    <row r="2735">
      <c r="A2735" s="66">
        <v>44547.0</v>
      </c>
      <c r="B2735" s="69" t="s">
        <v>2038</v>
      </c>
    </row>
    <row r="2736">
      <c r="A2736" s="66">
        <v>44550.0</v>
      </c>
      <c r="B2736" s="69" t="s">
        <v>2039</v>
      </c>
    </row>
    <row r="2737">
      <c r="A2737" s="66">
        <v>44551.0</v>
      </c>
      <c r="B2737" s="69" t="s">
        <v>2040</v>
      </c>
    </row>
    <row r="2738">
      <c r="A2738" s="66">
        <v>44552.0</v>
      </c>
      <c r="B2738" s="69" t="s">
        <v>2041</v>
      </c>
    </row>
    <row r="2739">
      <c r="A2739" s="66">
        <v>44553.0</v>
      </c>
      <c r="B2739" s="69" t="s">
        <v>2042</v>
      </c>
    </row>
    <row r="2740">
      <c r="A2740" s="66">
        <v>44557.0</v>
      </c>
      <c r="B2740" s="69" t="s">
        <v>2043</v>
      </c>
    </row>
    <row r="2741">
      <c r="A2741" s="66">
        <v>44558.0</v>
      </c>
      <c r="B2741" s="69" t="s">
        <v>1999</v>
      </c>
    </row>
    <row r="2742">
      <c r="A2742" s="66">
        <v>44559.0</v>
      </c>
      <c r="B2742" s="69" t="s">
        <v>2044</v>
      </c>
    </row>
    <row r="2743">
      <c r="A2743" s="66">
        <v>44560.0</v>
      </c>
      <c r="B2743" s="69" t="s">
        <v>2045</v>
      </c>
    </row>
    <row r="2744">
      <c r="A2744" s="66">
        <v>44564.0</v>
      </c>
      <c r="B2744" s="69" t="s">
        <v>2046</v>
      </c>
    </row>
    <row r="2745">
      <c r="A2745" s="66">
        <v>44565.0</v>
      </c>
      <c r="B2745" s="69" t="s">
        <v>2047</v>
      </c>
    </row>
    <row r="2746">
      <c r="A2746" s="66">
        <v>44566.0</v>
      </c>
      <c r="B2746" s="69" t="s">
        <v>2048</v>
      </c>
    </row>
    <row r="2747">
      <c r="A2747" s="66">
        <v>44567.0</v>
      </c>
      <c r="B2747" s="69" t="s">
        <v>2049</v>
      </c>
    </row>
    <row r="2748">
      <c r="A2748" s="66">
        <v>44568.0</v>
      </c>
      <c r="B2748" s="69" t="s">
        <v>2050</v>
      </c>
    </row>
    <row r="2749">
      <c r="A2749" s="66">
        <v>44571.0</v>
      </c>
      <c r="B2749" s="69" t="s">
        <v>2051</v>
      </c>
    </row>
    <row r="2750">
      <c r="A2750" s="66">
        <v>44572.0</v>
      </c>
      <c r="B2750" s="69" t="s">
        <v>2052</v>
      </c>
    </row>
    <row r="2751">
      <c r="A2751" s="66">
        <v>44573.0</v>
      </c>
      <c r="B2751" s="69" t="s">
        <v>2053</v>
      </c>
    </row>
    <row r="2752">
      <c r="A2752" s="66">
        <v>44574.0</v>
      </c>
      <c r="B2752" s="69" t="s">
        <v>2054</v>
      </c>
    </row>
    <row r="2753">
      <c r="A2753" s="66">
        <v>44575.0</v>
      </c>
      <c r="B2753" s="69" t="s">
        <v>2055</v>
      </c>
    </row>
    <row r="2754">
      <c r="A2754" s="66">
        <v>44578.0</v>
      </c>
      <c r="B2754" s="69" t="s">
        <v>2056</v>
      </c>
    </row>
    <row r="2755">
      <c r="A2755" s="66">
        <v>44579.0</v>
      </c>
      <c r="B2755" s="69" t="s">
        <v>2057</v>
      </c>
    </row>
    <row r="2756">
      <c r="A2756" s="66">
        <v>44580.0</v>
      </c>
      <c r="B2756" s="69" t="s">
        <v>2058</v>
      </c>
    </row>
    <row r="2757">
      <c r="A2757" s="66">
        <v>44581.0</v>
      </c>
      <c r="B2757" s="69" t="s">
        <v>2059</v>
      </c>
    </row>
    <row r="2758">
      <c r="A2758" s="66">
        <v>44582.0</v>
      </c>
      <c r="B2758" s="69" t="s">
        <v>2060</v>
      </c>
    </row>
    <row r="2759">
      <c r="A2759" s="66">
        <v>44585.0</v>
      </c>
      <c r="B2759" s="69" t="s">
        <v>2061</v>
      </c>
    </row>
    <row r="2760">
      <c r="A2760" s="66">
        <v>44586.0</v>
      </c>
      <c r="B2760" s="69" t="s">
        <v>2062</v>
      </c>
    </row>
    <row r="2761">
      <c r="A2761" s="66">
        <v>44587.0</v>
      </c>
      <c r="B2761" s="69" t="s">
        <v>2063</v>
      </c>
    </row>
    <row r="2762">
      <c r="A2762" s="66">
        <v>44588.0</v>
      </c>
      <c r="B2762" s="69" t="s">
        <v>2064</v>
      </c>
    </row>
    <row r="2763">
      <c r="A2763" s="66">
        <v>44589.0</v>
      </c>
      <c r="B2763" s="69" t="s">
        <v>2065</v>
      </c>
    </row>
    <row r="2764">
      <c r="A2764" s="66">
        <v>44592.0</v>
      </c>
      <c r="B2764" s="69" t="s">
        <v>2066</v>
      </c>
    </row>
    <row r="2765">
      <c r="A2765" s="66">
        <v>44593.0</v>
      </c>
      <c r="B2765" s="69" t="s">
        <v>2067</v>
      </c>
    </row>
    <row r="2766">
      <c r="A2766" s="66">
        <v>44594.0</v>
      </c>
      <c r="B2766" s="69" t="s">
        <v>2068</v>
      </c>
    </row>
    <row r="2767">
      <c r="A2767" s="66">
        <v>44595.0</v>
      </c>
      <c r="B2767" s="69" t="s">
        <v>2069</v>
      </c>
    </row>
    <row r="2768">
      <c r="A2768" s="66">
        <v>44596.0</v>
      </c>
      <c r="B2768" s="69" t="s">
        <v>2070</v>
      </c>
    </row>
    <row r="2769">
      <c r="A2769" s="66">
        <v>44599.0</v>
      </c>
      <c r="B2769" s="69" t="s">
        <v>2071</v>
      </c>
    </row>
    <row r="2770">
      <c r="A2770" s="66">
        <v>44600.0</v>
      </c>
      <c r="B2770" s="69" t="s">
        <v>2072</v>
      </c>
    </row>
    <row r="2771">
      <c r="A2771" s="66">
        <v>44601.0</v>
      </c>
      <c r="B2771" s="69" t="s">
        <v>2073</v>
      </c>
    </row>
    <row r="2772">
      <c r="A2772" s="66">
        <v>44602.0</v>
      </c>
      <c r="B2772" s="69" t="s">
        <v>2074</v>
      </c>
    </row>
    <row r="2773">
      <c r="A2773" s="66">
        <v>44603.0</v>
      </c>
      <c r="B2773" s="69" t="s">
        <v>2075</v>
      </c>
    </row>
    <row r="2774">
      <c r="A2774" s="66">
        <v>44606.0</v>
      </c>
      <c r="B2774" s="69" t="s">
        <v>2076</v>
      </c>
    </row>
    <row r="2775">
      <c r="A2775" s="66">
        <v>44607.0</v>
      </c>
      <c r="B2775" s="69" t="s">
        <v>2050</v>
      </c>
    </row>
    <row r="2776">
      <c r="A2776" s="66">
        <v>44608.0</v>
      </c>
      <c r="B2776" s="69" t="s">
        <v>2077</v>
      </c>
    </row>
    <row r="2777">
      <c r="A2777" s="66">
        <v>44609.0</v>
      </c>
      <c r="B2777" s="69" t="s">
        <v>2078</v>
      </c>
    </row>
    <row r="2778">
      <c r="A2778" s="66">
        <v>44610.0</v>
      </c>
      <c r="B2778" s="69" t="s">
        <v>2079</v>
      </c>
    </row>
    <row r="2779">
      <c r="A2779" s="66">
        <v>44613.0</v>
      </c>
      <c r="B2779" s="69" t="s">
        <v>2080</v>
      </c>
    </row>
    <row r="2780">
      <c r="A2780" s="66">
        <v>44614.0</v>
      </c>
      <c r="B2780" s="69" t="s">
        <v>2081</v>
      </c>
    </row>
    <row r="2781">
      <c r="A2781" s="66">
        <v>44615.0</v>
      </c>
      <c r="B2781" s="69" t="s">
        <v>2082</v>
      </c>
    </row>
    <row r="2782">
      <c r="A2782" s="66">
        <v>44616.0</v>
      </c>
      <c r="B2782" s="69" t="s">
        <v>2083</v>
      </c>
    </row>
    <row r="2783">
      <c r="A2783" s="66">
        <v>44617.0</v>
      </c>
      <c r="B2783" s="69" t="s">
        <v>2084</v>
      </c>
    </row>
    <row r="2784">
      <c r="A2784" s="66">
        <v>44622.0</v>
      </c>
      <c r="B2784" s="69" t="s">
        <v>2085</v>
      </c>
    </row>
    <row r="2785">
      <c r="A2785" s="66">
        <v>44623.0</v>
      </c>
      <c r="B2785" s="69" t="s">
        <v>2086</v>
      </c>
    </row>
    <row r="2786">
      <c r="A2786" s="66">
        <v>44624.0</v>
      </c>
      <c r="B2786" s="69" t="s">
        <v>2087</v>
      </c>
    </row>
    <row r="2787">
      <c r="A2787" s="66">
        <v>44627.0</v>
      </c>
      <c r="B2787" s="69" t="s">
        <v>2088</v>
      </c>
    </row>
    <row r="2788">
      <c r="A2788" s="66">
        <v>44631.0</v>
      </c>
      <c r="B2788" s="69" t="s">
        <v>2089</v>
      </c>
    </row>
    <row r="2789">
      <c r="A2789" s="66">
        <v>44634.0</v>
      </c>
      <c r="B2789" s="69" t="s">
        <v>2090</v>
      </c>
    </row>
    <row r="2790">
      <c r="A2790" s="66">
        <v>44635.0</v>
      </c>
      <c r="B2790" s="69" t="s">
        <v>2091</v>
      </c>
    </row>
    <row r="2791">
      <c r="A2791" s="66">
        <v>44636.0</v>
      </c>
      <c r="B2791" s="69" t="s">
        <v>2092</v>
      </c>
    </row>
    <row r="2792">
      <c r="A2792" s="66">
        <v>44637.0</v>
      </c>
      <c r="B2792" s="69" t="s">
        <v>2093</v>
      </c>
    </row>
    <row r="2793">
      <c r="A2793" s="66">
        <v>44638.0</v>
      </c>
      <c r="B2793" s="69" t="s">
        <v>2094</v>
      </c>
    </row>
    <row r="2794">
      <c r="A2794" s="66">
        <v>44641.0</v>
      </c>
      <c r="B2794" s="69" t="s">
        <v>2095</v>
      </c>
    </row>
    <row r="2795">
      <c r="A2795" s="66">
        <v>44642.0</v>
      </c>
      <c r="B2795" s="69" t="s">
        <v>2096</v>
      </c>
    </row>
    <row r="2796">
      <c r="A2796" s="66">
        <v>44643.0</v>
      </c>
      <c r="B2796" s="69" t="s">
        <v>2097</v>
      </c>
    </row>
    <row r="2797">
      <c r="A2797" s="66">
        <v>44645.0</v>
      </c>
      <c r="B2797" s="69" t="s">
        <v>2098</v>
      </c>
    </row>
    <row r="2798">
      <c r="A2798" s="66">
        <v>44648.0</v>
      </c>
      <c r="B2798" s="69" t="s">
        <v>2099</v>
      </c>
    </row>
    <row r="2799">
      <c r="A2799" s="66">
        <v>44649.0</v>
      </c>
      <c r="B2799" s="69" t="s">
        <v>2100</v>
      </c>
    </row>
    <row r="2800">
      <c r="A2800" s="66">
        <v>44650.0</v>
      </c>
      <c r="B2800" s="69" t="s">
        <v>2101</v>
      </c>
    </row>
    <row r="2801">
      <c r="A2801" s="66">
        <v>44651.0</v>
      </c>
      <c r="B2801" s="69" t="s">
        <v>2102</v>
      </c>
    </row>
    <row r="2802">
      <c r="A2802" s="66">
        <v>44652.0</v>
      </c>
      <c r="B2802" s="69" t="s">
        <v>2103</v>
      </c>
    </row>
    <row r="2803">
      <c r="A2803" s="66">
        <v>44655.0</v>
      </c>
      <c r="B2803" s="69" t="s">
        <v>2104</v>
      </c>
    </row>
    <row r="2804">
      <c r="A2804" s="66">
        <v>44656.0</v>
      </c>
      <c r="B2804" s="69" t="s">
        <v>2105</v>
      </c>
    </row>
    <row r="2805">
      <c r="A2805" s="66">
        <v>44657.0</v>
      </c>
      <c r="B2805" s="69" t="s">
        <v>2106</v>
      </c>
    </row>
    <row r="2806">
      <c r="A2806" s="66">
        <v>44658.0</v>
      </c>
      <c r="B2806" s="69" t="s">
        <v>1993</v>
      </c>
    </row>
    <row r="2807">
      <c r="A2807" s="66">
        <v>44659.0</v>
      </c>
      <c r="B2807" s="69" t="s">
        <v>2107</v>
      </c>
    </row>
    <row r="2808">
      <c r="A2808" s="66">
        <v>44662.0</v>
      </c>
      <c r="B2808" s="69" t="s">
        <v>2108</v>
      </c>
    </row>
    <row r="2809">
      <c r="A2809" s="66">
        <v>44663.0</v>
      </c>
      <c r="B2809" s="69" t="s">
        <v>2109</v>
      </c>
    </row>
    <row r="2810">
      <c r="A2810" s="66">
        <v>44664.0</v>
      </c>
      <c r="B2810" s="69" t="s">
        <v>2109</v>
      </c>
    </row>
    <row r="2811">
      <c r="A2811" s="66">
        <v>44669.0</v>
      </c>
      <c r="B2811" s="69" t="s">
        <v>2110</v>
      </c>
    </row>
    <row r="2812">
      <c r="A2812" s="66">
        <v>44670.0</v>
      </c>
      <c r="B2812" s="69" t="s">
        <v>2111</v>
      </c>
    </row>
    <row r="2813">
      <c r="A2813" s="66">
        <v>44671.0</v>
      </c>
      <c r="B2813" s="69" t="s">
        <v>2112</v>
      </c>
    </row>
    <row r="2814">
      <c r="A2814" s="66">
        <v>44672.0</v>
      </c>
      <c r="B2814" s="69" t="s">
        <v>2113</v>
      </c>
    </row>
    <row r="2815">
      <c r="A2815" s="66">
        <v>44673.0</v>
      </c>
      <c r="B2815" s="69" t="s">
        <v>2114</v>
      </c>
    </row>
    <row r="2816">
      <c r="A2816" s="66">
        <v>44676.0</v>
      </c>
      <c r="B2816" s="69" t="s">
        <v>2115</v>
      </c>
    </row>
    <row r="2817">
      <c r="A2817" s="66">
        <v>44677.0</v>
      </c>
      <c r="B2817" s="69" t="s">
        <v>2116</v>
      </c>
    </row>
    <row r="2818">
      <c r="A2818" s="66">
        <v>44678.0</v>
      </c>
      <c r="B2818" s="69" t="s">
        <v>2117</v>
      </c>
    </row>
    <row r="2819">
      <c r="A2819" s="66">
        <v>44679.0</v>
      </c>
      <c r="B2819" s="69" t="s">
        <v>2118</v>
      </c>
    </row>
    <row r="2820">
      <c r="A2820" s="66">
        <v>44680.0</v>
      </c>
      <c r="B2820" s="69" t="s">
        <v>2119</v>
      </c>
    </row>
    <row r="2821">
      <c r="A2821" s="66">
        <v>44683.0</v>
      </c>
      <c r="B2821" s="69" t="s">
        <v>2120</v>
      </c>
    </row>
    <row r="2822">
      <c r="A2822" s="66">
        <v>44684.0</v>
      </c>
      <c r="B2822" s="69" t="s">
        <v>2121</v>
      </c>
    </row>
    <row r="2823">
      <c r="A2823" s="66">
        <v>44685.0</v>
      </c>
      <c r="B2823" s="69" t="s">
        <v>2122</v>
      </c>
    </row>
    <row r="2824">
      <c r="A2824" s="66">
        <v>44686.0</v>
      </c>
      <c r="B2824" s="69" t="s">
        <v>2123</v>
      </c>
    </row>
    <row r="2825">
      <c r="A2825" s="66">
        <v>44687.0</v>
      </c>
      <c r="B2825" s="69" t="s">
        <v>2124</v>
      </c>
    </row>
    <row r="2826">
      <c r="A2826" s="66">
        <v>44690.0</v>
      </c>
      <c r="B2826" s="69" t="s">
        <v>2125</v>
      </c>
    </row>
    <row r="2827">
      <c r="A2827" s="66">
        <v>44691.0</v>
      </c>
      <c r="B2827" s="69" t="s">
        <v>2126</v>
      </c>
    </row>
    <row r="2828">
      <c r="A2828" s="66">
        <v>44692.0</v>
      </c>
      <c r="B2828" s="69" t="s">
        <v>2127</v>
      </c>
    </row>
    <row r="2829">
      <c r="A2829" s="66">
        <v>44693.0</v>
      </c>
      <c r="B2829" s="69" t="s">
        <v>2128</v>
      </c>
    </row>
    <row r="2830">
      <c r="A2830" s="66">
        <v>44694.0</v>
      </c>
      <c r="B2830" s="69" t="s">
        <v>2129</v>
      </c>
    </row>
    <row r="2831">
      <c r="A2831" s="66">
        <v>44697.0</v>
      </c>
      <c r="B2831" s="69" t="s">
        <v>2130</v>
      </c>
    </row>
    <row r="2832">
      <c r="A2832" s="66">
        <v>44698.0</v>
      </c>
      <c r="B2832" s="69" t="s">
        <v>2131</v>
      </c>
    </row>
    <row r="2833">
      <c r="A2833" s="66">
        <v>44700.0</v>
      </c>
      <c r="B2833" s="69" t="s">
        <v>2005</v>
      </c>
    </row>
    <row r="2834">
      <c r="A2834" s="66">
        <v>44701.0</v>
      </c>
      <c r="B2834" s="69" t="s">
        <v>2132</v>
      </c>
    </row>
    <row r="2835">
      <c r="A2835" s="66">
        <v>44704.0</v>
      </c>
      <c r="B2835" s="69" t="s">
        <v>2133</v>
      </c>
    </row>
    <row r="2836">
      <c r="A2836" s="66">
        <v>44705.0</v>
      </c>
      <c r="B2836" s="69" t="s">
        <v>2134</v>
      </c>
    </row>
    <row r="2837">
      <c r="A2837" s="66">
        <v>44707.0</v>
      </c>
      <c r="B2837" s="69" t="s">
        <v>2135</v>
      </c>
    </row>
    <row r="2838">
      <c r="A2838" s="66">
        <v>44708.0</v>
      </c>
      <c r="B2838" s="69" t="s">
        <v>2050</v>
      </c>
    </row>
    <row r="2839">
      <c r="A2839" s="66">
        <v>44711.0</v>
      </c>
      <c r="B2839" s="69" t="s">
        <v>2136</v>
      </c>
    </row>
    <row r="2840">
      <c r="A2840" s="66">
        <v>44712.0</v>
      </c>
      <c r="B2840" s="69" t="s">
        <v>2032</v>
      </c>
    </row>
    <row r="2841">
      <c r="A2841" s="66">
        <v>44713.0</v>
      </c>
      <c r="B2841" s="69" t="s">
        <v>2137</v>
      </c>
    </row>
    <row r="2842">
      <c r="A2842" s="66">
        <v>44714.0</v>
      </c>
      <c r="B2842" s="69" t="s">
        <v>2138</v>
      </c>
    </row>
    <row r="2843">
      <c r="A2843" s="66">
        <v>44715.0</v>
      </c>
      <c r="B2843" s="69" t="s">
        <v>2139</v>
      </c>
    </row>
    <row r="2844">
      <c r="A2844" s="66">
        <v>44718.0</v>
      </c>
      <c r="B2844" s="69" t="s">
        <v>2140</v>
      </c>
    </row>
    <row r="2845">
      <c r="A2845" s="66">
        <v>44719.0</v>
      </c>
      <c r="B2845" s="69" t="s">
        <v>2141</v>
      </c>
    </row>
    <row r="2846">
      <c r="A2846" s="66">
        <v>44720.0</v>
      </c>
      <c r="B2846" s="69" t="s">
        <v>2142</v>
      </c>
    </row>
    <row r="2847">
      <c r="A2847" s="66">
        <v>44721.0</v>
      </c>
      <c r="B2847" s="69" t="s">
        <v>2143</v>
      </c>
    </row>
    <row r="2848">
      <c r="A2848" s="66">
        <v>44722.0</v>
      </c>
      <c r="B2848" s="69" t="s">
        <v>2144</v>
      </c>
    </row>
    <row r="2849">
      <c r="A2849" s="66">
        <v>44725.0</v>
      </c>
      <c r="B2849" s="69" t="s">
        <v>2145</v>
      </c>
    </row>
    <row r="2850">
      <c r="A2850" s="66">
        <v>44726.0</v>
      </c>
      <c r="B2850" s="69" t="s">
        <v>2146</v>
      </c>
    </row>
    <row r="2851">
      <c r="A2851" s="66">
        <v>44727.0</v>
      </c>
      <c r="B2851" s="69" t="s">
        <v>2147</v>
      </c>
    </row>
    <row r="2852">
      <c r="A2852" s="66">
        <v>44728.0</v>
      </c>
      <c r="B2852" s="69" t="s">
        <v>2146</v>
      </c>
    </row>
    <row r="2853">
      <c r="A2853" s="66">
        <v>44733.0</v>
      </c>
      <c r="B2853" s="69" t="s">
        <v>2148</v>
      </c>
    </row>
    <row r="2854">
      <c r="A2854" s="66">
        <v>44734.0</v>
      </c>
      <c r="B2854" s="69" t="s">
        <v>2149</v>
      </c>
    </row>
    <row r="2855">
      <c r="A2855" s="66">
        <v>44735.0</v>
      </c>
      <c r="B2855" s="69" t="s">
        <v>2150</v>
      </c>
    </row>
    <row r="2856">
      <c r="A2856" s="66">
        <v>44736.0</v>
      </c>
      <c r="B2856" s="69" t="s">
        <v>2151</v>
      </c>
    </row>
    <row r="2857">
      <c r="A2857" s="66">
        <v>44739.0</v>
      </c>
      <c r="B2857" s="69" t="s">
        <v>2152</v>
      </c>
    </row>
    <row r="2858">
      <c r="A2858" s="66">
        <v>44740.0</v>
      </c>
      <c r="B2858" s="69" t="s">
        <v>2153</v>
      </c>
    </row>
    <row r="2859">
      <c r="A2859" s="66">
        <v>44741.0</v>
      </c>
      <c r="B2859" s="69" t="s">
        <v>2154</v>
      </c>
    </row>
    <row r="2860">
      <c r="A2860" s="66">
        <v>44742.0</v>
      </c>
      <c r="B2860" s="69" t="s">
        <v>2155</v>
      </c>
    </row>
    <row r="2861">
      <c r="A2861" s="66">
        <v>44743.0</v>
      </c>
      <c r="B2861" s="69" t="s">
        <v>2156</v>
      </c>
    </row>
    <row r="2862">
      <c r="A2862" s="66">
        <v>44746.0</v>
      </c>
      <c r="B2862" s="69" t="s">
        <v>2157</v>
      </c>
    </row>
    <row r="2863">
      <c r="A2863" s="66">
        <v>44747.0</v>
      </c>
      <c r="B2863" s="69" t="s">
        <v>2158</v>
      </c>
    </row>
    <row r="2864">
      <c r="A2864" s="66">
        <v>44748.0</v>
      </c>
      <c r="B2864" s="69" t="s">
        <v>2159</v>
      </c>
    </row>
    <row r="2865">
      <c r="A2865" s="66">
        <v>44749.0</v>
      </c>
      <c r="B2865" s="69" t="s">
        <v>2160</v>
      </c>
    </row>
    <row r="2866">
      <c r="A2866" s="66">
        <v>44750.0</v>
      </c>
      <c r="B2866" s="69" t="s">
        <v>2161</v>
      </c>
    </row>
    <row r="2867">
      <c r="A2867" s="66">
        <v>44753.0</v>
      </c>
      <c r="B2867" s="69" t="s">
        <v>2162</v>
      </c>
    </row>
    <row r="2868">
      <c r="A2868" s="66">
        <v>44754.0</v>
      </c>
      <c r="B2868" s="69" t="s">
        <v>2163</v>
      </c>
    </row>
    <row r="2869">
      <c r="A2869" s="66">
        <v>44755.0</v>
      </c>
      <c r="B2869" s="69" t="s">
        <v>2164</v>
      </c>
    </row>
    <row r="2870">
      <c r="A2870" s="66">
        <v>44756.0</v>
      </c>
      <c r="B2870" s="69" t="s">
        <v>2165</v>
      </c>
    </row>
    <row r="2871">
      <c r="A2871" s="66">
        <v>44757.0</v>
      </c>
      <c r="B2871" s="69" t="s">
        <v>2166</v>
      </c>
    </row>
    <row r="2872">
      <c r="A2872" s="66">
        <v>44760.0</v>
      </c>
      <c r="B2872" s="69" t="s">
        <v>2167</v>
      </c>
    </row>
    <row r="2873">
      <c r="A2873" s="66">
        <v>44761.0</v>
      </c>
      <c r="B2873" s="69" t="s">
        <v>2168</v>
      </c>
    </row>
    <row r="2874">
      <c r="A2874" s="66">
        <v>44762.0</v>
      </c>
      <c r="B2874" s="69" t="s">
        <v>2169</v>
      </c>
    </row>
    <row r="2875">
      <c r="A2875" s="66">
        <v>44763.0</v>
      </c>
      <c r="B2875" s="69" t="s">
        <v>2170</v>
      </c>
    </row>
    <row r="2876">
      <c r="A2876" s="66">
        <v>44764.0</v>
      </c>
      <c r="B2876" s="69" t="s">
        <v>2171</v>
      </c>
    </row>
    <row r="2877">
      <c r="A2877" s="66">
        <v>44767.0</v>
      </c>
      <c r="B2877" s="69" t="s">
        <v>2172</v>
      </c>
    </row>
    <row r="2878">
      <c r="A2878" s="66">
        <v>44768.0</v>
      </c>
      <c r="B2878" s="69" t="s">
        <v>2173</v>
      </c>
    </row>
    <row r="2879">
      <c r="A2879" s="66">
        <v>44769.0</v>
      </c>
      <c r="B2879" s="69" t="s">
        <v>2174</v>
      </c>
    </row>
    <row r="2880">
      <c r="A2880" s="66">
        <v>44770.0</v>
      </c>
      <c r="B2880" s="69" t="s">
        <v>2175</v>
      </c>
    </row>
    <row r="2881">
      <c r="A2881" s="66">
        <v>44771.0</v>
      </c>
      <c r="B2881" s="69" t="s">
        <v>2176</v>
      </c>
    </row>
    <row r="2882">
      <c r="A2882" s="66">
        <v>44774.0</v>
      </c>
      <c r="B2882" s="69" t="s">
        <v>2177</v>
      </c>
    </row>
    <row r="2883">
      <c r="A2883" s="66">
        <v>44775.0</v>
      </c>
      <c r="B2883" s="69" t="s">
        <v>2178</v>
      </c>
    </row>
    <row r="2884">
      <c r="A2884" s="66">
        <v>44776.0</v>
      </c>
      <c r="B2884" s="69" t="s">
        <v>2179</v>
      </c>
    </row>
    <row r="2885">
      <c r="A2885" s="66">
        <v>44777.0</v>
      </c>
      <c r="B2885" s="69" t="s">
        <v>2180</v>
      </c>
    </row>
    <row r="2886">
      <c r="A2886" s="66">
        <v>44778.0</v>
      </c>
      <c r="B2886" s="69" t="s">
        <v>2181</v>
      </c>
    </row>
    <row r="2887">
      <c r="A2887" s="66">
        <v>44781.0</v>
      </c>
      <c r="B2887" s="69" t="s">
        <v>2182</v>
      </c>
    </row>
    <row r="2888">
      <c r="A2888" s="66">
        <v>44782.0</v>
      </c>
      <c r="B2888" s="69" t="s">
        <v>2183</v>
      </c>
    </row>
    <row r="2889">
      <c r="A2889" s="66">
        <v>44783.0</v>
      </c>
      <c r="B2889" s="69" t="s">
        <v>2184</v>
      </c>
    </row>
    <row r="2890">
      <c r="A2890" s="66">
        <v>44784.0</v>
      </c>
      <c r="B2890" s="69" t="s">
        <v>2185</v>
      </c>
    </row>
    <row r="2891">
      <c r="A2891" s="66">
        <v>44785.0</v>
      </c>
      <c r="B2891" s="69" t="s">
        <v>2186</v>
      </c>
    </row>
    <row r="2892">
      <c r="A2892" s="66">
        <v>44789.0</v>
      </c>
      <c r="B2892" s="69" t="s">
        <v>2187</v>
      </c>
    </row>
    <row r="2893">
      <c r="A2893" s="66">
        <v>44790.0</v>
      </c>
      <c r="B2893" s="69" t="s">
        <v>2188</v>
      </c>
    </row>
    <row r="2894">
      <c r="A2894" s="66">
        <v>44791.0</v>
      </c>
      <c r="B2894" s="69" t="s">
        <v>2189</v>
      </c>
    </row>
    <row r="2895">
      <c r="A2895" s="66">
        <v>44792.0</v>
      </c>
      <c r="B2895" s="69" t="s">
        <v>2190</v>
      </c>
    </row>
    <row r="2896">
      <c r="A2896" s="66">
        <v>44795.0</v>
      </c>
      <c r="B2896" s="69" t="s">
        <v>2191</v>
      </c>
    </row>
    <row r="2897">
      <c r="A2897" s="66">
        <v>44796.0</v>
      </c>
      <c r="B2897" s="69" t="s">
        <v>2192</v>
      </c>
    </row>
    <row r="2898">
      <c r="A2898" s="66">
        <v>44797.0</v>
      </c>
      <c r="B2898" s="69" t="s">
        <v>2193</v>
      </c>
    </row>
    <row r="2899">
      <c r="A2899" s="66">
        <v>44798.0</v>
      </c>
      <c r="B2899" s="69" t="s">
        <v>2194</v>
      </c>
    </row>
    <row r="2900">
      <c r="A2900" s="66">
        <v>44799.0</v>
      </c>
      <c r="B2900" s="69" t="s">
        <v>2195</v>
      </c>
    </row>
    <row r="2901">
      <c r="A2901" s="66">
        <v>44803.0</v>
      </c>
      <c r="B2901" s="69" t="s">
        <v>2196</v>
      </c>
    </row>
    <row r="2902">
      <c r="A2902" s="66">
        <v>44804.0</v>
      </c>
      <c r="B2902" s="69" t="s">
        <v>2197</v>
      </c>
    </row>
    <row r="2903">
      <c r="A2903" s="66">
        <v>44805.0</v>
      </c>
      <c r="B2903" s="69" t="s">
        <v>2198</v>
      </c>
    </row>
    <row r="2904">
      <c r="A2904" s="66">
        <v>44806.0</v>
      </c>
      <c r="B2904" s="69" t="s">
        <v>2199</v>
      </c>
    </row>
    <row r="2905">
      <c r="A2905" s="66">
        <v>44809.0</v>
      </c>
      <c r="B2905" s="69" t="s">
        <v>2200</v>
      </c>
    </row>
    <row r="2906">
      <c r="A2906" s="66">
        <v>44810.0</v>
      </c>
      <c r="B2906" s="69" t="s">
        <v>2201</v>
      </c>
    </row>
    <row r="2907">
      <c r="A2907" s="66">
        <v>44811.0</v>
      </c>
      <c r="B2907" s="69" t="s">
        <v>2202</v>
      </c>
    </row>
    <row r="2908">
      <c r="A2908" s="66">
        <v>44812.0</v>
      </c>
      <c r="B2908" s="69" t="s">
        <v>2203</v>
      </c>
    </row>
    <row r="2909">
      <c r="A2909" s="66">
        <v>44813.0</v>
      </c>
      <c r="B2909" s="69" t="s">
        <v>2204</v>
      </c>
    </row>
    <row r="2910">
      <c r="A2910" s="66">
        <v>44816.0</v>
      </c>
      <c r="B2910" s="69" t="s">
        <v>2205</v>
      </c>
    </row>
    <row r="2911">
      <c r="A2911" s="66">
        <v>44817.0</v>
      </c>
      <c r="B2911" s="69" t="s">
        <v>2206</v>
      </c>
    </row>
    <row r="2912">
      <c r="A2912" s="66">
        <v>44818.0</v>
      </c>
      <c r="B2912" s="69" t="s">
        <v>2207</v>
      </c>
    </row>
    <row r="2913">
      <c r="A2913" s="66">
        <v>44819.0</v>
      </c>
      <c r="B2913" s="69" t="s">
        <v>2208</v>
      </c>
    </row>
    <row r="2914">
      <c r="A2914" s="66">
        <v>44820.0</v>
      </c>
      <c r="B2914" s="69" t="s">
        <v>2209</v>
      </c>
    </row>
    <row r="2915">
      <c r="A2915" s="66">
        <v>44823.0</v>
      </c>
      <c r="B2915" s="69" t="s">
        <v>2210</v>
      </c>
    </row>
    <row r="2916">
      <c r="A2916" s="66">
        <v>44824.0</v>
      </c>
      <c r="B2916" s="69" t="s">
        <v>2211</v>
      </c>
    </row>
    <row r="2917">
      <c r="A2917" s="66">
        <v>44825.0</v>
      </c>
      <c r="B2917" s="69" t="s">
        <v>2212</v>
      </c>
    </row>
    <row r="2918">
      <c r="A2918" s="66">
        <v>44826.0</v>
      </c>
      <c r="B2918" s="69" t="s">
        <v>2213</v>
      </c>
    </row>
    <row r="2919">
      <c r="A2919" s="66">
        <v>44827.0</v>
      </c>
      <c r="B2919" s="69" t="s">
        <v>2214</v>
      </c>
    </row>
    <row r="2920">
      <c r="A2920" s="66">
        <v>44830.0</v>
      </c>
      <c r="B2920" s="69" t="s">
        <v>2215</v>
      </c>
    </row>
    <row r="2921">
      <c r="A2921" s="66">
        <v>44831.0</v>
      </c>
      <c r="B2921" s="69" t="s">
        <v>2216</v>
      </c>
    </row>
    <row r="2922">
      <c r="A2922" s="66">
        <v>44832.0</v>
      </c>
      <c r="B2922" s="69" t="s">
        <v>2217</v>
      </c>
    </row>
    <row r="2923">
      <c r="A2923" s="66">
        <v>44833.0</v>
      </c>
      <c r="B2923" s="69" t="s">
        <v>2218</v>
      </c>
    </row>
    <row r="2924">
      <c r="A2924" s="66">
        <v>44834.0</v>
      </c>
      <c r="B2924" s="69" t="s">
        <v>2219</v>
      </c>
    </row>
    <row r="2925">
      <c r="A2925" s="66">
        <v>44837.0</v>
      </c>
      <c r="B2925" s="69" t="s">
        <v>2220</v>
      </c>
    </row>
    <row r="2926">
      <c r="A2926" s="66">
        <v>44838.0</v>
      </c>
      <c r="B2926" s="69" t="s">
        <v>2221</v>
      </c>
    </row>
    <row r="2927">
      <c r="A2927" s="66">
        <v>44839.0</v>
      </c>
      <c r="B2927" s="69" t="s">
        <v>2222</v>
      </c>
    </row>
    <row r="2928">
      <c r="A2928" s="66">
        <v>44840.0</v>
      </c>
      <c r="B2928" s="69" t="s">
        <v>2223</v>
      </c>
    </row>
    <row r="2929">
      <c r="A2929" s="66">
        <v>44845.0</v>
      </c>
      <c r="B2929" s="69" t="s">
        <v>2224</v>
      </c>
    </row>
    <row r="2930">
      <c r="A2930" s="66">
        <v>44846.0</v>
      </c>
      <c r="B2930" s="69" t="s">
        <v>2225</v>
      </c>
    </row>
    <row r="2931">
      <c r="A2931" s="66">
        <v>44847.0</v>
      </c>
      <c r="B2931" s="69" t="s">
        <v>2226</v>
      </c>
    </row>
    <row r="2932">
      <c r="A2932" s="66">
        <v>44848.0</v>
      </c>
      <c r="B2932" s="69" t="s">
        <v>2227</v>
      </c>
    </row>
    <row r="2933">
      <c r="A2933" s="66">
        <v>44851.0</v>
      </c>
      <c r="B2933" s="69" t="s">
        <v>2228</v>
      </c>
    </row>
    <row r="2934">
      <c r="A2934" s="66">
        <v>44852.0</v>
      </c>
      <c r="B2934" s="69" t="s">
        <v>2229</v>
      </c>
    </row>
    <row r="2935">
      <c r="A2935" s="66">
        <v>44853.0</v>
      </c>
      <c r="B2935" s="69" t="s">
        <v>2230</v>
      </c>
    </row>
    <row r="2936">
      <c r="A2936" s="66">
        <v>44854.0</v>
      </c>
      <c r="B2936" s="69" t="s">
        <v>2231</v>
      </c>
    </row>
    <row r="2937">
      <c r="A2937" s="66">
        <v>44855.0</v>
      </c>
      <c r="B2937" s="69" t="s">
        <v>2232</v>
      </c>
    </row>
    <row r="2938">
      <c r="A2938" s="66">
        <v>44858.0</v>
      </c>
      <c r="B2938" s="69" t="s">
        <v>2233</v>
      </c>
    </row>
    <row r="2939">
      <c r="A2939" s="66">
        <v>44859.0</v>
      </c>
      <c r="B2939" s="69" t="s">
        <v>2234</v>
      </c>
    </row>
    <row r="2940">
      <c r="A2940" s="66">
        <v>44860.0</v>
      </c>
      <c r="B2940" s="69" t="s">
        <v>2235</v>
      </c>
    </row>
    <row r="2941">
      <c r="A2941" s="66">
        <v>44861.0</v>
      </c>
      <c r="B2941" s="69" t="s">
        <v>2236</v>
      </c>
    </row>
    <row r="2942">
      <c r="A2942" s="66">
        <v>44862.0</v>
      </c>
      <c r="B2942" s="69" t="s">
        <v>2237</v>
      </c>
    </row>
    <row r="2943">
      <c r="A2943" s="66">
        <v>44865.0</v>
      </c>
      <c r="B2943" s="69" t="s">
        <v>2238</v>
      </c>
    </row>
    <row r="2944">
      <c r="A2944" s="66">
        <v>44866.0</v>
      </c>
      <c r="B2944" s="69" t="s">
        <v>2239</v>
      </c>
    </row>
    <row r="2945">
      <c r="A2945" s="66">
        <v>44867.0</v>
      </c>
      <c r="B2945" s="69" t="s">
        <v>2240</v>
      </c>
    </row>
    <row r="2946">
      <c r="A2946" s="66">
        <v>44868.0</v>
      </c>
      <c r="B2946" s="69" t="s">
        <v>2241</v>
      </c>
    </row>
    <row r="2947">
      <c r="A2947" s="66">
        <v>44869.0</v>
      </c>
      <c r="B2947" s="69" t="s">
        <v>2242</v>
      </c>
    </row>
    <row r="2948">
      <c r="A2948" s="66">
        <v>44872.0</v>
      </c>
      <c r="B2948" s="69" t="s">
        <v>2243</v>
      </c>
    </row>
    <row r="2949">
      <c r="A2949" s="66">
        <v>44873.0</v>
      </c>
      <c r="B2949" s="69" t="s">
        <v>2244</v>
      </c>
    </row>
    <row r="2950">
      <c r="A2950" s="66">
        <v>44874.0</v>
      </c>
      <c r="B2950" s="69" t="s">
        <v>2245</v>
      </c>
    </row>
    <row r="2951">
      <c r="A2951" s="66">
        <v>44875.0</v>
      </c>
      <c r="B2951" s="69" t="s">
        <v>2246</v>
      </c>
    </row>
    <row r="2952">
      <c r="A2952" s="66">
        <v>44876.0</v>
      </c>
      <c r="B2952" s="69" t="s">
        <v>2247</v>
      </c>
    </row>
    <row r="2953">
      <c r="A2953" s="66">
        <v>44879.0</v>
      </c>
      <c r="B2953" s="69" t="s">
        <v>2248</v>
      </c>
    </row>
    <row r="2954">
      <c r="A2954" s="66">
        <v>44880.0</v>
      </c>
      <c r="B2954" s="69" t="s">
        <v>2249</v>
      </c>
    </row>
    <row r="2955">
      <c r="A2955" s="66">
        <v>44881.0</v>
      </c>
      <c r="B2955" s="69" t="s">
        <v>2250</v>
      </c>
    </row>
    <row r="2956">
      <c r="A2956" s="66">
        <v>44882.0</v>
      </c>
      <c r="B2956" s="69" t="s">
        <v>2251</v>
      </c>
    </row>
    <row r="2957">
      <c r="A2957" s="66">
        <v>44883.0</v>
      </c>
      <c r="B2957" s="69" t="s">
        <v>2252</v>
      </c>
    </row>
    <row r="2958">
      <c r="A2958" s="66">
        <v>44887.0</v>
      </c>
      <c r="B2958" s="69" t="s">
        <v>2253</v>
      </c>
    </row>
    <row r="2959">
      <c r="A2959" s="66">
        <v>44888.0</v>
      </c>
      <c r="B2959" s="69" t="s">
        <v>2254</v>
      </c>
    </row>
    <row r="2960">
      <c r="A2960" s="66">
        <v>44889.0</v>
      </c>
      <c r="B2960" s="69" t="s">
        <v>2255</v>
      </c>
    </row>
    <row r="2961">
      <c r="A2961" s="66">
        <v>44890.0</v>
      </c>
      <c r="B2961" s="69" t="s">
        <v>2256</v>
      </c>
    </row>
    <row r="2962">
      <c r="A2962" s="66">
        <v>44893.0</v>
      </c>
      <c r="B2962" s="69" t="s">
        <v>2257</v>
      </c>
    </row>
    <row r="2963">
      <c r="A2963" s="66">
        <v>44894.0</v>
      </c>
      <c r="B2963" s="69" t="s">
        <v>2258</v>
      </c>
    </row>
    <row r="2964">
      <c r="A2964" s="66">
        <v>44895.0</v>
      </c>
      <c r="B2964" s="69" t="s">
        <v>2259</v>
      </c>
    </row>
    <row r="2965">
      <c r="A2965" s="66">
        <v>44896.0</v>
      </c>
      <c r="B2965" s="69" t="s">
        <v>2260</v>
      </c>
    </row>
    <row r="2966">
      <c r="A2966" s="66">
        <v>44897.0</v>
      </c>
      <c r="B2966" s="69" t="s">
        <v>2261</v>
      </c>
    </row>
    <row r="2967">
      <c r="A2967" s="66">
        <v>44900.0</v>
      </c>
      <c r="B2967" s="69" t="s">
        <v>2262</v>
      </c>
    </row>
    <row r="2968">
      <c r="A2968" s="66">
        <v>44901.0</v>
      </c>
      <c r="B2968" s="69" t="s">
        <v>2263</v>
      </c>
    </row>
    <row r="2969">
      <c r="A2969" s="66">
        <v>44902.0</v>
      </c>
      <c r="B2969" s="69" t="s">
        <v>2264</v>
      </c>
    </row>
    <row r="2970">
      <c r="A2970" s="66">
        <v>44907.0</v>
      </c>
      <c r="B2970" s="69" t="s">
        <v>2265</v>
      </c>
    </row>
    <row r="2971">
      <c r="A2971" s="66">
        <v>44908.0</v>
      </c>
      <c r="B2971" s="69" t="s">
        <v>2266</v>
      </c>
    </row>
    <row r="2972">
      <c r="A2972" s="66">
        <v>44909.0</v>
      </c>
      <c r="B2972" s="69" t="s">
        <v>2267</v>
      </c>
    </row>
    <row r="2973">
      <c r="A2973" s="66">
        <v>44910.0</v>
      </c>
      <c r="B2973" s="69" t="s">
        <v>2268</v>
      </c>
    </row>
    <row r="2974">
      <c r="A2974" s="66">
        <v>44911.0</v>
      </c>
      <c r="B2974" s="69" t="s">
        <v>2269</v>
      </c>
    </row>
    <row r="2975">
      <c r="A2975" s="66">
        <v>44914.0</v>
      </c>
      <c r="B2975" s="69" t="s">
        <v>2270</v>
      </c>
    </row>
    <row r="2976">
      <c r="A2976" s="66">
        <v>44915.0</v>
      </c>
      <c r="B2976" s="69" t="s">
        <v>2271</v>
      </c>
    </row>
    <row r="2977">
      <c r="A2977" s="66">
        <v>44916.0</v>
      </c>
      <c r="B2977" s="69" t="s">
        <v>2272</v>
      </c>
    </row>
    <row r="2978">
      <c r="A2978" s="66">
        <v>44917.0</v>
      </c>
      <c r="B2978" s="69" t="s">
        <v>2273</v>
      </c>
    </row>
    <row r="2979">
      <c r="A2979" s="66">
        <v>44918.0</v>
      </c>
      <c r="B2979" s="69" t="s">
        <v>2274</v>
      </c>
    </row>
    <row r="2980">
      <c r="A2980" s="66">
        <v>44921.0</v>
      </c>
      <c r="B2980" s="69" t="s">
        <v>2275</v>
      </c>
    </row>
    <row r="2981">
      <c r="A2981" s="66">
        <v>44922.0</v>
      </c>
      <c r="B2981" s="69" t="s">
        <v>2276</v>
      </c>
    </row>
    <row r="2982">
      <c r="A2982" s="66">
        <v>44923.0</v>
      </c>
      <c r="B2982" s="69" t="s">
        <v>2277</v>
      </c>
    </row>
    <row r="2983">
      <c r="A2983" s="66">
        <v>44924.0</v>
      </c>
      <c r="B2983" s="69" t="s">
        <v>2278</v>
      </c>
    </row>
    <row r="2984">
      <c r="A2984" s="66">
        <v>44925.0</v>
      </c>
      <c r="B2984" s="69" t="s">
        <v>2279</v>
      </c>
    </row>
    <row r="2985">
      <c r="A2985" s="66">
        <v>44928.0</v>
      </c>
      <c r="B2985" s="69" t="s">
        <v>2280</v>
      </c>
    </row>
    <row r="2986">
      <c r="A2986" s="66">
        <v>44929.0</v>
      </c>
      <c r="B2986" s="69" t="s">
        <v>2281</v>
      </c>
    </row>
    <row r="2987">
      <c r="A2987" s="66">
        <v>44930.0</v>
      </c>
      <c r="B2987" s="69" t="s">
        <v>2282</v>
      </c>
    </row>
    <row r="2988">
      <c r="A2988" s="66">
        <v>44931.0</v>
      </c>
      <c r="B2988" s="69" t="s">
        <v>2283</v>
      </c>
    </row>
    <row r="2989">
      <c r="A2989" s="66">
        <v>44932.0</v>
      </c>
      <c r="B2989" s="69" t="s">
        <v>2284</v>
      </c>
    </row>
    <row r="2990">
      <c r="A2990" s="66">
        <v>44935.0</v>
      </c>
      <c r="B2990" s="69" t="s">
        <v>2285</v>
      </c>
    </row>
    <row r="2991">
      <c r="A2991" s="66">
        <v>44936.0</v>
      </c>
      <c r="B2991" s="69" t="s">
        <v>2286</v>
      </c>
    </row>
    <row r="2992">
      <c r="A2992" s="66">
        <v>44937.0</v>
      </c>
      <c r="B2992" s="69" t="s">
        <v>2287</v>
      </c>
    </row>
    <row r="2993">
      <c r="A2993" s="66">
        <v>44938.0</v>
      </c>
      <c r="B2993" s="69" t="s">
        <v>2288</v>
      </c>
    </row>
    <row r="2994">
      <c r="A2994" s="66">
        <v>44939.0</v>
      </c>
      <c r="B2994" s="69" t="s">
        <v>2289</v>
      </c>
    </row>
    <row r="2995">
      <c r="A2995" s="66">
        <v>44942.0</v>
      </c>
      <c r="B2995" s="69" t="s">
        <v>2290</v>
      </c>
    </row>
    <row r="2996">
      <c r="A2996" s="66">
        <v>44943.0</v>
      </c>
      <c r="B2996" s="69" t="s">
        <v>2291</v>
      </c>
    </row>
    <row r="2997">
      <c r="A2997" s="66">
        <v>44944.0</v>
      </c>
      <c r="B2997" s="69" t="s">
        <v>2292</v>
      </c>
    </row>
    <row r="2998">
      <c r="A2998" s="66">
        <v>44945.0</v>
      </c>
      <c r="B2998" s="69" t="s">
        <v>2293</v>
      </c>
    </row>
    <row r="2999">
      <c r="A2999" s="66">
        <v>44946.0</v>
      </c>
      <c r="B2999" s="69" t="s">
        <v>2294</v>
      </c>
    </row>
    <row r="3000">
      <c r="A3000" s="66">
        <v>44949.0</v>
      </c>
      <c r="B3000" s="69" t="s">
        <v>2295</v>
      </c>
    </row>
    <row r="3001">
      <c r="A3001" s="66">
        <v>44950.0</v>
      </c>
      <c r="B3001" s="69" t="s">
        <v>2296</v>
      </c>
    </row>
    <row r="3002">
      <c r="A3002" s="66">
        <v>44951.0</v>
      </c>
      <c r="B3002" s="69" t="s">
        <v>2297</v>
      </c>
    </row>
    <row r="3003">
      <c r="A3003" s="66">
        <v>44952.0</v>
      </c>
      <c r="B3003" s="69" t="s">
        <v>2298</v>
      </c>
    </row>
    <row r="3004">
      <c r="A3004" s="66">
        <v>44953.0</v>
      </c>
      <c r="B3004" s="69" t="s">
        <v>2299</v>
      </c>
    </row>
    <row r="3005">
      <c r="A3005" s="66">
        <v>44956.0</v>
      </c>
      <c r="B3005" s="69" t="s">
        <v>2300</v>
      </c>
    </row>
    <row r="3006">
      <c r="A3006" s="66">
        <v>44957.0</v>
      </c>
      <c r="B3006" s="69" t="s">
        <v>2301</v>
      </c>
    </row>
    <row r="3007">
      <c r="A3007" s="66">
        <v>44958.0</v>
      </c>
      <c r="B3007" s="69" t="s">
        <v>2302</v>
      </c>
    </row>
    <row r="3008">
      <c r="A3008" s="66">
        <v>44959.0</v>
      </c>
      <c r="B3008" s="69" t="s">
        <v>2303</v>
      </c>
    </row>
    <row r="3009">
      <c r="A3009" s="66">
        <v>44960.0</v>
      </c>
      <c r="B3009" s="69" t="s">
        <v>2304</v>
      </c>
    </row>
    <row r="3010">
      <c r="A3010" s="66">
        <v>44963.0</v>
      </c>
      <c r="B3010" s="69" t="s">
        <v>2305</v>
      </c>
    </row>
    <row r="3011">
      <c r="A3011" s="66">
        <v>44964.0</v>
      </c>
      <c r="B3011" s="69" t="s">
        <v>2306</v>
      </c>
    </row>
    <row r="3012">
      <c r="A3012" s="66">
        <v>44965.0</v>
      </c>
      <c r="B3012" s="69" t="s">
        <v>2307</v>
      </c>
    </row>
    <row r="3013">
      <c r="A3013" s="66">
        <v>44966.0</v>
      </c>
      <c r="B3013" s="69" t="s">
        <v>2308</v>
      </c>
    </row>
    <row r="3014">
      <c r="A3014" s="66">
        <v>44967.0</v>
      </c>
      <c r="B3014" s="69" t="s">
        <v>2309</v>
      </c>
    </row>
    <row r="3015">
      <c r="A3015" s="66">
        <v>44970.0</v>
      </c>
      <c r="B3015" s="69" t="s">
        <v>2310</v>
      </c>
    </row>
    <row r="3016">
      <c r="A3016" s="66">
        <v>44971.0</v>
      </c>
      <c r="B3016" s="69" t="s">
        <v>2311</v>
      </c>
    </row>
    <row r="3017">
      <c r="A3017" s="66">
        <v>44972.0</v>
      </c>
      <c r="B3017" s="69" t="s">
        <v>2312</v>
      </c>
    </row>
    <row r="3018">
      <c r="A3018" s="66">
        <v>44973.0</v>
      </c>
      <c r="B3018" s="69" t="s">
        <v>2313</v>
      </c>
    </row>
    <row r="3019">
      <c r="A3019" s="66">
        <v>44974.0</v>
      </c>
      <c r="B3019" s="69" t="s">
        <v>2314</v>
      </c>
    </row>
    <row r="3020">
      <c r="A3020" s="66">
        <v>44979.0</v>
      </c>
      <c r="B3020" s="69" t="s">
        <v>2315</v>
      </c>
    </row>
    <row r="3021">
      <c r="A3021" s="66">
        <v>44980.0</v>
      </c>
      <c r="B3021" s="69" t="s">
        <v>2316</v>
      </c>
    </row>
    <row r="3022">
      <c r="A3022" s="66">
        <v>44981.0</v>
      </c>
      <c r="B3022" s="69" t="s">
        <v>2317</v>
      </c>
    </row>
    <row r="3023">
      <c r="A3023" s="66">
        <v>44984.0</v>
      </c>
      <c r="B3023" s="69" t="s">
        <v>2318</v>
      </c>
    </row>
    <row r="3024">
      <c r="A3024" s="66">
        <v>44985.0</v>
      </c>
      <c r="B3024" s="69" t="s">
        <v>2319</v>
      </c>
    </row>
    <row r="3025">
      <c r="A3025" s="66">
        <v>44986.0</v>
      </c>
      <c r="B3025" s="69" t="s">
        <v>2320</v>
      </c>
    </row>
    <row r="3026">
      <c r="A3026" s="66">
        <v>44987.0</v>
      </c>
      <c r="B3026" s="69" t="s">
        <v>2321</v>
      </c>
    </row>
    <row r="3027">
      <c r="A3027" s="66">
        <v>44988.0</v>
      </c>
      <c r="B3027" s="69" t="s">
        <v>2322</v>
      </c>
    </row>
    <row r="3028">
      <c r="A3028" s="66">
        <v>44991.0</v>
      </c>
      <c r="B3028" s="69" t="s">
        <v>2323</v>
      </c>
    </row>
    <row r="3029">
      <c r="A3029" s="66">
        <v>44992.0</v>
      </c>
      <c r="B3029" s="69" t="s">
        <v>2324</v>
      </c>
    </row>
    <row r="3030">
      <c r="A3030" s="66">
        <v>44993.0</v>
      </c>
      <c r="B3030" s="69" t="s">
        <v>2325</v>
      </c>
    </row>
    <row r="3031">
      <c r="A3031" s="66">
        <v>44994.0</v>
      </c>
      <c r="B3031" s="69" t="s">
        <v>2326</v>
      </c>
    </row>
    <row r="3032">
      <c r="A3032" s="66">
        <v>44995.0</v>
      </c>
      <c r="B3032" s="69" t="s">
        <v>2327</v>
      </c>
    </row>
    <row r="3033">
      <c r="A3033" s="66">
        <v>44998.0</v>
      </c>
      <c r="B3033" s="69" t="s">
        <v>2328</v>
      </c>
    </row>
    <row r="3034">
      <c r="A3034" s="66">
        <v>44999.0</v>
      </c>
      <c r="B3034" s="69" t="s">
        <v>2329</v>
      </c>
    </row>
    <row r="3035">
      <c r="A3035" s="66">
        <v>45000.0</v>
      </c>
      <c r="B3035" s="69" t="s">
        <v>2330</v>
      </c>
    </row>
    <row r="3036">
      <c r="A3036" s="66">
        <v>45001.0</v>
      </c>
      <c r="B3036" s="69" t="s">
        <v>2331</v>
      </c>
    </row>
    <row r="3037">
      <c r="A3037" s="66">
        <v>45002.0</v>
      </c>
      <c r="B3037" s="69" t="s">
        <v>2332</v>
      </c>
    </row>
    <row r="3038">
      <c r="A3038" s="66">
        <v>45005.0</v>
      </c>
      <c r="B3038" s="69" t="s">
        <v>2333</v>
      </c>
    </row>
    <row r="3039">
      <c r="A3039" s="66">
        <v>45006.0</v>
      </c>
      <c r="B3039" s="69" t="s">
        <v>2334</v>
      </c>
    </row>
    <row r="3040">
      <c r="A3040" s="66">
        <v>45007.0</v>
      </c>
      <c r="B3040" s="69" t="s">
        <v>2335</v>
      </c>
    </row>
    <row r="3041">
      <c r="A3041" s="66">
        <v>45008.0</v>
      </c>
      <c r="B3041" s="69" t="s">
        <v>2336</v>
      </c>
    </row>
    <row r="3042">
      <c r="A3042" s="66">
        <v>45012.0</v>
      </c>
      <c r="B3042" s="69" t="s">
        <v>2337</v>
      </c>
    </row>
    <row r="3043">
      <c r="A3043" s="66">
        <v>45013.0</v>
      </c>
      <c r="B3043" s="69" t="s">
        <v>2338</v>
      </c>
    </row>
    <row r="3044">
      <c r="A3044" s="66">
        <v>45014.0</v>
      </c>
      <c r="B3044" s="69" t="s">
        <v>2339</v>
      </c>
    </row>
    <row r="3045">
      <c r="A3045" s="66">
        <v>45015.0</v>
      </c>
      <c r="B3045" s="69" t="s">
        <v>2340</v>
      </c>
    </row>
    <row r="3046">
      <c r="A3046" s="66">
        <v>45016.0</v>
      </c>
      <c r="B3046" s="69" t="s">
        <v>2341</v>
      </c>
    </row>
    <row r="3047">
      <c r="A3047" s="66">
        <v>45019.0</v>
      </c>
      <c r="B3047" s="69" t="s">
        <v>2342</v>
      </c>
    </row>
    <row r="3048">
      <c r="A3048" s="66">
        <v>45020.0</v>
      </c>
      <c r="B3048" s="69" t="s">
        <v>2343</v>
      </c>
    </row>
    <row r="3049">
      <c r="A3049" s="66">
        <v>45021.0</v>
      </c>
      <c r="B3049" s="69" t="s">
        <v>2344</v>
      </c>
    </row>
    <row r="3050">
      <c r="A3050" s="66">
        <v>45026.0</v>
      </c>
      <c r="B3050" s="69" t="s">
        <v>2345</v>
      </c>
    </row>
    <row r="3051">
      <c r="A3051" s="66">
        <v>45027.0</v>
      </c>
      <c r="B3051" s="69" t="s">
        <v>2346</v>
      </c>
    </row>
    <row r="3052">
      <c r="A3052" s="66">
        <v>45028.0</v>
      </c>
      <c r="B3052" s="69" t="s">
        <v>2347</v>
      </c>
    </row>
    <row r="3053">
      <c r="A3053" s="66">
        <v>45029.0</v>
      </c>
      <c r="B3053" s="69" t="s">
        <v>2348</v>
      </c>
    </row>
    <row r="3054">
      <c r="A3054" s="66">
        <v>45030.0</v>
      </c>
      <c r="B3054" s="69" t="s">
        <v>2349</v>
      </c>
    </row>
    <row r="3055">
      <c r="A3055" s="66">
        <v>45033.0</v>
      </c>
      <c r="B3055" s="69" t="s">
        <v>2350</v>
      </c>
    </row>
    <row r="3056">
      <c r="A3056" s="66">
        <v>45034.0</v>
      </c>
      <c r="B3056" s="69" t="s">
        <v>2351</v>
      </c>
    </row>
    <row r="3057">
      <c r="A3057" s="66">
        <v>45035.0</v>
      </c>
      <c r="B3057" s="69" t="s">
        <v>2352</v>
      </c>
    </row>
    <row r="3058">
      <c r="A3058" s="66">
        <v>45036.0</v>
      </c>
      <c r="B3058" s="69" t="s">
        <v>2353</v>
      </c>
    </row>
    <row r="3059">
      <c r="A3059" s="66">
        <v>45037.0</v>
      </c>
      <c r="B3059" s="69" t="s">
        <v>2354</v>
      </c>
    </row>
    <row r="3060">
      <c r="A3060" s="66">
        <v>45040.0</v>
      </c>
      <c r="B3060" s="69" t="s">
        <v>2355</v>
      </c>
    </row>
    <row r="3061">
      <c r="A3061" s="66">
        <v>45041.0</v>
      </c>
      <c r="B3061" s="69" t="s">
        <v>2356</v>
      </c>
    </row>
    <row r="3062">
      <c r="A3062" s="66">
        <v>45042.0</v>
      </c>
      <c r="B3062" s="69" t="s">
        <v>2357</v>
      </c>
    </row>
    <row r="3063">
      <c r="A3063" s="66">
        <v>45043.0</v>
      </c>
      <c r="B3063" s="69" t="s">
        <v>2358</v>
      </c>
    </row>
    <row r="3064">
      <c r="A3064" s="66">
        <v>45044.0</v>
      </c>
      <c r="B3064" s="69" t="s">
        <v>2359</v>
      </c>
    </row>
    <row r="3065">
      <c r="A3065" s="66">
        <v>45048.0</v>
      </c>
      <c r="B3065" s="69" t="s">
        <v>2360</v>
      </c>
    </row>
    <row r="3066">
      <c r="A3066" s="66">
        <v>45049.0</v>
      </c>
      <c r="B3066" s="69" t="s">
        <v>2361</v>
      </c>
    </row>
    <row r="3067">
      <c r="A3067" s="66">
        <v>45050.0</v>
      </c>
      <c r="B3067" s="69" t="s">
        <v>2362</v>
      </c>
    </row>
    <row r="3068">
      <c r="A3068" s="66">
        <v>45051.0</v>
      </c>
      <c r="B3068" s="69" t="s">
        <v>2363</v>
      </c>
    </row>
    <row r="3069">
      <c r="A3069" s="66">
        <v>45054.0</v>
      </c>
      <c r="B3069" s="69" t="s">
        <v>2364</v>
      </c>
    </row>
    <row r="3070">
      <c r="A3070" s="66">
        <v>45055.0</v>
      </c>
      <c r="B3070" s="69" t="s">
        <v>2365</v>
      </c>
    </row>
    <row r="3071">
      <c r="A3071" s="66">
        <v>45056.0</v>
      </c>
      <c r="B3071" s="69" t="s">
        <v>2366</v>
      </c>
    </row>
    <row r="3072">
      <c r="A3072" s="66">
        <v>45057.0</v>
      </c>
      <c r="B3072" s="69" t="s">
        <v>2367</v>
      </c>
    </row>
    <row r="3073">
      <c r="A3073" s="66">
        <v>45058.0</v>
      </c>
      <c r="B3073" s="69" t="s">
        <v>2368</v>
      </c>
    </row>
    <row r="3074">
      <c r="A3074" s="66">
        <v>45061.0</v>
      </c>
      <c r="B3074" s="69" t="s">
        <v>2369</v>
      </c>
    </row>
    <row r="3075">
      <c r="A3075" s="66">
        <v>45062.0</v>
      </c>
      <c r="B3075" s="69" t="s">
        <v>2370</v>
      </c>
    </row>
    <row r="3076">
      <c r="A3076" s="66">
        <v>45063.0</v>
      </c>
      <c r="B3076" s="69" t="s">
        <v>2371</v>
      </c>
    </row>
    <row r="3077">
      <c r="A3077" s="66">
        <v>45064.0</v>
      </c>
      <c r="B3077" s="69" t="s">
        <v>2372</v>
      </c>
    </row>
    <row r="3078">
      <c r="A3078" s="66">
        <v>45065.0</v>
      </c>
      <c r="B3078" s="69" t="s">
        <v>2373</v>
      </c>
    </row>
    <row r="3079">
      <c r="A3079" s="66">
        <v>45068.0</v>
      </c>
      <c r="B3079" s="69" t="s">
        <v>2374</v>
      </c>
    </row>
    <row r="3080">
      <c r="A3080" s="66">
        <v>45069.0</v>
      </c>
      <c r="B3080" s="69" t="s">
        <v>2375</v>
      </c>
    </row>
    <row r="3081">
      <c r="A3081" s="66">
        <v>45070.0</v>
      </c>
      <c r="B3081" s="69" t="s">
        <v>2376</v>
      </c>
    </row>
    <row r="3082">
      <c r="A3082" s="66">
        <v>45075.0</v>
      </c>
      <c r="B3082" s="69" t="s">
        <v>2377</v>
      </c>
    </row>
    <row r="3083">
      <c r="A3083" s="66">
        <v>45076.0</v>
      </c>
      <c r="B3083" s="69" t="s">
        <v>2378</v>
      </c>
    </row>
    <row r="3084">
      <c r="A3084" s="66">
        <v>45077.0</v>
      </c>
      <c r="B3084" s="69" t="s">
        <v>2379</v>
      </c>
    </row>
    <row r="3085">
      <c r="A3085" s="66">
        <v>45078.0</v>
      </c>
      <c r="B3085" s="69" t="s">
        <v>2380</v>
      </c>
    </row>
    <row r="3086">
      <c r="A3086" s="66">
        <v>45079.0</v>
      </c>
      <c r="B3086" s="69" t="s">
        <v>2381</v>
      </c>
    </row>
    <row r="3087">
      <c r="A3087" s="66">
        <v>45082.0</v>
      </c>
      <c r="B3087" s="69" t="s">
        <v>2382</v>
      </c>
    </row>
    <row r="3088">
      <c r="A3088" s="66">
        <v>45083.0</v>
      </c>
      <c r="B3088" s="69" t="s">
        <v>2383</v>
      </c>
    </row>
    <row r="3089">
      <c r="A3089" s="66">
        <v>45084.0</v>
      </c>
      <c r="B3089" s="69" t="s">
        <v>2384</v>
      </c>
    </row>
    <row r="3090">
      <c r="A3090" s="66">
        <v>45085.0</v>
      </c>
      <c r="B3090" s="69" t="s">
        <v>2385</v>
      </c>
    </row>
    <row r="3091">
      <c r="A3091" s="66">
        <v>45086.0</v>
      </c>
      <c r="B3091" s="69" t="s">
        <v>2386</v>
      </c>
    </row>
    <row r="3092">
      <c r="A3092" s="66">
        <v>45089.0</v>
      </c>
      <c r="B3092" s="69" t="s">
        <v>2387</v>
      </c>
    </row>
    <row r="3093">
      <c r="A3093" s="66">
        <v>45090.0</v>
      </c>
      <c r="B3093" s="69" t="s">
        <v>2388</v>
      </c>
    </row>
    <row r="3094">
      <c r="A3094" s="66">
        <v>45091.0</v>
      </c>
      <c r="B3094" s="69" t="s">
        <v>2389</v>
      </c>
    </row>
    <row r="3095">
      <c r="A3095" s="66">
        <v>45092.0</v>
      </c>
      <c r="B3095" s="69" t="s">
        <v>2390</v>
      </c>
    </row>
    <row r="3096">
      <c r="A3096" s="66">
        <v>45093.0</v>
      </c>
      <c r="B3096" s="69" t="s">
        <v>2391</v>
      </c>
    </row>
    <row r="3097">
      <c r="A3097" s="66">
        <v>45098.0</v>
      </c>
      <c r="B3097" s="69" t="s">
        <v>2392</v>
      </c>
    </row>
    <row r="3098">
      <c r="A3098" s="66">
        <v>45099.0</v>
      </c>
      <c r="B3098" s="69" t="s">
        <v>2393</v>
      </c>
    </row>
    <row r="3099">
      <c r="A3099" s="66">
        <v>45100.0</v>
      </c>
      <c r="B3099" s="69" t="s">
        <v>2394</v>
      </c>
    </row>
    <row r="3100">
      <c r="A3100" s="66">
        <v>45103.0</v>
      </c>
      <c r="B3100" s="69" t="s">
        <v>2395</v>
      </c>
    </row>
    <row r="3101">
      <c r="A3101" s="66">
        <v>45104.0</v>
      </c>
      <c r="B3101" s="69" t="s">
        <v>2396</v>
      </c>
    </row>
    <row r="3102">
      <c r="A3102" s="66">
        <v>45105.0</v>
      </c>
      <c r="B3102" s="69" t="s">
        <v>2397</v>
      </c>
    </row>
    <row r="3103">
      <c r="A3103" s="66">
        <v>45106.0</v>
      </c>
      <c r="B3103" s="69" t="s">
        <v>2398</v>
      </c>
    </row>
    <row r="3104">
      <c r="A3104" s="66">
        <v>45107.0</v>
      </c>
      <c r="B3104" s="69" t="s">
        <v>2399</v>
      </c>
    </row>
    <row r="3105">
      <c r="A3105" s="66">
        <v>45110.0</v>
      </c>
      <c r="B3105" s="69" t="s">
        <v>2400</v>
      </c>
    </row>
    <row r="3106">
      <c r="A3106" s="66">
        <v>45111.0</v>
      </c>
      <c r="B3106" s="69" t="s">
        <v>2401</v>
      </c>
    </row>
    <row r="3107">
      <c r="A3107" s="66">
        <v>45112.0</v>
      </c>
      <c r="B3107" s="69" t="s">
        <v>2402</v>
      </c>
    </row>
    <row r="3108">
      <c r="A3108" s="66">
        <v>45113.0</v>
      </c>
      <c r="B3108" s="69" t="s">
        <v>2403</v>
      </c>
    </row>
    <row r="3109">
      <c r="A3109" s="66">
        <v>45114.0</v>
      </c>
      <c r="B3109" s="69" t="s">
        <v>2404</v>
      </c>
    </row>
    <row r="3110">
      <c r="A3110" s="66">
        <v>45117.0</v>
      </c>
      <c r="B3110" s="69" t="s">
        <v>2405</v>
      </c>
    </row>
    <row r="3111">
      <c r="A3111" s="66">
        <v>45118.0</v>
      </c>
      <c r="B3111" s="69" t="s">
        <v>2406</v>
      </c>
    </row>
    <row r="3112">
      <c r="A3112" s="66">
        <v>45119.0</v>
      </c>
      <c r="B3112" s="69" t="s">
        <v>2407</v>
      </c>
    </row>
    <row r="3113">
      <c r="A3113" s="66">
        <v>45120.0</v>
      </c>
      <c r="B3113" s="69" t="s">
        <v>2408</v>
      </c>
    </row>
    <row r="3114">
      <c r="A3114" s="66">
        <v>45121.0</v>
      </c>
      <c r="B3114" s="69" t="s">
        <v>2409</v>
      </c>
    </row>
    <row r="3115">
      <c r="A3115" s="66">
        <v>45124.0</v>
      </c>
      <c r="B3115" s="69" t="s">
        <v>2410</v>
      </c>
    </row>
    <row r="3116">
      <c r="A3116" s="66">
        <v>45125.0</v>
      </c>
      <c r="B3116" s="69" t="s">
        <v>2411</v>
      </c>
    </row>
    <row r="3117">
      <c r="A3117" s="66">
        <v>45126.0</v>
      </c>
      <c r="B3117" s="69" t="s">
        <v>2412</v>
      </c>
    </row>
    <row r="3118">
      <c r="A3118" s="66">
        <v>45127.0</v>
      </c>
      <c r="B3118" s="69" t="s">
        <v>2413</v>
      </c>
    </row>
    <row r="3119">
      <c r="A3119" s="66">
        <v>45128.0</v>
      </c>
      <c r="B3119" s="69" t="s">
        <v>2414</v>
      </c>
    </row>
    <row r="3120">
      <c r="A3120" s="66">
        <v>45131.0</v>
      </c>
      <c r="B3120" s="69" t="s">
        <v>2415</v>
      </c>
    </row>
    <row r="3121">
      <c r="A3121" s="66">
        <v>45132.0</v>
      </c>
      <c r="B3121" s="69" t="s">
        <v>2416</v>
      </c>
    </row>
    <row r="3122">
      <c r="A3122" s="66">
        <v>45133.0</v>
      </c>
      <c r="B3122" s="69" t="s">
        <v>2417</v>
      </c>
    </row>
    <row r="3123">
      <c r="A3123" s="66">
        <v>45134.0</v>
      </c>
      <c r="B3123" s="69" t="s">
        <v>2418</v>
      </c>
    </row>
    <row r="3124">
      <c r="A3124" s="66">
        <v>45135.0</v>
      </c>
      <c r="B3124" s="69" t="s">
        <v>2419</v>
      </c>
    </row>
    <row r="3125">
      <c r="A3125" s="66">
        <v>45138.0</v>
      </c>
      <c r="B3125" s="69" t="s">
        <v>2420</v>
      </c>
    </row>
    <row r="3126">
      <c r="A3126" s="66">
        <v>45139.0</v>
      </c>
      <c r="B3126" s="69" t="s">
        <v>2421</v>
      </c>
    </row>
    <row r="3127">
      <c r="A3127" s="66">
        <v>45140.0</v>
      </c>
      <c r="B3127" s="69" t="s">
        <v>2422</v>
      </c>
    </row>
    <row r="3128">
      <c r="A3128" s="66">
        <v>45141.0</v>
      </c>
      <c r="B3128" s="69" t="s">
        <v>2423</v>
      </c>
    </row>
    <row r="3129">
      <c r="A3129" s="66">
        <v>45142.0</v>
      </c>
      <c r="B3129" s="69" t="s">
        <v>2424</v>
      </c>
    </row>
    <row r="3130">
      <c r="A3130" s="66">
        <v>45145.0</v>
      </c>
      <c r="B3130" s="69" t="s">
        <v>2425</v>
      </c>
    </row>
    <row r="3131">
      <c r="A3131" s="66">
        <v>45146.0</v>
      </c>
      <c r="B3131" s="69" t="s">
        <v>2426</v>
      </c>
    </row>
    <row r="3132">
      <c r="A3132" s="66">
        <v>45147.0</v>
      </c>
      <c r="B3132" s="69" t="s">
        <v>2427</v>
      </c>
    </row>
    <row r="3133">
      <c r="A3133" s="66">
        <v>45148.0</v>
      </c>
      <c r="B3133" s="69" t="s">
        <v>2428</v>
      </c>
    </row>
    <row r="3134">
      <c r="A3134" s="66">
        <v>45149.0</v>
      </c>
      <c r="B3134" s="69" t="s">
        <v>2429</v>
      </c>
    </row>
    <row r="3135">
      <c r="A3135" s="66">
        <v>45152.0</v>
      </c>
      <c r="B3135" s="69" t="s">
        <v>2430</v>
      </c>
    </row>
    <row r="3136">
      <c r="A3136" s="66">
        <v>45153.0</v>
      </c>
      <c r="B3136" s="69" t="s">
        <v>2431</v>
      </c>
    </row>
    <row r="3137">
      <c r="A3137" s="66">
        <v>45154.0</v>
      </c>
      <c r="B3137" s="69" t="s">
        <v>2432</v>
      </c>
    </row>
    <row r="3138">
      <c r="A3138" s="66">
        <v>45155.0</v>
      </c>
      <c r="B3138" s="69" t="s">
        <v>2433</v>
      </c>
    </row>
    <row r="3139">
      <c r="A3139" s="66">
        <v>45156.0</v>
      </c>
      <c r="B3139" s="69" t="s">
        <v>2434</v>
      </c>
    </row>
    <row r="3140">
      <c r="A3140" s="66">
        <v>45160.0</v>
      </c>
      <c r="B3140" s="69" t="s">
        <v>2435</v>
      </c>
    </row>
    <row r="3141">
      <c r="A3141" s="66">
        <v>45161.0</v>
      </c>
      <c r="B3141" s="69" t="s">
        <v>2436</v>
      </c>
    </row>
    <row r="3142">
      <c r="A3142" s="66">
        <v>45162.0</v>
      </c>
      <c r="B3142" s="69" t="s">
        <v>2437</v>
      </c>
    </row>
    <row r="3143">
      <c r="A3143" s="66">
        <v>45163.0</v>
      </c>
      <c r="B3143" s="69" t="s">
        <v>2438</v>
      </c>
    </row>
    <row r="3144">
      <c r="A3144" s="66">
        <v>45166.0</v>
      </c>
      <c r="B3144" s="69" t="s">
        <v>2439</v>
      </c>
    </row>
    <row r="3145">
      <c r="A3145" s="66">
        <v>45167.0</v>
      </c>
      <c r="B3145" s="69" t="s">
        <v>2440</v>
      </c>
    </row>
    <row r="3146">
      <c r="A3146" s="66">
        <v>45168.0</v>
      </c>
      <c r="B3146" s="69" t="s">
        <v>2441</v>
      </c>
    </row>
    <row r="3147">
      <c r="A3147" s="66">
        <v>45169.0</v>
      </c>
      <c r="B3147" s="69" t="s">
        <v>2442</v>
      </c>
    </row>
    <row r="3148">
      <c r="A3148" s="66">
        <v>45170.0</v>
      </c>
      <c r="B3148" s="69" t="s">
        <v>2443</v>
      </c>
    </row>
    <row r="3149">
      <c r="A3149" s="66">
        <v>45173.0</v>
      </c>
      <c r="B3149" s="69" t="s">
        <v>2444</v>
      </c>
    </row>
    <row r="3150">
      <c r="A3150" s="66">
        <v>45174.0</v>
      </c>
      <c r="B3150" s="69" t="s">
        <v>2445</v>
      </c>
    </row>
    <row r="3151">
      <c r="A3151" s="66">
        <v>45175.0</v>
      </c>
      <c r="B3151" s="69" t="s">
        <v>2446</v>
      </c>
    </row>
    <row r="3152">
      <c r="A3152" s="66">
        <v>45176.0</v>
      </c>
      <c r="B3152" s="69" t="s">
        <v>2447</v>
      </c>
    </row>
    <row r="3153">
      <c r="A3153" s="66">
        <v>45177.0</v>
      </c>
      <c r="B3153" s="69" t="s">
        <v>2448</v>
      </c>
    </row>
    <row r="3154">
      <c r="A3154" s="66">
        <v>45180.0</v>
      </c>
      <c r="B3154" s="69" t="s">
        <v>2449</v>
      </c>
    </row>
    <row r="3155">
      <c r="A3155" s="66">
        <v>45181.0</v>
      </c>
      <c r="B3155" s="69" t="s">
        <v>2450</v>
      </c>
    </row>
    <row r="3156">
      <c r="A3156" s="66">
        <v>45182.0</v>
      </c>
      <c r="B3156" s="69" t="s">
        <v>2451</v>
      </c>
    </row>
    <row r="3157">
      <c r="A3157" s="66">
        <v>45183.0</v>
      </c>
      <c r="B3157" s="69" t="s">
        <v>2452</v>
      </c>
    </row>
    <row r="3158">
      <c r="A3158" s="66">
        <v>45184.0</v>
      </c>
      <c r="B3158" s="69" t="s">
        <v>2453</v>
      </c>
    </row>
    <row r="3159">
      <c r="A3159" s="66">
        <v>45187.0</v>
      </c>
      <c r="B3159" s="69" t="s">
        <v>2454</v>
      </c>
    </row>
    <row r="3160">
      <c r="A3160" s="66">
        <v>45188.0</v>
      </c>
      <c r="B3160" s="69" t="s">
        <v>2455</v>
      </c>
    </row>
    <row r="3161">
      <c r="A3161" s="66">
        <v>45189.0</v>
      </c>
      <c r="B3161" s="69" t="s">
        <v>2456</v>
      </c>
    </row>
    <row r="3162">
      <c r="A3162" s="66">
        <v>45190.0</v>
      </c>
      <c r="B3162" s="69" t="s">
        <v>2457</v>
      </c>
    </row>
    <row r="3163">
      <c r="A3163" s="66">
        <v>45191.0</v>
      </c>
      <c r="B3163" s="69" t="s">
        <v>2458</v>
      </c>
    </row>
    <row r="3164">
      <c r="A3164" s="66">
        <v>45194.0</v>
      </c>
      <c r="B3164" s="69" t="s">
        <v>2459</v>
      </c>
    </row>
    <row r="3165">
      <c r="A3165" s="66">
        <v>45195.0</v>
      </c>
      <c r="B3165" s="69" t="s">
        <v>2460</v>
      </c>
    </row>
    <row r="3166">
      <c r="A3166" s="66">
        <v>45196.0</v>
      </c>
      <c r="B3166" s="69" t="s">
        <v>2461</v>
      </c>
    </row>
    <row r="3167">
      <c r="A3167" s="66">
        <v>45197.0</v>
      </c>
      <c r="B3167" s="69" t="s">
        <v>2462</v>
      </c>
    </row>
    <row r="3168">
      <c r="A3168" s="66">
        <v>45198.0</v>
      </c>
      <c r="B3168" s="69" t="s">
        <v>2463</v>
      </c>
    </row>
    <row r="3169">
      <c r="A3169" s="66">
        <v>45201.0</v>
      </c>
      <c r="B3169" s="69" t="s">
        <v>2464</v>
      </c>
    </row>
    <row r="3170">
      <c r="A3170" s="66">
        <v>45202.0</v>
      </c>
      <c r="B3170" s="69" t="s">
        <v>2465</v>
      </c>
    </row>
    <row r="3171">
      <c r="A3171" s="66">
        <v>45203.0</v>
      </c>
      <c r="B3171" s="69" t="s">
        <v>2466</v>
      </c>
    </row>
    <row r="3172">
      <c r="A3172" s="66">
        <v>45204.0</v>
      </c>
      <c r="B3172" s="69" t="s">
        <v>2467</v>
      </c>
    </row>
    <row r="3173">
      <c r="A3173" s="66">
        <v>45205.0</v>
      </c>
      <c r="B3173" s="69" t="s">
        <v>2468</v>
      </c>
    </row>
    <row r="3174">
      <c r="A3174" s="66">
        <v>45208.0</v>
      </c>
      <c r="B3174" s="69" t="s">
        <v>2469</v>
      </c>
    </row>
    <row r="3175">
      <c r="A3175" s="66">
        <v>45209.0</v>
      </c>
      <c r="B3175" s="69" t="s">
        <v>2470</v>
      </c>
    </row>
    <row r="3176">
      <c r="A3176" s="66">
        <v>45210.0</v>
      </c>
      <c r="B3176" s="69" t="s">
        <v>2471</v>
      </c>
    </row>
    <row r="3177">
      <c r="A3177" s="66">
        <v>45211.0</v>
      </c>
      <c r="B3177" s="69" t="s">
        <v>2472</v>
      </c>
    </row>
    <row r="3178">
      <c r="A3178" s="66">
        <v>45216.0</v>
      </c>
      <c r="B3178" s="69" t="s">
        <v>2473</v>
      </c>
    </row>
    <row r="3179">
      <c r="A3179" s="66">
        <v>45217.0</v>
      </c>
      <c r="B3179" s="69" t="s">
        <v>2474</v>
      </c>
    </row>
    <row r="3180">
      <c r="A3180" s="66">
        <v>45218.0</v>
      </c>
      <c r="B3180" s="69" t="s">
        <v>2475</v>
      </c>
    </row>
    <row r="3181">
      <c r="A3181" s="66">
        <v>45219.0</v>
      </c>
      <c r="B3181" s="69" t="s">
        <v>2476</v>
      </c>
    </row>
    <row r="3182">
      <c r="A3182" s="66">
        <v>45222.0</v>
      </c>
      <c r="B3182" s="69" t="s">
        <v>2477</v>
      </c>
    </row>
    <row r="3183">
      <c r="A3183" s="70">
        <v>45223.0</v>
      </c>
      <c r="B3183" s="71" t="s">
        <v>2478</v>
      </c>
    </row>
    <row r="3184">
      <c r="A3184" s="70">
        <v>45224.0</v>
      </c>
      <c r="B3184" s="71" t="s">
        <v>2479</v>
      </c>
    </row>
    <row r="3185">
      <c r="A3185" s="70">
        <v>45225.0</v>
      </c>
      <c r="B3185" s="71" t="s">
        <v>2480</v>
      </c>
    </row>
    <row r="3186">
      <c r="A3186" s="70">
        <v>45226.0</v>
      </c>
      <c r="B3186" s="71" t="s">
        <v>2481</v>
      </c>
    </row>
    <row r="3187">
      <c r="A3187" s="70">
        <v>45229.0</v>
      </c>
      <c r="B3187" s="71" t="s">
        <v>2482</v>
      </c>
    </row>
    <row r="3188">
      <c r="A3188" s="70">
        <v>45230.0</v>
      </c>
      <c r="B3188" s="71" t="s">
        <v>2483</v>
      </c>
    </row>
    <row r="3189">
      <c r="A3189" s="70">
        <v>45231.0</v>
      </c>
      <c r="B3189" s="71" t="s">
        <v>2484</v>
      </c>
    </row>
    <row r="3190">
      <c r="A3190" s="70">
        <v>45232.0</v>
      </c>
      <c r="B3190" s="71" t="s">
        <v>2485</v>
      </c>
    </row>
    <row r="3191">
      <c r="A3191" s="70">
        <v>45233.0</v>
      </c>
      <c r="B3191" s="71" t="s">
        <v>2486</v>
      </c>
    </row>
    <row r="3192">
      <c r="A3192" s="70">
        <v>45237.0</v>
      </c>
      <c r="B3192" s="71" t="s">
        <v>2487</v>
      </c>
    </row>
    <row r="3193">
      <c r="A3193" s="70">
        <v>45238.0</v>
      </c>
      <c r="B3193" s="71" t="s">
        <v>2488</v>
      </c>
    </row>
    <row r="3194">
      <c r="A3194" s="70">
        <v>45239.0</v>
      </c>
      <c r="B3194" s="71" t="s">
        <v>2489</v>
      </c>
    </row>
    <row r="3195">
      <c r="A3195" s="70">
        <v>45240.0</v>
      </c>
      <c r="B3195" s="71" t="s">
        <v>2490</v>
      </c>
    </row>
    <row r="3196">
      <c r="A3196" s="70">
        <v>45243.0</v>
      </c>
      <c r="B3196" s="71" t="s">
        <v>2491</v>
      </c>
    </row>
    <row r="3197">
      <c r="A3197" s="70">
        <v>45244.0</v>
      </c>
      <c r="B3197" s="71" t="s">
        <v>2492</v>
      </c>
    </row>
    <row r="3198">
      <c r="A3198" s="70">
        <v>45245.0</v>
      </c>
      <c r="B3198" s="71" t="s">
        <v>2493</v>
      </c>
    </row>
    <row r="3199">
      <c r="A3199" s="70">
        <v>45246.0</v>
      </c>
      <c r="B3199" s="71" t="s">
        <v>2494</v>
      </c>
    </row>
    <row r="3200">
      <c r="A3200" s="70">
        <v>45247.0</v>
      </c>
      <c r="B3200" s="71" t="s">
        <v>2495</v>
      </c>
    </row>
    <row r="3201">
      <c r="A3201" s="70">
        <v>45251.0</v>
      </c>
      <c r="B3201" s="71" t="s">
        <v>2496</v>
      </c>
    </row>
    <row r="3202">
      <c r="A3202" s="70">
        <v>45252.0</v>
      </c>
      <c r="B3202" s="71" t="s">
        <v>2497</v>
      </c>
    </row>
    <row r="3203">
      <c r="A3203" s="70">
        <v>45253.0</v>
      </c>
      <c r="B3203" s="71" t="s">
        <v>2498</v>
      </c>
    </row>
    <row r="3204">
      <c r="A3204" s="70">
        <v>45254.0</v>
      </c>
      <c r="B3204" s="71" t="s">
        <v>2499</v>
      </c>
    </row>
    <row r="3205">
      <c r="A3205" s="70">
        <v>45257.0</v>
      </c>
      <c r="B3205" s="71" t="s">
        <v>2500</v>
      </c>
    </row>
    <row r="3206">
      <c r="A3206" s="70">
        <v>45258.0</v>
      </c>
      <c r="B3206" s="71" t="s">
        <v>2501</v>
      </c>
    </row>
    <row r="3207">
      <c r="A3207" s="70">
        <v>45259.0</v>
      </c>
      <c r="B3207" s="71" t="s">
        <v>2502</v>
      </c>
    </row>
    <row r="3208">
      <c r="A3208" s="70">
        <v>45260.0</v>
      </c>
      <c r="B3208" s="71" t="s">
        <v>2503</v>
      </c>
    </row>
    <row r="3209">
      <c r="A3209" s="70">
        <v>45261.0</v>
      </c>
      <c r="B3209" s="71" t="s">
        <v>2504</v>
      </c>
    </row>
    <row r="3210">
      <c r="A3210" s="66">
        <v>45551.0</v>
      </c>
      <c r="B3210" s="72">
        <v>1238.0085907113985</v>
      </c>
    </row>
    <row r="3211">
      <c r="A3211" s="70"/>
      <c r="B3211" s="71"/>
    </row>
    <row r="3212">
      <c r="A3212" s="70"/>
      <c r="B3212" s="71"/>
    </row>
    <row r="3213">
      <c r="A3213" s="70"/>
      <c r="B3213" s="71"/>
    </row>
    <row r="3214">
      <c r="A3214" s="70"/>
      <c r="B3214" s="71"/>
    </row>
    <row r="3215">
      <c r="A3215" s="70"/>
      <c r="B3215" s="71"/>
    </row>
    <row r="3216">
      <c r="A3216" s="70"/>
      <c r="B3216" s="71"/>
    </row>
    <row r="3217">
      <c r="A3217" s="70"/>
      <c r="B3217" s="71"/>
    </row>
    <row r="3218">
      <c r="A3218" s="70"/>
      <c r="B3218" s="71"/>
    </row>
    <row r="3219">
      <c r="A3219" s="70"/>
      <c r="B3219" s="71"/>
    </row>
    <row r="3220">
      <c r="A3220" s="70"/>
      <c r="B3220" s="71"/>
    </row>
    <row r="3221">
      <c r="A3221" s="70"/>
      <c r="B3221" s="71"/>
    </row>
    <row r="3222">
      <c r="A3222" s="70"/>
      <c r="B3222" s="71"/>
    </row>
    <row r="3223">
      <c r="A3223" s="70"/>
      <c r="B3223" s="71"/>
    </row>
    <row r="3224">
      <c r="A3224" s="70"/>
      <c r="B3224" s="71"/>
    </row>
    <row r="3225">
      <c r="A3225" s="70"/>
      <c r="B3225" s="71"/>
    </row>
    <row r="3226">
      <c r="A3226" s="70"/>
      <c r="B3226" s="71"/>
    </row>
    <row r="3227">
      <c r="A3227" s="70"/>
      <c r="B3227" s="71"/>
    </row>
    <row r="3228">
      <c r="A3228" s="70"/>
      <c r="B3228" s="71"/>
    </row>
    <row r="3229">
      <c r="A3229" s="70"/>
      <c r="B3229" s="71"/>
    </row>
    <row r="3230">
      <c r="A3230" s="70"/>
      <c r="B3230" s="71"/>
    </row>
    <row r="3231">
      <c r="A3231" s="70"/>
      <c r="B3231" s="71"/>
    </row>
    <row r="3232">
      <c r="A3232" s="70"/>
      <c r="B3232" s="71"/>
    </row>
    <row r="3233">
      <c r="A3233" s="70"/>
      <c r="B3233" s="71"/>
    </row>
    <row r="3234">
      <c r="A3234" s="70"/>
      <c r="B3234" s="71"/>
    </row>
    <row r="3235">
      <c r="A3235" s="70"/>
      <c r="B3235" s="71"/>
    </row>
    <row r="3236">
      <c r="A3236" s="70"/>
      <c r="B3236" s="71"/>
    </row>
    <row r="3237">
      <c r="A3237" s="70"/>
      <c r="B3237" s="71"/>
    </row>
    <row r="3238">
      <c r="A3238" s="70"/>
      <c r="B3238" s="71"/>
    </row>
    <row r="3239">
      <c r="A3239" s="70"/>
      <c r="B3239" s="71"/>
    </row>
    <row r="3240">
      <c r="A3240" s="70"/>
      <c r="B3240" s="71"/>
    </row>
    <row r="3241">
      <c r="A3241" s="70"/>
      <c r="B3241" s="71"/>
    </row>
    <row r="3242">
      <c r="A3242" s="70"/>
      <c r="B3242" s="71"/>
    </row>
    <row r="3243">
      <c r="A3243" s="70"/>
      <c r="B3243" s="71"/>
    </row>
    <row r="3244">
      <c r="A3244" s="70"/>
      <c r="B3244" s="71"/>
    </row>
    <row r="3245">
      <c r="A3245" s="70"/>
      <c r="B3245" s="71"/>
    </row>
    <row r="3246">
      <c r="A3246" s="70"/>
      <c r="B3246" s="71"/>
    </row>
    <row r="3247">
      <c r="A3247" s="70"/>
      <c r="B3247" s="71"/>
    </row>
    <row r="3248">
      <c r="A3248" s="70"/>
      <c r="B3248" s="71"/>
    </row>
    <row r="3249">
      <c r="A3249" s="70"/>
      <c r="B3249" s="71"/>
    </row>
    <row r="3250">
      <c r="A3250" s="70"/>
      <c r="B3250" s="71"/>
    </row>
    <row r="3251">
      <c r="A3251" s="70"/>
      <c r="B3251" s="71"/>
    </row>
    <row r="3252">
      <c r="A3252" s="70"/>
      <c r="B3252" s="71"/>
    </row>
    <row r="3253">
      <c r="A3253" s="70"/>
      <c r="B3253" s="71"/>
    </row>
    <row r="3254">
      <c r="A3254" s="70"/>
      <c r="B3254" s="71"/>
    </row>
    <row r="3255">
      <c r="A3255" s="70"/>
      <c r="B3255" s="71"/>
    </row>
    <row r="3256">
      <c r="A3256" s="70"/>
      <c r="B3256" s="71"/>
    </row>
    <row r="3257">
      <c r="A3257" s="70"/>
      <c r="B3257" s="71"/>
    </row>
    <row r="3258">
      <c r="A3258" s="70"/>
      <c r="B3258" s="71"/>
    </row>
    <row r="3259">
      <c r="A3259" s="70"/>
      <c r="B3259" s="71"/>
    </row>
    <row r="3260">
      <c r="A3260" s="70"/>
      <c r="B3260" s="71"/>
    </row>
    <row r="3261">
      <c r="A3261" s="70"/>
      <c r="B3261" s="71"/>
    </row>
    <row r="3262">
      <c r="A3262" s="70"/>
      <c r="B3262" s="71"/>
    </row>
    <row r="3263">
      <c r="A3263" s="70"/>
      <c r="B3263" s="71"/>
    </row>
    <row r="3264">
      <c r="A3264" s="70"/>
      <c r="B3264" s="71"/>
    </row>
    <row r="3265">
      <c r="A3265" s="70"/>
      <c r="B3265" s="71"/>
    </row>
    <row r="3266">
      <c r="A3266" s="70"/>
      <c r="B3266" s="71"/>
    </row>
    <row r="3267">
      <c r="A3267" s="70"/>
      <c r="B3267" s="71"/>
    </row>
    <row r="3268">
      <c r="A3268" s="70"/>
      <c r="B3268" s="71"/>
    </row>
    <row r="3269">
      <c r="A3269" s="70"/>
      <c r="B3269" s="71"/>
    </row>
    <row r="3270">
      <c r="A3270" s="70"/>
      <c r="B3270" s="71"/>
    </row>
    <row r="3271">
      <c r="A3271" s="70"/>
      <c r="B3271" s="71"/>
    </row>
    <row r="3272">
      <c r="A3272" s="70"/>
      <c r="B3272" s="71"/>
    </row>
    <row r="3273">
      <c r="A3273" s="70"/>
      <c r="B3273" s="71"/>
    </row>
    <row r="3274">
      <c r="A3274" s="70"/>
      <c r="B3274" s="71"/>
    </row>
    <row r="3275">
      <c r="A3275" s="70"/>
      <c r="B3275" s="71"/>
    </row>
    <row r="3276">
      <c r="A3276" s="70"/>
      <c r="B3276" s="71"/>
    </row>
    <row r="3277">
      <c r="A3277" s="70"/>
      <c r="B3277" s="71"/>
    </row>
    <row r="3278">
      <c r="A3278" s="70"/>
      <c r="B3278" s="71"/>
    </row>
    <row r="3279">
      <c r="A3279" s="70"/>
      <c r="B3279" s="71"/>
    </row>
    <row r="3280">
      <c r="A3280" s="70"/>
      <c r="B3280" s="71"/>
    </row>
    <row r="3281">
      <c r="A3281" s="70"/>
      <c r="B3281" s="71"/>
    </row>
    <row r="3282">
      <c r="A3282" s="70"/>
      <c r="B3282" s="71"/>
    </row>
    <row r="3283">
      <c r="A3283" s="70"/>
      <c r="B3283" s="71"/>
    </row>
    <row r="3284">
      <c r="A3284" s="70"/>
      <c r="B3284" s="71"/>
    </row>
    <row r="3285">
      <c r="A3285" s="70"/>
      <c r="B3285" s="71"/>
    </row>
    <row r="3286">
      <c r="A3286" s="70"/>
      <c r="B3286" s="71"/>
    </row>
    <row r="3287">
      <c r="A3287" s="70"/>
      <c r="B3287" s="71"/>
    </row>
    <row r="3288">
      <c r="A3288" s="70"/>
      <c r="B3288" s="71"/>
    </row>
    <row r="3289">
      <c r="A3289" s="70"/>
      <c r="B3289" s="71"/>
    </row>
    <row r="3290">
      <c r="A3290" s="70"/>
      <c r="B3290" s="71"/>
    </row>
    <row r="3291">
      <c r="A3291" s="70"/>
      <c r="B3291" s="71"/>
    </row>
    <row r="3292">
      <c r="A3292" s="70"/>
      <c r="B3292" s="71"/>
    </row>
    <row r="3293">
      <c r="A3293" s="70"/>
      <c r="B3293" s="71"/>
    </row>
    <row r="3294">
      <c r="A3294" s="70"/>
      <c r="B3294" s="71"/>
    </row>
    <row r="3295">
      <c r="A3295" s="70"/>
      <c r="B3295" s="71"/>
    </row>
    <row r="3296">
      <c r="A3296" s="70"/>
      <c r="B3296" s="71"/>
    </row>
    <row r="3297">
      <c r="A3297" s="70"/>
      <c r="B3297" s="71"/>
    </row>
    <row r="3298">
      <c r="A3298" s="70"/>
      <c r="B3298" s="71"/>
    </row>
    <row r="3299">
      <c r="A3299" s="70"/>
      <c r="B3299" s="71"/>
    </row>
    <row r="3300">
      <c r="A3300" s="70"/>
      <c r="B3300" s="71"/>
    </row>
    <row r="3301">
      <c r="A3301" s="70"/>
      <c r="B3301" s="71"/>
    </row>
    <row r="3302">
      <c r="A3302" s="70"/>
      <c r="B3302" s="71"/>
    </row>
    <row r="3303">
      <c r="A3303" s="70"/>
      <c r="B3303" s="71"/>
    </row>
    <row r="3304">
      <c r="A3304" s="70"/>
      <c r="B3304" s="71"/>
    </row>
    <row r="3305">
      <c r="A3305" s="70"/>
      <c r="B3305" s="71"/>
    </row>
    <row r="3306">
      <c r="A3306" s="70"/>
      <c r="B3306" s="71"/>
    </row>
    <row r="3307">
      <c r="A3307" s="70"/>
      <c r="B3307" s="71"/>
    </row>
    <row r="3308">
      <c r="A3308" s="70"/>
      <c r="B3308" s="71"/>
    </row>
    <row r="3309">
      <c r="A3309" s="70"/>
      <c r="B3309" s="71"/>
    </row>
    <row r="3310">
      <c r="A3310" s="70"/>
      <c r="B3310" s="71"/>
    </row>
    <row r="3311">
      <c r="A3311" s="70"/>
      <c r="B3311" s="71"/>
    </row>
    <row r="3312">
      <c r="A3312" s="70"/>
      <c r="B3312" s="71"/>
    </row>
    <row r="3313">
      <c r="A3313" s="70"/>
      <c r="B3313" s="71"/>
    </row>
    <row r="3314">
      <c r="A3314" s="70"/>
      <c r="B3314" s="71"/>
    </row>
    <row r="3315">
      <c r="A3315" s="70"/>
      <c r="B3315" s="71"/>
    </row>
    <row r="3316">
      <c r="A3316" s="70"/>
      <c r="B3316" s="71"/>
    </row>
    <row r="3317">
      <c r="A3317" s="70"/>
      <c r="B3317" s="71"/>
    </row>
    <row r="3318">
      <c r="A3318" s="70"/>
      <c r="B3318" s="71"/>
    </row>
    <row r="3319">
      <c r="A3319" s="70"/>
      <c r="B3319" s="71"/>
    </row>
    <row r="3320">
      <c r="A3320" s="70"/>
      <c r="B3320" s="71"/>
    </row>
    <row r="3321">
      <c r="A3321" s="70"/>
      <c r="B3321" s="71"/>
    </row>
    <row r="3322">
      <c r="A3322" s="70"/>
      <c r="B3322" s="71"/>
    </row>
    <row r="3323">
      <c r="A3323" s="70"/>
      <c r="B3323" s="71"/>
    </row>
    <row r="3324">
      <c r="A3324" s="70"/>
      <c r="B3324" s="71"/>
    </row>
    <row r="3325">
      <c r="A3325" s="70"/>
      <c r="B3325" s="71"/>
    </row>
    <row r="3326">
      <c r="A3326" s="70"/>
      <c r="B3326" s="71"/>
    </row>
    <row r="3327">
      <c r="A3327" s="70"/>
      <c r="B3327" s="71"/>
    </row>
    <row r="3328">
      <c r="A3328" s="70"/>
      <c r="B3328" s="71"/>
    </row>
    <row r="3329">
      <c r="A3329" s="70"/>
      <c r="B3329" s="71"/>
    </row>
    <row r="3330">
      <c r="A3330" s="70"/>
      <c r="B3330" s="71"/>
    </row>
    <row r="3331">
      <c r="A3331" s="70"/>
      <c r="B3331" s="71"/>
    </row>
    <row r="3332">
      <c r="A3332" s="70"/>
      <c r="B3332" s="71"/>
    </row>
    <row r="3333">
      <c r="A3333" s="70"/>
      <c r="B3333" s="71"/>
    </row>
    <row r="3334">
      <c r="A3334" s="70"/>
      <c r="B3334" s="71"/>
    </row>
    <row r="3335">
      <c r="A3335" s="70"/>
      <c r="B3335" s="71"/>
    </row>
    <row r="3336">
      <c r="A3336" s="70"/>
      <c r="B3336" s="71"/>
    </row>
    <row r="3337">
      <c r="A3337" s="70"/>
      <c r="B3337" s="71"/>
    </row>
    <row r="3338">
      <c r="A3338" s="70"/>
      <c r="B3338" s="71"/>
    </row>
    <row r="3339">
      <c r="A3339" s="70"/>
      <c r="B3339" s="71"/>
    </row>
    <row r="3340">
      <c r="A3340" s="70"/>
      <c r="B3340" s="71"/>
    </row>
    <row r="3341">
      <c r="A3341" s="70"/>
      <c r="B3341" s="71"/>
    </row>
    <row r="3342">
      <c r="A3342" s="70"/>
      <c r="B3342" s="71"/>
    </row>
    <row r="3343">
      <c r="A3343" s="70"/>
      <c r="B3343" s="71"/>
    </row>
    <row r="3344">
      <c r="A3344" s="70"/>
      <c r="B3344" s="71"/>
    </row>
    <row r="3345">
      <c r="A3345" s="70"/>
      <c r="B3345" s="71"/>
    </row>
    <row r="3346">
      <c r="A3346" s="70"/>
      <c r="B3346" s="71"/>
    </row>
    <row r="3347">
      <c r="A3347" s="70"/>
      <c r="B3347" s="71"/>
    </row>
    <row r="3348">
      <c r="A3348" s="70"/>
      <c r="B3348" s="71"/>
    </row>
    <row r="3349">
      <c r="A3349" s="70"/>
      <c r="B3349" s="71"/>
    </row>
    <row r="3350">
      <c r="A3350" s="70"/>
      <c r="B3350" s="71"/>
    </row>
    <row r="3351">
      <c r="A3351" s="70"/>
      <c r="B3351" s="71"/>
    </row>
    <row r="3352">
      <c r="A3352" s="70"/>
      <c r="B3352" s="71"/>
    </row>
    <row r="3353">
      <c r="A3353" s="70"/>
      <c r="B3353" s="71"/>
    </row>
    <row r="3354">
      <c r="A3354" s="70"/>
      <c r="B3354" s="71"/>
    </row>
    <row r="3355">
      <c r="A3355" s="70"/>
      <c r="B3355" s="71"/>
    </row>
    <row r="3356">
      <c r="A3356" s="70"/>
      <c r="B3356" s="71"/>
    </row>
    <row r="3357">
      <c r="A3357" s="70"/>
      <c r="B3357" s="71"/>
    </row>
    <row r="3358">
      <c r="A3358" s="70"/>
      <c r="B3358" s="71"/>
    </row>
    <row r="3359">
      <c r="A3359" s="70"/>
      <c r="B3359" s="71"/>
    </row>
    <row r="3360">
      <c r="A3360" s="70"/>
      <c r="B3360" s="71"/>
    </row>
    <row r="3361">
      <c r="A3361" s="70"/>
      <c r="B3361" s="71"/>
    </row>
    <row r="3362">
      <c r="A3362" s="70"/>
      <c r="B3362" s="71"/>
    </row>
    <row r="3363">
      <c r="A3363" s="70"/>
      <c r="B3363" s="71"/>
    </row>
    <row r="3364">
      <c r="A3364" s="70"/>
      <c r="B3364" s="71"/>
    </row>
    <row r="3365">
      <c r="A3365" s="70"/>
      <c r="B3365" s="71"/>
    </row>
    <row r="3366">
      <c r="A3366" s="70"/>
      <c r="B3366" s="71"/>
    </row>
    <row r="3367">
      <c r="A3367" s="70"/>
      <c r="B3367" s="71"/>
    </row>
    <row r="3368">
      <c r="A3368" s="70"/>
      <c r="B3368" s="71"/>
    </row>
    <row r="3369">
      <c r="A3369" s="70"/>
      <c r="B3369" s="71"/>
    </row>
    <row r="3370">
      <c r="A3370" s="70"/>
      <c r="B3370" s="71"/>
    </row>
    <row r="3371">
      <c r="A3371" s="70"/>
      <c r="B3371" s="71"/>
    </row>
    <row r="3372">
      <c r="A3372" s="70"/>
      <c r="B3372" s="71"/>
    </row>
    <row r="3373">
      <c r="A3373" s="70"/>
      <c r="B3373" s="71"/>
    </row>
    <row r="3374">
      <c r="A3374" s="70"/>
      <c r="B3374" s="71"/>
    </row>
    <row r="3375">
      <c r="A3375" s="70"/>
      <c r="B3375" s="71"/>
    </row>
    <row r="3376">
      <c r="A3376" s="70"/>
      <c r="B3376" s="71"/>
    </row>
    <row r="3377">
      <c r="A3377" s="70"/>
      <c r="B3377" s="71"/>
    </row>
    <row r="3378">
      <c r="A3378" s="70"/>
      <c r="B3378" s="71"/>
    </row>
    <row r="3379">
      <c r="A3379" s="70"/>
      <c r="B3379" s="71"/>
    </row>
    <row r="3380">
      <c r="A3380" s="70"/>
      <c r="B3380" s="71"/>
    </row>
    <row r="3381">
      <c r="A3381" s="70"/>
      <c r="B3381" s="71"/>
    </row>
    <row r="3382">
      <c r="A3382" s="70"/>
      <c r="B3382" s="71"/>
    </row>
    <row r="3383">
      <c r="A3383" s="70"/>
      <c r="B3383" s="71"/>
    </row>
    <row r="3384">
      <c r="A3384" s="70"/>
      <c r="B3384" s="71"/>
    </row>
    <row r="3385">
      <c r="A3385" s="70"/>
      <c r="B3385" s="71"/>
    </row>
    <row r="3386">
      <c r="A3386" s="70"/>
      <c r="B3386" s="71"/>
    </row>
    <row r="3387">
      <c r="A3387" s="70"/>
      <c r="B3387" s="71"/>
    </row>
    <row r="3388">
      <c r="A3388" s="70"/>
      <c r="B3388" s="71"/>
    </row>
    <row r="3389">
      <c r="A3389" s="70"/>
      <c r="B3389" s="71"/>
    </row>
    <row r="3390">
      <c r="A3390" s="70"/>
      <c r="B3390" s="71"/>
    </row>
    <row r="3391">
      <c r="A3391" s="70"/>
      <c r="B3391" s="71"/>
    </row>
    <row r="3392">
      <c r="A3392" s="70"/>
      <c r="B3392" s="71"/>
    </row>
    <row r="3393">
      <c r="A3393" s="70"/>
      <c r="B3393" s="71"/>
    </row>
    <row r="3394">
      <c r="A3394" s="70"/>
      <c r="B3394" s="71"/>
    </row>
    <row r="3395">
      <c r="A3395" s="70"/>
      <c r="B3395" s="71"/>
    </row>
    <row r="3396">
      <c r="A3396" s="70"/>
      <c r="B3396" s="71"/>
    </row>
    <row r="3397">
      <c r="A3397" s="70"/>
      <c r="B3397" s="71"/>
    </row>
    <row r="3398">
      <c r="A3398" s="70"/>
      <c r="B3398" s="71"/>
    </row>
    <row r="3399">
      <c r="A3399" s="70"/>
      <c r="B3399" s="71"/>
    </row>
    <row r="3400">
      <c r="A3400" s="70"/>
      <c r="B3400" s="71"/>
    </row>
    <row r="3401">
      <c r="A3401" s="70"/>
      <c r="B3401" s="71"/>
    </row>
    <row r="3402">
      <c r="A3402" s="70"/>
      <c r="B3402" s="71"/>
    </row>
    <row r="3403">
      <c r="A3403" s="70"/>
      <c r="B3403" s="71"/>
    </row>
    <row r="3404">
      <c r="A3404" s="70"/>
      <c r="B3404" s="71"/>
    </row>
    <row r="3405">
      <c r="A3405" s="70"/>
      <c r="B3405" s="71"/>
    </row>
    <row r="3406">
      <c r="A3406" s="70"/>
      <c r="B3406" s="71"/>
    </row>
    <row r="3407">
      <c r="A3407" s="70"/>
      <c r="B3407" s="71"/>
    </row>
    <row r="3408">
      <c r="A3408" s="70"/>
      <c r="B3408" s="71"/>
    </row>
    <row r="3409">
      <c r="A3409" s="70"/>
      <c r="B3409" s="71"/>
    </row>
    <row r="3410">
      <c r="A3410" s="70"/>
      <c r="B3410" s="71"/>
    </row>
    <row r="3411">
      <c r="A3411" s="70"/>
      <c r="B3411" s="71"/>
    </row>
    <row r="3412">
      <c r="A3412" s="70"/>
      <c r="B3412" s="71"/>
    </row>
    <row r="3413">
      <c r="A3413" s="70"/>
      <c r="B3413" s="71"/>
    </row>
    <row r="3414">
      <c r="A3414" s="70"/>
      <c r="B3414" s="71"/>
    </row>
    <row r="3415">
      <c r="A3415" s="70"/>
      <c r="B3415" s="71"/>
    </row>
    <row r="3416">
      <c r="A3416" s="70"/>
      <c r="B3416" s="71"/>
    </row>
    <row r="3417">
      <c r="A3417" s="70"/>
      <c r="B3417" s="71"/>
    </row>
    <row r="3418">
      <c r="A3418" s="70"/>
      <c r="B3418" s="71"/>
    </row>
    <row r="3419">
      <c r="A3419" s="70"/>
      <c r="B3419" s="71"/>
    </row>
    <row r="3420">
      <c r="A3420" s="70"/>
      <c r="B3420" s="71"/>
    </row>
    <row r="3421">
      <c r="A3421" s="70"/>
      <c r="B3421" s="71"/>
    </row>
    <row r="3422">
      <c r="A3422" s="70"/>
      <c r="B3422" s="71"/>
    </row>
    <row r="3423">
      <c r="A3423" s="70"/>
      <c r="B3423" s="71"/>
    </row>
    <row r="3424">
      <c r="A3424" s="70"/>
      <c r="B3424" s="71"/>
    </row>
    <row r="3425">
      <c r="A3425" s="70"/>
      <c r="B3425" s="71"/>
    </row>
    <row r="3426">
      <c r="A3426" s="70"/>
      <c r="B3426" s="71"/>
    </row>
    <row r="3427">
      <c r="A3427" s="70"/>
      <c r="B3427" s="71"/>
    </row>
    <row r="3428">
      <c r="A3428" s="70"/>
      <c r="B3428" s="71"/>
    </row>
    <row r="3429">
      <c r="A3429" s="70"/>
      <c r="B3429" s="71"/>
    </row>
    <row r="3430">
      <c r="A3430" s="70"/>
      <c r="B3430" s="71"/>
    </row>
    <row r="3431">
      <c r="A3431" s="70"/>
      <c r="B3431" s="71"/>
    </row>
    <row r="3432">
      <c r="A3432" s="70"/>
      <c r="B3432" s="71"/>
    </row>
    <row r="3433">
      <c r="A3433" s="70"/>
      <c r="B3433" s="71"/>
    </row>
    <row r="3434">
      <c r="A3434" s="70"/>
      <c r="B3434" s="71"/>
    </row>
    <row r="3435">
      <c r="A3435" s="70"/>
      <c r="B3435" s="71"/>
    </row>
    <row r="3436">
      <c r="A3436" s="70"/>
      <c r="B3436" s="71"/>
    </row>
    <row r="3437">
      <c r="A3437" s="70"/>
      <c r="B3437" s="71"/>
    </row>
    <row r="3438">
      <c r="A3438" s="70"/>
      <c r="B3438" s="71"/>
    </row>
    <row r="3439">
      <c r="A3439" s="70"/>
      <c r="B3439" s="71"/>
    </row>
    <row r="3440">
      <c r="A3440" s="70"/>
      <c r="B3440" s="71"/>
    </row>
    <row r="3441">
      <c r="A3441" s="70"/>
      <c r="B3441" s="71"/>
    </row>
    <row r="3442">
      <c r="A3442" s="70"/>
      <c r="B3442" s="71"/>
    </row>
    <row r="3443">
      <c r="A3443" s="70"/>
      <c r="B3443" s="71"/>
    </row>
    <row r="3444">
      <c r="A3444" s="70"/>
      <c r="B3444" s="71"/>
    </row>
    <row r="3445">
      <c r="A3445" s="70"/>
      <c r="B3445" s="71"/>
    </row>
    <row r="3446">
      <c r="A3446" s="70"/>
      <c r="B3446" s="71"/>
    </row>
    <row r="3447">
      <c r="A3447" s="70"/>
      <c r="B3447" s="71"/>
    </row>
    <row r="3448">
      <c r="A3448" s="70"/>
      <c r="B3448" s="71"/>
    </row>
    <row r="3449">
      <c r="A3449" s="70"/>
      <c r="B3449" s="71"/>
    </row>
    <row r="3450">
      <c r="A3450" s="70"/>
      <c r="B3450" s="71"/>
    </row>
    <row r="3451">
      <c r="A3451" s="70"/>
      <c r="B3451" s="71"/>
    </row>
    <row r="3452">
      <c r="A3452" s="70"/>
      <c r="B3452" s="71"/>
    </row>
    <row r="3453">
      <c r="A3453" s="70"/>
      <c r="B3453" s="71"/>
    </row>
    <row r="3454">
      <c r="A3454" s="70"/>
      <c r="B3454" s="71"/>
    </row>
    <row r="3455">
      <c r="A3455" s="70"/>
      <c r="B3455" s="71"/>
    </row>
    <row r="3456">
      <c r="A3456" s="70"/>
      <c r="B3456" s="71"/>
    </row>
    <row r="3457">
      <c r="A3457" s="70"/>
      <c r="B3457" s="71"/>
    </row>
    <row r="3458">
      <c r="A3458" s="70"/>
      <c r="B3458" s="71"/>
    </row>
    <row r="3459">
      <c r="A3459" s="70"/>
      <c r="B3459" s="71"/>
    </row>
    <row r="3460">
      <c r="A3460" s="70"/>
      <c r="B3460" s="71"/>
    </row>
    <row r="3461">
      <c r="A3461" s="70"/>
      <c r="B3461" s="71"/>
    </row>
    <row r="3462">
      <c r="A3462" s="70"/>
      <c r="B3462" s="71"/>
    </row>
    <row r="3463">
      <c r="A3463" s="70"/>
      <c r="B3463" s="71"/>
    </row>
    <row r="3464">
      <c r="A3464" s="70"/>
      <c r="B3464" s="71"/>
    </row>
    <row r="3465">
      <c r="A3465" s="70"/>
      <c r="B3465" s="71"/>
    </row>
    <row r="3466">
      <c r="A3466" s="70"/>
      <c r="B3466" s="71"/>
    </row>
    <row r="3467">
      <c r="A3467" s="70"/>
      <c r="B3467" s="71"/>
    </row>
    <row r="3468">
      <c r="A3468" s="70"/>
      <c r="B3468" s="71"/>
    </row>
    <row r="3469">
      <c r="A3469" s="70"/>
      <c r="B3469" s="71"/>
    </row>
    <row r="3470">
      <c r="A3470" s="70"/>
      <c r="B3470" s="71"/>
    </row>
    <row r="3471">
      <c r="A3471" s="70"/>
      <c r="B3471" s="71"/>
    </row>
    <row r="3472">
      <c r="A3472" s="70"/>
      <c r="B3472" s="71"/>
    </row>
    <row r="3473">
      <c r="A3473" s="70"/>
      <c r="B3473" s="71"/>
    </row>
    <row r="3474">
      <c r="A3474" s="70"/>
      <c r="B3474" s="71"/>
    </row>
    <row r="3475">
      <c r="A3475" s="70"/>
      <c r="B3475" s="71"/>
    </row>
    <row r="3476">
      <c r="A3476" s="70"/>
      <c r="B3476" s="71"/>
    </row>
    <row r="3477">
      <c r="A3477" s="70"/>
      <c r="B3477" s="71"/>
    </row>
    <row r="3478">
      <c r="A3478" s="70"/>
      <c r="B3478" s="71"/>
    </row>
    <row r="3479">
      <c r="A3479" s="70"/>
      <c r="B3479" s="71"/>
    </row>
    <row r="3480">
      <c r="A3480" s="70"/>
      <c r="B3480" s="71"/>
    </row>
    <row r="3481">
      <c r="A3481" s="70"/>
      <c r="B3481" s="71"/>
    </row>
    <row r="3482">
      <c r="A3482" s="70"/>
      <c r="B3482" s="71"/>
    </row>
    <row r="3483">
      <c r="A3483" s="70"/>
      <c r="B3483" s="71"/>
    </row>
    <row r="3484">
      <c r="A3484" s="70"/>
      <c r="B3484" s="71"/>
    </row>
    <row r="3485">
      <c r="A3485" s="70"/>
      <c r="B3485" s="71"/>
    </row>
    <row r="3486">
      <c r="A3486" s="70"/>
      <c r="B3486" s="71"/>
    </row>
    <row r="3487">
      <c r="A3487" s="70"/>
      <c r="B3487" s="71"/>
    </row>
    <row r="3488">
      <c r="A3488" s="70"/>
      <c r="B3488" s="71"/>
    </row>
    <row r="3489">
      <c r="A3489" s="70"/>
      <c r="B3489" s="71"/>
    </row>
    <row r="3490">
      <c r="A3490" s="70"/>
      <c r="B3490" s="71"/>
    </row>
    <row r="3491">
      <c r="A3491" s="70"/>
      <c r="B3491" s="71"/>
    </row>
    <row r="3492">
      <c r="A3492" s="70"/>
      <c r="B3492" s="71"/>
    </row>
    <row r="3493">
      <c r="A3493" s="70"/>
      <c r="B3493" s="71"/>
    </row>
    <row r="3494">
      <c r="A3494" s="70"/>
      <c r="B3494" s="71"/>
    </row>
    <row r="3495">
      <c r="A3495" s="70"/>
      <c r="B3495" s="71"/>
    </row>
    <row r="3496">
      <c r="A3496" s="70"/>
      <c r="B3496" s="71"/>
    </row>
    <row r="3497">
      <c r="A3497" s="70"/>
      <c r="B3497" s="71"/>
    </row>
    <row r="3498">
      <c r="A3498" s="70"/>
      <c r="B3498" s="71"/>
    </row>
    <row r="3499">
      <c r="A3499" s="70"/>
      <c r="B3499" s="71"/>
    </row>
    <row r="3500">
      <c r="A3500" s="70"/>
      <c r="B3500" s="71"/>
    </row>
    <row r="3501">
      <c r="A3501" s="70"/>
      <c r="B3501" s="71"/>
    </row>
    <row r="3502">
      <c r="A3502" s="70"/>
      <c r="B3502" s="71"/>
    </row>
    <row r="3503">
      <c r="A3503" s="70"/>
      <c r="B3503" s="71"/>
    </row>
    <row r="3504">
      <c r="A3504" s="70"/>
      <c r="B3504" s="71"/>
    </row>
    <row r="3505">
      <c r="A3505" s="70"/>
      <c r="B3505" s="71"/>
    </row>
    <row r="3506">
      <c r="A3506" s="70"/>
      <c r="B3506" s="71"/>
    </row>
    <row r="3507">
      <c r="A3507" s="70"/>
      <c r="B3507" s="71"/>
    </row>
    <row r="3508">
      <c r="A3508" s="70"/>
      <c r="B3508" s="71"/>
    </row>
    <row r="3509">
      <c r="A3509" s="70"/>
      <c r="B3509" s="71"/>
    </row>
    <row r="3510">
      <c r="A3510" s="70"/>
      <c r="B3510" s="71"/>
    </row>
    <row r="3511">
      <c r="A3511" s="70"/>
      <c r="B3511" s="71"/>
    </row>
    <row r="3512">
      <c r="A3512" s="70"/>
      <c r="B3512" s="71"/>
    </row>
    <row r="3513">
      <c r="A3513" s="70"/>
      <c r="B3513" s="71"/>
    </row>
    <row r="3514">
      <c r="A3514" s="70"/>
      <c r="B3514" s="71"/>
    </row>
    <row r="3515">
      <c r="A3515" s="70"/>
      <c r="B3515" s="71"/>
    </row>
    <row r="3516">
      <c r="A3516" s="70"/>
      <c r="B3516" s="71"/>
    </row>
    <row r="3517">
      <c r="A3517" s="70"/>
      <c r="B3517" s="71"/>
    </row>
    <row r="3518">
      <c r="A3518" s="70"/>
      <c r="B3518" s="71"/>
    </row>
    <row r="3519">
      <c r="A3519" s="70"/>
      <c r="B3519" s="71"/>
    </row>
    <row r="3520">
      <c r="A3520" s="70"/>
      <c r="B3520" s="71"/>
    </row>
    <row r="3521">
      <c r="A3521" s="70"/>
      <c r="B3521" s="71"/>
    </row>
    <row r="3522">
      <c r="A3522" s="70"/>
      <c r="B3522" s="71"/>
    </row>
    <row r="3523">
      <c r="A3523" s="70"/>
      <c r="B3523" s="71"/>
    </row>
    <row r="3524">
      <c r="A3524" s="70"/>
      <c r="B3524" s="71"/>
    </row>
    <row r="3525">
      <c r="A3525" s="70"/>
      <c r="B3525" s="71"/>
    </row>
    <row r="3526">
      <c r="A3526" s="70"/>
      <c r="B3526" s="71"/>
    </row>
    <row r="3527">
      <c r="A3527" s="70"/>
      <c r="B3527" s="71"/>
    </row>
    <row r="3528">
      <c r="A3528" s="70"/>
      <c r="B3528" s="71"/>
    </row>
    <row r="3529">
      <c r="A3529" s="70"/>
      <c r="B3529" s="71"/>
    </row>
    <row r="3530">
      <c r="A3530" s="70"/>
      <c r="B3530" s="71"/>
    </row>
    <row r="3531">
      <c r="A3531" s="70"/>
      <c r="B3531" s="71"/>
    </row>
    <row r="3532">
      <c r="A3532" s="70"/>
      <c r="B3532" s="71"/>
    </row>
    <row r="3533">
      <c r="A3533" s="70"/>
      <c r="B3533" s="71"/>
    </row>
    <row r="3534">
      <c r="A3534" s="70"/>
      <c r="B3534" s="71"/>
    </row>
    <row r="3535">
      <c r="A3535" s="70"/>
      <c r="B3535" s="71"/>
    </row>
    <row r="3536">
      <c r="A3536" s="70"/>
      <c r="B3536" s="71"/>
    </row>
    <row r="3537">
      <c r="A3537" s="70"/>
      <c r="B3537" s="71"/>
    </row>
    <row r="3538">
      <c r="A3538" s="70"/>
      <c r="B3538" s="71"/>
    </row>
    <row r="3539">
      <c r="A3539" s="70"/>
      <c r="B3539" s="71"/>
    </row>
    <row r="3540">
      <c r="A3540" s="70"/>
      <c r="B3540" s="71"/>
    </row>
    <row r="3541">
      <c r="A3541" s="70"/>
      <c r="B3541" s="71"/>
    </row>
    <row r="3542">
      <c r="A3542" s="70"/>
      <c r="B3542" s="71"/>
    </row>
    <row r="3543">
      <c r="A3543" s="70"/>
      <c r="B3543" s="71"/>
    </row>
    <row r="3544">
      <c r="A3544" s="70"/>
      <c r="B3544" s="71"/>
    </row>
    <row r="3545">
      <c r="A3545" s="70"/>
      <c r="B3545" s="71"/>
    </row>
    <row r="3546">
      <c r="A3546" s="70"/>
      <c r="B3546" s="71"/>
    </row>
    <row r="3547">
      <c r="A3547" s="70"/>
      <c r="B3547" s="71"/>
    </row>
    <row r="3548">
      <c r="A3548" s="70"/>
      <c r="B3548" s="71"/>
    </row>
    <row r="3549">
      <c r="A3549" s="70"/>
      <c r="B3549" s="71"/>
    </row>
    <row r="3550">
      <c r="A3550" s="70"/>
      <c r="B3550" s="71"/>
    </row>
    <row r="3551">
      <c r="A3551" s="70"/>
      <c r="B3551" s="71"/>
    </row>
    <row r="3552">
      <c r="A3552" s="70"/>
      <c r="B3552" s="71"/>
    </row>
    <row r="3553">
      <c r="A3553" s="70"/>
      <c r="B3553" s="71"/>
    </row>
    <row r="3554">
      <c r="A3554" s="70"/>
      <c r="B3554" s="71"/>
    </row>
    <row r="3555">
      <c r="A3555" s="70"/>
      <c r="B3555" s="71"/>
    </row>
    <row r="3556">
      <c r="A3556" s="70"/>
      <c r="B3556" s="71"/>
    </row>
    <row r="3557">
      <c r="A3557" s="70"/>
      <c r="B3557" s="71"/>
    </row>
    <row r="3558">
      <c r="A3558" s="70"/>
      <c r="B3558" s="71"/>
    </row>
    <row r="3559">
      <c r="A3559" s="70"/>
      <c r="B3559" s="71"/>
    </row>
    <row r="3560">
      <c r="A3560" s="70"/>
      <c r="B3560" s="71"/>
    </row>
    <row r="3561">
      <c r="A3561" s="70"/>
      <c r="B3561" s="71"/>
    </row>
    <row r="3562">
      <c r="A3562" s="70"/>
      <c r="B3562" s="71"/>
    </row>
    <row r="3563">
      <c r="A3563" s="70"/>
      <c r="B3563" s="71"/>
    </row>
    <row r="3564">
      <c r="A3564" s="70"/>
      <c r="B3564" s="71"/>
    </row>
    <row r="3565">
      <c r="A3565" s="70"/>
      <c r="B3565" s="71"/>
    </row>
    <row r="3566">
      <c r="A3566" s="70"/>
      <c r="B3566" s="71"/>
    </row>
    <row r="3567">
      <c r="A3567" s="70"/>
      <c r="B3567" s="71"/>
    </row>
    <row r="3568">
      <c r="A3568" s="70"/>
      <c r="B3568" s="71"/>
    </row>
    <row r="3569">
      <c r="A3569" s="70"/>
      <c r="B3569" s="71"/>
    </row>
    <row r="3570">
      <c r="A3570" s="70"/>
      <c r="B3570" s="71"/>
    </row>
    <row r="3571">
      <c r="A3571" s="70"/>
      <c r="B3571" s="71"/>
    </row>
    <row r="3572">
      <c r="A3572" s="70"/>
      <c r="B3572" s="71"/>
    </row>
    <row r="3573">
      <c r="A3573" s="70"/>
      <c r="B3573" s="71"/>
    </row>
    <row r="3574">
      <c r="A3574" s="70"/>
      <c r="B3574" s="71"/>
    </row>
    <row r="3575">
      <c r="A3575" s="70"/>
      <c r="B3575" s="71"/>
    </row>
    <row r="3576">
      <c r="A3576" s="70"/>
      <c r="B3576" s="71"/>
    </row>
    <row r="3577">
      <c r="A3577" s="70"/>
      <c r="B3577" s="71"/>
    </row>
    <row r="3578">
      <c r="A3578" s="70"/>
      <c r="B3578" s="71"/>
    </row>
    <row r="3579">
      <c r="A3579" s="70"/>
      <c r="B3579" s="71"/>
    </row>
    <row r="3580">
      <c r="A3580" s="70"/>
      <c r="B3580" s="71"/>
    </row>
    <row r="3581">
      <c r="A3581" s="70"/>
      <c r="B3581" s="71"/>
    </row>
    <row r="3582">
      <c r="A3582" s="70"/>
      <c r="B3582" s="71"/>
    </row>
    <row r="3583">
      <c r="A3583" s="70"/>
      <c r="B3583" s="71"/>
    </row>
    <row r="3584">
      <c r="A3584" s="70"/>
      <c r="B3584" s="71"/>
    </row>
    <row r="3585">
      <c r="A3585" s="70"/>
      <c r="B3585" s="71"/>
    </row>
    <row r="3586">
      <c r="A3586" s="70"/>
      <c r="B3586" s="71"/>
    </row>
    <row r="3587">
      <c r="A3587" s="70"/>
      <c r="B3587" s="71"/>
    </row>
    <row r="3588">
      <c r="A3588" s="70"/>
      <c r="B3588" s="71"/>
    </row>
    <row r="3589">
      <c r="A3589" s="70"/>
      <c r="B3589" s="71"/>
    </row>
    <row r="3590">
      <c r="A3590" s="70"/>
      <c r="B3590" s="71"/>
    </row>
    <row r="3591">
      <c r="A3591" s="70"/>
      <c r="B3591" s="71"/>
    </row>
    <row r="3592">
      <c r="A3592" s="70"/>
      <c r="B3592" s="71"/>
    </row>
    <row r="3593">
      <c r="A3593" s="70"/>
      <c r="B3593" s="71"/>
    </row>
    <row r="3594">
      <c r="A3594" s="70"/>
      <c r="B3594" s="71"/>
    </row>
    <row r="3595">
      <c r="A3595" s="70"/>
      <c r="B3595" s="71"/>
    </row>
    <row r="3596">
      <c r="A3596" s="70"/>
      <c r="B3596" s="71"/>
    </row>
    <row r="3597">
      <c r="A3597" s="70"/>
      <c r="B3597" s="71"/>
    </row>
    <row r="3598">
      <c r="A3598" s="70"/>
      <c r="B3598" s="71"/>
    </row>
    <row r="3599">
      <c r="A3599" s="70"/>
      <c r="B3599" s="71"/>
    </row>
    <row r="3600">
      <c r="A3600" s="70"/>
      <c r="B3600" s="71"/>
    </row>
    <row r="3601">
      <c r="A3601" s="70"/>
      <c r="B3601" s="71"/>
    </row>
    <row r="3602">
      <c r="A3602" s="70"/>
      <c r="B3602" s="71"/>
    </row>
    <row r="3603">
      <c r="A3603" s="70"/>
      <c r="B3603" s="71"/>
    </row>
    <row r="3604">
      <c r="A3604" s="70"/>
      <c r="B3604" s="71"/>
    </row>
    <row r="3605">
      <c r="A3605" s="70"/>
      <c r="B3605" s="71"/>
    </row>
    <row r="3606">
      <c r="A3606" s="70"/>
      <c r="B3606" s="71"/>
    </row>
    <row r="3607">
      <c r="A3607" s="70"/>
      <c r="B3607" s="71"/>
    </row>
    <row r="3608">
      <c r="A3608" s="70"/>
      <c r="B3608" s="71"/>
    </row>
    <row r="3609">
      <c r="A3609" s="70"/>
      <c r="B3609" s="71"/>
    </row>
    <row r="3610">
      <c r="A3610" s="70"/>
      <c r="B3610" s="71"/>
    </row>
    <row r="3611">
      <c r="A3611" s="70"/>
      <c r="B3611" s="71"/>
    </row>
    <row r="3612">
      <c r="A3612" s="70"/>
      <c r="B3612" s="71"/>
    </row>
    <row r="3613">
      <c r="A3613" s="70"/>
      <c r="B3613" s="71"/>
    </row>
    <row r="3614">
      <c r="A3614" s="70"/>
      <c r="B3614" s="71"/>
    </row>
    <row r="3615">
      <c r="A3615" s="70"/>
      <c r="B3615" s="71"/>
    </row>
    <row r="3616">
      <c r="A3616" s="70"/>
      <c r="B3616" s="71"/>
    </row>
    <row r="3617">
      <c r="A3617" s="70"/>
      <c r="B3617" s="71"/>
    </row>
    <row r="3618">
      <c r="A3618" s="70"/>
      <c r="B3618" s="71"/>
    </row>
    <row r="3619">
      <c r="A3619" s="70"/>
      <c r="B3619" s="71"/>
    </row>
    <row r="3620">
      <c r="A3620" s="70"/>
      <c r="B3620" s="71"/>
    </row>
    <row r="3621">
      <c r="A3621" s="70"/>
      <c r="B3621" s="71"/>
    </row>
    <row r="3622">
      <c r="A3622" s="70"/>
      <c r="B3622" s="71"/>
    </row>
    <row r="3623">
      <c r="A3623" s="70"/>
      <c r="B3623" s="71"/>
    </row>
    <row r="3624">
      <c r="A3624" s="70"/>
      <c r="B3624" s="71"/>
    </row>
    <row r="3625">
      <c r="A3625" s="70"/>
      <c r="B3625" s="71"/>
    </row>
    <row r="3626">
      <c r="A3626" s="70"/>
      <c r="B3626" s="71"/>
    </row>
    <row r="3627">
      <c r="A3627" s="70"/>
      <c r="B3627" s="71"/>
    </row>
    <row r="3628">
      <c r="A3628" s="70"/>
      <c r="B3628" s="71"/>
    </row>
    <row r="3629">
      <c r="A3629" s="70"/>
      <c r="B3629" s="71"/>
    </row>
    <row r="3630">
      <c r="A3630" s="70"/>
      <c r="B3630" s="71"/>
    </row>
    <row r="3631">
      <c r="A3631" s="70"/>
      <c r="B3631" s="71"/>
    </row>
    <row r="3632">
      <c r="A3632" s="70"/>
      <c r="B3632" s="71"/>
    </row>
    <row r="3633">
      <c r="A3633" s="70"/>
      <c r="B3633" s="71"/>
    </row>
    <row r="3634">
      <c r="A3634" s="70"/>
      <c r="B3634" s="71"/>
    </row>
    <row r="3635">
      <c r="A3635" s="70"/>
      <c r="B3635" s="71"/>
    </row>
    <row r="3636">
      <c r="A3636" s="70"/>
      <c r="B3636" s="71"/>
    </row>
    <row r="3637">
      <c r="A3637" s="70"/>
      <c r="B3637" s="71"/>
    </row>
    <row r="3638">
      <c r="A3638" s="70"/>
      <c r="B3638" s="71"/>
    </row>
    <row r="3639">
      <c r="A3639" s="70"/>
      <c r="B3639" s="71"/>
    </row>
    <row r="3640">
      <c r="A3640" s="70"/>
      <c r="B3640" s="71"/>
    </row>
    <row r="3641">
      <c r="A3641" s="70"/>
      <c r="B3641" s="71"/>
    </row>
    <row r="3642">
      <c r="A3642" s="70"/>
      <c r="B3642" s="71"/>
    </row>
    <row r="3643">
      <c r="A3643" s="70"/>
      <c r="B3643" s="71"/>
    </row>
    <row r="3644">
      <c r="A3644" s="70"/>
      <c r="B3644" s="71"/>
    </row>
    <row r="3645">
      <c r="A3645" s="70"/>
      <c r="B3645" s="71"/>
    </row>
    <row r="3646">
      <c r="A3646" s="70"/>
      <c r="B3646" s="71"/>
    </row>
    <row r="3647">
      <c r="A3647" s="70"/>
      <c r="B3647" s="71"/>
    </row>
    <row r="3648">
      <c r="A3648" s="70"/>
      <c r="B3648" s="71"/>
    </row>
    <row r="3649">
      <c r="A3649" s="70"/>
      <c r="B3649" s="71"/>
    </row>
    <row r="3650">
      <c r="A3650" s="70"/>
      <c r="B3650" s="71"/>
    </row>
    <row r="3651">
      <c r="A3651" s="70"/>
      <c r="B3651" s="71"/>
    </row>
    <row r="3652">
      <c r="A3652" s="70"/>
      <c r="B3652" s="71"/>
    </row>
    <row r="3653">
      <c r="A3653" s="70"/>
      <c r="B3653" s="71"/>
    </row>
    <row r="3654">
      <c r="A3654" s="70"/>
      <c r="B3654" s="71"/>
    </row>
    <row r="3655">
      <c r="A3655" s="70"/>
      <c r="B3655" s="71"/>
    </row>
    <row r="3656">
      <c r="A3656" s="70"/>
      <c r="B3656" s="71"/>
    </row>
    <row r="3657">
      <c r="A3657" s="70"/>
      <c r="B3657" s="71"/>
    </row>
    <row r="3658">
      <c r="A3658" s="70"/>
      <c r="B3658" s="71"/>
    </row>
    <row r="3659">
      <c r="A3659" s="70"/>
      <c r="B3659" s="71"/>
    </row>
    <row r="3660">
      <c r="A3660" s="70"/>
      <c r="B3660" s="71"/>
    </row>
    <row r="3661">
      <c r="A3661" s="70"/>
      <c r="B3661" s="71"/>
    </row>
    <row r="3662">
      <c r="A3662" s="70"/>
      <c r="B3662" s="71"/>
    </row>
    <row r="3663">
      <c r="A3663" s="70"/>
      <c r="B3663" s="71"/>
    </row>
    <row r="3664">
      <c r="A3664" s="70"/>
      <c r="B3664" s="71"/>
    </row>
    <row r="3665">
      <c r="A3665" s="70"/>
      <c r="B3665" s="71"/>
    </row>
    <row r="3666">
      <c r="A3666" s="70"/>
      <c r="B3666" s="71"/>
    </row>
    <row r="3667">
      <c r="A3667" s="70"/>
      <c r="B3667" s="71"/>
    </row>
    <row r="3668">
      <c r="A3668" s="70"/>
      <c r="B3668" s="71"/>
    </row>
    <row r="3669">
      <c r="A3669" s="70"/>
      <c r="B3669" s="71"/>
    </row>
    <row r="3670">
      <c r="A3670" s="70"/>
      <c r="B3670" s="71"/>
    </row>
    <row r="3671">
      <c r="A3671" s="70"/>
      <c r="B3671" s="71"/>
    </row>
    <row r="3672">
      <c r="A3672" s="70"/>
      <c r="B3672" s="71"/>
    </row>
    <row r="3673">
      <c r="A3673" s="70"/>
      <c r="B3673" s="71"/>
    </row>
    <row r="3674">
      <c r="A3674" s="70"/>
      <c r="B3674" s="71"/>
    </row>
    <row r="3675">
      <c r="A3675" s="70"/>
      <c r="B3675" s="71"/>
    </row>
    <row r="3676">
      <c r="A3676" s="70"/>
      <c r="B3676" s="71"/>
    </row>
    <row r="3677">
      <c r="A3677" s="70"/>
      <c r="B3677" s="71"/>
    </row>
    <row r="3678">
      <c r="A3678" s="70"/>
      <c r="B3678" s="71"/>
    </row>
    <row r="3679">
      <c r="A3679" s="70"/>
      <c r="B3679" s="71"/>
    </row>
    <row r="3680">
      <c r="A3680" s="70"/>
      <c r="B3680" s="71"/>
    </row>
    <row r="3681">
      <c r="A3681" s="70"/>
      <c r="B3681" s="71"/>
    </row>
    <row r="3682">
      <c r="A3682" s="70"/>
      <c r="B3682" s="71"/>
    </row>
    <row r="3683">
      <c r="A3683" s="70"/>
      <c r="B3683" s="71"/>
    </row>
    <row r="3684">
      <c r="A3684" s="70"/>
      <c r="B3684" s="71"/>
    </row>
    <row r="3685">
      <c r="A3685" s="70"/>
      <c r="B3685" s="71"/>
    </row>
    <row r="3686">
      <c r="A3686" s="70"/>
      <c r="B3686" s="71"/>
    </row>
    <row r="3687">
      <c r="A3687" s="70"/>
      <c r="B3687" s="71"/>
    </row>
    <row r="3688">
      <c r="A3688" s="70"/>
      <c r="B3688" s="71"/>
    </row>
    <row r="3689">
      <c r="A3689" s="70"/>
      <c r="B3689" s="71"/>
    </row>
    <row r="3690">
      <c r="A3690" s="70"/>
      <c r="B3690" s="71"/>
    </row>
    <row r="3691">
      <c r="A3691" s="70"/>
      <c r="B3691" s="71"/>
    </row>
    <row r="3692">
      <c r="A3692" s="70"/>
      <c r="B3692" s="71"/>
    </row>
    <row r="3693">
      <c r="A3693" s="70"/>
      <c r="B3693" s="71"/>
    </row>
    <row r="3694">
      <c r="A3694" s="70"/>
      <c r="B3694" s="71"/>
    </row>
    <row r="3695">
      <c r="A3695" s="70"/>
      <c r="B3695" s="71"/>
    </row>
    <row r="3696">
      <c r="A3696" s="70"/>
      <c r="B3696" s="71"/>
    </row>
    <row r="3697">
      <c r="A3697" s="70"/>
      <c r="B3697" s="71"/>
    </row>
    <row r="3698">
      <c r="A3698" s="70"/>
      <c r="B3698" s="71"/>
    </row>
    <row r="3699">
      <c r="A3699" s="70"/>
      <c r="B3699" s="71"/>
    </row>
    <row r="3700">
      <c r="A3700" s="70"/>
      <c r="B3700" s="71"/>
    </row>
    <row r="3701">
      <c r="A3701" s="70"/>
      <c r="B3701" s="71"/>
    </row>
    <row r="3702">
      <c r="A3702" s="70"/>
      <c r="B3702" s="71"/>
    </row>
    <row r="3703">
      <c r="A3703" s="70"/>
      <c r="B3703" s="71"/>
    </row>
    <row r="3704">
      <c r="A3704" s="70"/>
      <c r="B3704" s="71"/>
    </row>
    <row r="3705">
      <c r="A3705" s="70"/>
      <c r="B3705" s="71"/>
    </row>
    <row r="3706">
      <c r="A3706" s="70"/>
      <c r="B3706" s="71"/>
    </row>
    <row r="3707">
      <c r="A3707" s="70"/>
      <c r="B3707" s="71"/>
    </row>
    <row r="3708">
      <c r="A3708" s="70"/>
      <c r="B3708" s="71"/>
    </row>
    <row r="3709">
      <c r="A3709" s="70"/>
      <c r="B3709" s="71"/>
    </row>
    <row r="3710">
      <c r="A3710" s="70"/>
      <c r="B3710" s="71"/>
    </row>
    <row r="3711">
      <c r="A3711" s="70"/>
      <c r="B3711" s="71"/>
    </row>
    <row r="3712">
      <c r="A3712" s="70"/>
      <c r="B3712" s="71"/>
    </row>
    <row r="3713">
      <c r="A3713" s="70"/>
      <c r="B3713" s="71"/>
    </row>
    <row r="3714">
      <c r="A3714" s="70"/>
      <c r="B3714" s="71"/>
    </row>
    <row r="3715">
      <c r="A3715" s="70"/>
      <c r="B3715" s="71"/>
    </row>
    <row r="3716">
      <c r="A3716" s="70"/>
      <c r="B3716" s="71"/>
    </row>
    <row r="3717">
      <c r="A3717" s="70"/>
      <c r="B3717" s="71"/>
    </row>
    <row r="3718">
      <c r="A3718" s="70"/>
      <c r="B3718" s="71"/>
    </row>
    <row r="3719">
      <c r="A3719" s="70"/>
      <c r="B3719" s="71"/>
    </row>
    <row r="3720">
      <c r="A3720" s="70"/>
      <c r="B3720" s="71"/>
    </row>
    <row r="3721">
      <c r="A3721" s="70"/>
      <c r="B3721" s="71"/>
    </row>
    <row r="3722">
      <c r="A3722" s="70"/>
      <c r="B3722" s="71"/>
    </row>
    <row r="3723">
      <c r="A3723" s="70"/>
      <c r="B3723" s="71"/>
    </row>
    <row r="3724">
      <c r="A3724" s="70"/>
      <c r="B3724" s="71"/>
    </row>
    <row r="3725">
      <c r="A3725" s="70"/>
      <c r="B3725" s="71"/>
    </row>
    <row r="3726">
      <c r="A3726" s="70"/>
      <c r="B3726" s="71"/>
    </row>
    <row r="3727">
      <c r="A3727" s="70"/>
      <c r="B3727" s="71"/>
    </row>
    <row r="3728">
      <c r="A3728" s="70"/>
      <c r="B3728" s="71"/>
    </row>
    <row r="3729">
      <c r="A3729" s="70"/>
      <c r="B3729" s="71"/>
    </row>
    <row r="3730">
      <c r="A3730" s="70"/>
      <c r="B3730" s="71"/>
    </row>
    <row r="3731">
      <c r="A3731" s="70"/>
      <c r="B3731" s="71"/>
    </row>
    <row r="3732">
      <c r="A3732" s="70"/>
      <c r="B3732" s="71"/>
    </row>
    <row r="3733">
      <c r="A3733" s="70"/>
      <c r="B3733" s="71"/>
    </row>
    <row r="3734">
      <c r="A3734" s="70"/>
      <c r="B3734" s="71"/>
    </row>
    <row r="3735">
      <c r="A3735" s="70"/>
      <c r="B3735" s="71"/>
    </row>
    <row r="3736">
      <c r="A3736" s="70"/>
      <c r="B3736" s="71"/>
    </row>
    <row r="3737">
      <c r="A3737" s="70"/>
      <c r="B3737" s="71"/>
    </row>
    <row r="3738">
      <c r="A3738" s="70"/>
      <c r="B3738" s="71"/>
    </row>
    <row r="3739">
      <c r="A3739" s="70"/>
      <c r="B3739" s="71"/>
    </row>
    <row r="3740">
      <c r="A3740" s="70"/>
      <c r="B3740" s="71"/>
    </row>
    <row r="3741">
      <c r="A3741" s="70"/>
      <c r="B3741" s="71"/>
    </row>
    <row r="3742">
      <c r="A3742" s="70"/>
      <c r="B3742" s="71"/>
    </row>
    <row r="3743">
      <c r="A3743" s="70"/>
      <c r="B3743" s="71"/>
    </row>
    <row r="3744">
      <c r="A3744" s="70"/>
      <c r="B3744" s="71"/>
    </row>
    <row r="3745">
      <c r="A3745" s="70"/>
      <c r="B3745" s="71"/>
    </row>
    <row r="3746">
      <c r="A3746" s="70"/>
      <c r="B3746" s="71"/>
    </row>
    <row r="3747">
      <c r="A3747" s="70"/>
      <c r="B3747" s="71"/>
    </row>
    <row r="3748">
      <c r="A3748" s="70"/>
      <c r="B3748" s="71"/>
    </row>
    <row r="3749">
      <c r="A3749" s="70"/>
      <c r="B3749" s="71"/>
    </row>
    <row r="3750">
      <c r="A3750" s="70"/>
      <c r="B3750" s="71"/>
    </row>
    <row r="3751">
      <c r="A3751" s="70"/>
      <c r="B3751" s="71"/>
    </row>
    <row r="3752">
      <c r="A3752" s="70"/>
      <c r="B3752" s="71"/>
    </row>
    <row r="3753">
      <c r="A3753" s="70"/>
      <c r="B3753" s="71"/>
    </row>
    <row r="3754">
      <c r="A3754" s="70"/>
      <c r="B3754" s="71"/>
    </row>
    <row r="3755">
      <c r="A3755" s="70"/>
      <c r="B3755" s="71"/>
    </row>
    <row r="3756">
      <c r="A3756" s="70"/>
      <c r="B3756" s="71"/>
    </row>
    <row r="3757">
      <c r="A3757" s="70"/>
      <c r="B3757" s="71"/>
    </row>
    <row r="3758">
      <c r="A3758" s="70"/>
      <c r="B3758" s="71"/>
    </row>
    <row r="3759">
      <c r="A3759" s="70"/>
      <c r="B3759" s="71"/>
    </row>
    <row r="3760">
      <c r="A3760" s="70"/>
      <c r="B3760" s="71"/>
    </row>
    <row r="3761">
      <c r="A3761" s="70"/>
      <c r="B3761" s="71"/>
    </row>
    <row r="3762">
      <c r="A3762" s="70"/>
      <c r="B3762" s="71"/>
    </row>
    <row r="3763">
      <c r="A3763" s="70"/>
      <c r="B3763" s="71"/>
    </row>
    <row r="3764">
      <c r="A3764" s="70"/>
      <c r="B3764" s="71"/>
    </row>
    <row r="3765">
      <c r="A3765" s="70"/>
      <c r="B3765" s="71"/>
    </row>
    <row r="3766">
      <c r="A3766" s="70"/>
      <c r="B3766" s="71"/>
    </row>
    <row r="3767">
      <c r="A3767" s="70"/>
      <c r="B3767" s="71"/>
    </row>
    <row r="3768">
      <c r="A3768" s="70"/>
      <c r="B3768" s="71"/>
    </row>
    <row r="3769">
      <c r="A3769" s="70"/>
      <c r="B3769" s="71"/>
    </row>
    <row r="3770">
      <c r="A3770" s="70"/>
      <c r="B3770" s="71"/>
    </row>
    <row r="3771">
      <c r="A3771" s="70"/>
      <c r="B3771" s="71"/>
    </row>
    <row r="3772">
      <c r="A3772" s="70"/>
      <c r="B3772" s="71"/>
    </row>
    <row r="3773">
      <c r="A3773" s="70"/>
      <c r="B3773" s="71"/>
    </row>
    <row r="3774">
      <c r="A3774" s="70"/>
      <c r="B3774" s="71"/>
    </row>
    <row r="3775">
      <c r="A3775" s="70"/>
      <c r="B3775" s="71"/>
    </row>
    <row r="3776">
      <c r="A3776" s="70"/>
      <c r="B3776" s="71"/>
    </row>
    <row r="3777">
      <c r="A3777" s="70"/>
      <c r="B3777" s="71"/>
    </row>
    <row r="3778">
      <c r="A3778" s="70"/>
      <c r="B3778" s="71"/>
    </row>
    <row r="3779">
      <c r="A3779" s="70"/>
      <c r="B3779" s="71"/>
    </row>
    <row r="3780">
      <c r="A3780" s="70"/>
      <c r="B3780" s="71"/>
    </row>
    <row r="3781">
      <c r="A3781" s="70"/>
      <c r="B3781" s="71"/>
    </row>
    <row r="3782">
      <c r="A3782" s="70"/>
      <c r="B3782" s="71"/>
    </row>
    <row r="3783">
      <c r="A3783" s="70"/>
      <c r="B3783" s="71"/>
    </row>
    <row r="3784">
      <c r="A3784" s="70"/>
      <c r="B3784" s="71"/>
    </row>
    <row r="3785">
      <c r="A3785" s="70"/>
      <c r="B3785" s="71"/>
    </row>
    <row r="3786">
      <c r="A3786" s="70"/>
      <c r="B3786" s="71"/>
    </row>
    <row r="3787">
      <c r="A3787" s="70"/>
      <c r="B3787" s="71"/>
    </row>
    <row r="3788">
      <c r="A3788" s="70"/>
      <c r="B3788" s="71"/>
    </row>
    <row r="3789">
      <c r="A3789" s="70"/>
      <c r="B3789" s="71"/>
    </row>
    <row r="3790">
      <c r="A3790" s="70"/>
      <c r="B3790" s="71"/>
    </row>
    <row r="3791">
      <c r="A3791" s="70"/>
      <c r="B3791" s="71"/>
    </row>
    <row r="3792">
      <c r="A3792" s="70"/>
      <c r="B3792" s="71"/>
    </row>
    <row r="3793">
      <c r="A3793" s="70"/>
      <c r="B3793" s="71"/>
    </row>
    <row r="3794">
      <c r="A3794" s="70"/>
      <c r="B3794" s="71"/>
    </row>
    <row r="3795">
      <c r="A3795" s="70"/>
      <c r="B3795" s="71"/>
    </row>
    <row r="3796">
      <c r="A3796" s="70"/>
      <c r="B3796" s="71"/>
    </row>
    <row r="3797">
      <c r="A3797" s="70"/>
      <c r="B3797" s="71"/>
    </row>
    <row r="3798">
      <c r="A3798" s="70"/>
      <c r="B3798" s="71"/>
    </row>
    <row r="3799">
      <c r="A3799" s="70"/>
      <c r="B3799" s="71"/>
    </row>
    <row r="3800">
      <c r="A3800" s="70"/>
      <c r="B3800" s="71"/>
    </row>
    <row r="3801">
      <c r="A3801" s="70"/>
      <c r="B3801" s="71"/>
    </row>
    <row r="3802">
      <c r="A3802" s="70"/>
      <c r="B3802" s="71"/>
    </row>
    <row r="3803">
      <c r="A3803" s="70"/>
      <c r="B3803" s="71"/>
    </row>
    <row r="3804">
      <c r="A3804" s="70"/>
      <c r="B3804" s="71"/>
    </row>
    <row r="3805">
      <c r="A3805" s="70"/>
      <c r="B3805" s="71"/>
    </row>
    <row r="3806">
      <c r="A3806" s="70"/>
      <c r="B3806" s="71"/>
    </row>
    <row r="3807">
      <c r="A3807" s="70"/>
      <c r="B3807" s="71"/>
    </row>
    <row r="3808">
      <c r="A3808" s="70"/>
      <c r="B3808" s="71"/>
    </row>
    <row r="3809">
      <c r="A3809" s="70"/>
      <c r="B3809" s="71"/>
    </row>
    <row r="3810">
      <c r="A3810" s="70"/>
      <c r="B3810" s="71"/>
    </row>
    <row r="3811">
      <c r="A3811" s="70"/>
      <c r="B3811" s="71"/>
    </row>
    <row r="3812">
      <c r="A3812" s="70"/>
      <c r="B3812" s="71"/>
    </row>
    <row r="3813">
      <c r="A3813" s="70"/>
      <c r="B3813" s="71"/>
    </row>
    <row r="3814">
      <c r="A3814" s="70"/>
      <c r="B3814" s="71"/>
    </row>
    <row r="3815">
      <c r="A3815" s="70"/>
      <c r="B3815" s="71"/>
    </row>
    <row r="3816">
      <c r="A3816" s="70"/>
      <c r="B3816" s="71"/>
    </row>
    <row r="3817">
      <c r="A3817" s="70"/>
      <c r="B3817" s="71"/>
    </row>
    <row r="3818">
      <c r="A3818" s="70"/>
      <c r="B3818" s="71"/>
    </row>
    <row r="3819">
      <c r="A3819" s="70"/>
      <c r="B3819" s="71"/>
    </row>
    <row r="3820">
      <c r="A3820" s="70"/>
      <c r="B3820" s="71"/>
    </row>
    <row r="3821">
      <c r="A3821" s="70"/>
      <c r="B3821" s="71"/>
    </row>
    <row r="3822">
      <c r="A3822" s="70"/>
      <c r="B3822" s="71"/>
    </row>
    <row r="3823">
      <c r="A3823" s="70"/>
      <c r="B3823" s="71"/>
    </row>
    <row r="3824">
      <c r="A3824" s="70"/>
      <c r="B3824" s="71"/>
    </row>
    <row r="3825">
      <c r="A3825" s="70"/>
      <c r="B3825" s="71"/>
    </row>
    <row r="3826">
      <c r="A3826" s="70"/>
      <c r="B3826" s="71"/>
    </row>
    <row r="3827">
      <c r="A3827" s="70"/>
      <c r="B3827" s="71"/>
    </row>
    <row r="3828">
      <c r="A3828" s="70"/>
      <c r="B3828" s="71"/>
    </row>
    <row r="3829">
      <c r="A3829" s="70"/>
      <c r="B3829" s="71"/>
    </row>
    <row r="3830">
      <c r="A3830" s="70"/>
      <c r="B3830" s="71"/>
    </row>
    <row r="3831">
      <c r="A3831" s="70"/>
      <c r="B3831" s="71"/>
    </row>
    <row r="3832">
      <c r="A3832" s="70"/>
      <c r="B3832" s="71"/>
    </row>
    <row r="3833">
      <c r="A3833" s="70"/>
      <c r="B3833" s="71"/>
    </row>
    <row r="3834">
      <c r="A3834" s="70"/>
      <c r="B3834" s="71"/>
    </row>
    <row r="3835">
      <c r="A3835" s="70"/>
      <c r="B3835" s="71"/>
    </row>
    <row r="3836">
      <c r="A3836" s="70"/>
      <c r="B3836" s="71"/>
    </row>
    <row r="3837">
      <c r="A3837" s="70"/>
      <c r="B3837" s="71"/>
    </row>
    <row r="3838">
      <c r="A3838" s="70"/>
      <c r="B3838" s="71"/>
    </row>
    <row r="3839">
      <c r="A3839" s="70"/>
      <c r="B3839" s="71"/>
    </row>
    <row r="3840">
      <c r="A3840" s="70"/>
      <c r="B3840" s="71"/>
    </row>
    <row r="3841">
      <c r="A3841" s="70"/>
      <c r="B3841" s="71"/>
    </row>
    <row r="3842">
      <c r="A3842" s="70"/>
      <c r="B3842" s="71"/>
    </row>
    <row r="3843">
      <c r="A3843" s="70"/>
      <c r="B3843" s="71"/>
    </row>
    <row r="3844">
      <c r="A3844" s="70"/>
      <c r="B3844" s="71"/>
    </row>
    <row r="3845">
      <c r="A3845" s="70"/>
      <c r="B3845" s="71"/>
    </row>
    <row r="3846">
      <c r="A3846" s="70"/>
      <c r="B3846" s="71"/>
    </row>
    <row r="3847">
      <c r="A3847" s="70"/>
      <c r="B3847" s="71"/>
    </row>
    <row r="3848">
      <c r="A3848" s="70"/>
      <c r="B3848" s="71"/>
    </row>
    <row r="3849">
      <c r="A3849" s="70"/>
      <c r="B3849" s="71"/>
    </row>
    <row r="3850">
      <c r="A3850" s="70"/>
      <c r="B3850" s="71"/>
    </row>
    <row r="3851">
      <c r="A3851" s="70"/>
      <c r="B3851" s="71"/>
    </row>
    <row r="3852">
      <c r="A3852" s="70"/>
      <c r="B3852" s="71"/>
    </row>
    <row r="3853">
      <c r="A3853" s="70"/>
      <c r="B3853" s="71"/>
    </row>
    <row r="3854">
      <c r="A3854" s="70"/>
      <c r="B3854" s="71"/>
    </row>
    <row r="3855">
      <c r="A3855" s="70"/>
      <c r="B3855" s="71"/>
    </row>
    <row r="3856">
      <c r="A3856" s="70"/>
      <c r="B3856" s="71"/>
    </row>
    <row r="3857">
      <c r="A3857" s="70"/>
      <c r="B3857" s="71"/>
    </row>
    <row r="3858">
      <c r="A3858" s="70"/>
      <c r="B3858" s="71"/>
    </row>
    <row r="3859">
      <c r="A3859" s="70"/>
      <c r="B3859" s="71"/>
    </row>
    <row r="3860">
      <c r="A3860" s="70"/>
      <c r="B3860" s="71"/>
    </row>
    <row r="3861">
      <c r="A3861" s="70"/>
      <c r="B3861" s="71"/>
    </row>
    <row r="3862">
      <c r="A3862" s="70"/>
      <c r="B3862" s="71"/>
    </row>
    <row r="3863">
      <c r="A3863" s="70"/>
      <c r="B3863" s="71"/>
    </row>
    <row r="3864">
      <c r="A3864" s="70"/>
      <c r="B3864" s="71"/>
    </row>
    <row r="3865">
      <c r="A3865" s="70"/>
      <c r="B3865" s="71"/>
    </row>
    <row r="3866">
      <c r="A3866" s="70"/>
      <c r="B3866" s="71"/>
    </row>
    <row r="3867">
      <c r="A3867" s="70"/>
      <c r="B3867" s="71"/>
    </row>
    <row r="3868">
      <c r="A3868" s="70"/>
      <c r="B3868" s="71"/>
    </row>
    <row r="3869">
      <c r="A3869" s="70"/>
      <c r="B3869" s="71"/>
    </row>
    <row r="3870">
      <c r="A3870" s="70"/>
      <c r="B3870" s="71"/>
    </row>
    <row r="3871">
      <c r="A3871" s="70"/>
      <c r="B3871" s="71"/>
    </row>
    <row r="3872">
      <c r="A3872" s="70"/>
      <c r="B3872" s="71"/>
    </row>
    <row r="3873">
      <c r="A3873" s="70"/>
      <c r="B3873" s="71"/>
    </row>
    <row r="3874">
      <c r="A3874" s="70"/>
      <c r="B3874" s="71"/>
    </row>
    <row r="3875">
      <c r="A3875" s="70"/>
      <c r="B3875" s="71"/>
    </row>
    <row r="3876">
      <c r="A3876" s="70"/>
      <c r="B3876" s="71"/>
    </row>
    <row r="3877">
      <c r="A3877" s="70"/>
      <c r="B3877" s="71"/>
    </row>
    <row r="3878">
      <c r="A3878" s="70"/>
      <c r="B3878" s="71"/>
    </row>
    <row r="3879">
      <c r="A3879" s="70"/>
      <c r="B3879" s="71"/>
    </row>
    <row r="3880">
      <c r="A3880" s="70"/>
      <c r="B3880" s="71"/>
    </row>
    <row r="3881">
      <c r="A3881" s="70"/>
      <c r="B3881" s="71"/>
    </row>
    <row r="3882">
      <c r="A3882" s="70"/>
      <c r="B3882" s="71"/>
    </row>
    <row r="3883">
      <c r="A3883" s="70"/>
      <c r="B3883" s="71"/>
    </row>
    <row r="3884">
      <c r="A3884" s="70"/>
      <c r="B3884" s="71"/>
    </row>
    <row r="3885">
      <c r="A3885" s="70"/>
      <c r="B3885" s="71"/>
    </row>
    <row r="3886">
      <c r="A3886" s="70"/>
      <c r="B3886" s="71"/>
    </row>
    <row r="3887">
      <c r="A3887" s="70"/>
      <c r="B3887" s="71"/>
    </row>
    <row r="3888">
      <c r="A3888" s="70"/>
      <c r="B3888" s="71"/>
    </row>
    <row r="3889">
      <c r="A3889" s="70"/>
      <c r="B3889" s="71"/>
    </row>
    <row r="3890">
      <c r="A3890" s="70"/>
      <c r="B3890" s="71"/>
    </row>
    <row r="3891">
      <c r="A3891" s="70"/>
      <c r="B3891" s="71"/>
    </row>
    <row r="3892">
      <c r="A3892" s="70"/>
      <c r="B3892" s="71"/>
    </row>
    <row r="3893">
      <c r="A3893" s="70"/>
      <c r="B3893" s="71"/>
    </row>
    <row r="3894">
      <c r="A3894" s="70"/>
      <c r="B3894" s="71"/>
    </row>
    <row r="3895">
      <c r="A3895" s="70"/>
      <c r="B3895" s="71"/>
    </row>
    <row r="3896">
      <c r="A3896" s="70"/>
      <c r="B3896" s="71"/>
    </row>
    <row r="3897">
      <c r="A3897" s="70"/>
      <c r="B3897" s="71"/>
    </row>
    <row r="3898">
      <c r="A3898" s="70"/>
      <c r="B3898" s="71"/>
    </row>
    <row r="3899">
      <c r="A3899" s="70"/>
      <c r="B3899" s="71"/>
    </row>
    <row r="3900">
      <c r="A3900" s="70"/>
      <c r="B3900" s="71"/>
    </row>
    <row r="3901">
      <c r="A3901" s="70"/>
      <c r="B3901" s="71"/>
    </row>
    <row r="3902">
      <c r="A3902" s="70"/>
      <c r="B3902" s="71"/>
    </row>
    <row r="3903">
      <c r="A3903" s="70"/>
      <c r="B3903" s="71"/>
    </row>
    <row r="3904">
      <c r="A3904" s="70"/>
      <c r="B3904" s="71"/>
    </row>
    <row r="3905">
      <c r="A3905" s="70"/>
      <c r="B3905" s="71"/>
    </row>
    <row r="3906">
      <c r="A3906" s="70"/>
      <c r="B3906" s="71"/>
    </row>
    <row r="3907">
      <c r="A3907" s="70"/>
      <c r="B3907" s="71"/>
    </row>
    <row r="3908">
      <c r="A3908" s="70"/>
      <c r="B3908" s="71"/>
    </row>
    <row r="3909">
      <c r="A3909" s="70"/>
      <c r="B3909" s="71"/>
    </row>
    <row r="3910">
      <c r="A3910" s="70"/>
      <c r="B3910" s="71"/>
    </row>
    <row r="3911">
      <c r="A3911" s="70"/>
      <c r="B3911" s="71"/>
    </row>
    <row r="3912">
      <c r="A3912" s="70"/>
      <c r="B3912" s="71"/>
    </row>
    <row r="3913">
      <c r="A3913" s="70"/>
      <c r="B3913" s="71"/>
    </row>
    <row r="3914">
      <c r="A3914" s="70"/>
      <c r="B3914" s="71"/>
    </row>
    <row r="3915">
      <c r="A3915" s="70"/>
      <c r="B3915" s="71"/>
    </row>
    <row r="3916">
      <c r="A3916" s="70"/>
      <c r="B3916" s="71"/>
    </row>
    <row r="3917">
      <c r="A3917" s="70"/>
      <c r="B3917" s="71"/>
    </row>
    <row r="3918">
      <c r="A3918" s="70"/>
      <c r="B3918" s="71"/>
    </row>
    <row r="3919">
      <c r="A3919" s="70"/>
      <c r="B3919" s="71"/>
    </row>
    <row r="3920">
      <c r="A3920" s="70"/>
      <c r="B3920" s="71"/>
    </row>
    <row r="3921">
      <c r="A3921" s="70"/>
      <c r="B3921" s="71"/>
    </row>
    <row r="3922">
      <c r="A3922" s="70"/>
      <c r="B3922" s="71"/>
    </row>
    <row r="3923">
      <c r="A3923" s="70"/>
      <c r="B3923" s="71"/>
    </row>
    <row r="3924">
      <c r="A3924" s="70"/>
      <c r="B3924" s="71"/>
    </row>
    <row r="3925">
      <c r="A3925" s="70"/>
      <c r="B3925" s="71"/>
    </row>
    <row r="3926">
      <c r="A3926" s="70"/>
      <c r="B3926" s="71"/>
    </row>
    <row r="3927">
      <c r="A3927" s="70"/>
      <c r="B3927" s="71"/>
    </row>
    <row r="3928">
      <c r="A3928" s="70"/>
      <c r="B3928" s="71"/>
    </row>
    <row r="3929">
      <c r="A3929" s="70"/>
      <c r="B3929" s="71"/>
    </row>
    <row r="3930">
      <c r="A3930" s="70"/>
      <c r="B3930" s="71"/>
    </row>
    <row r="3931">
      <c r="A3931" s="70"/>
      <c r="B3931" s="71"/>
    </row>
    <row r="3932">
      <c r="A3932" s="70"/>
      <c r="B3932" s="71"/>
    </row>
    <row r="3933">
      <c r="A3933" s="70"/>
      <c r="B3933" s="71"/>
    </row>
    <row r="3934">
      <c r="A3934" s="70"/>
      <c r="B3934" s="71"/>
    </row>
    <row r="3935">
      <c r="A3935" s="70"/>
      <c r="B3935" s="71"/>
    </row>
    <row r="3936">
      <c r="A3936" s="70"/>
      <c r="B3936" s="71"/>
    </row>
    <row r="3937">
      <c r="A3937" s="70"/>
      <c r="B3937" s="71"/>
    </row>
    <row r="3938">
      <c r="A3938" s="70"/>
      <c r="B3938" s="71"/>
    </row>
    <row r="3939">
      <c r="A3939" s="70"/>
      <c r="B3939" s="71"/>
    </row>
    <row r="3940">
      <c r="A3940" s="70"/>
      <c r="B3940" s="71"/>
    </row>
    <row r="3941">
      <c r="A3941" s="70"/>
      <c r="B3941" s="71"/>
    </row>
    <row r="3942">
      <c r="A3942" s="70"/>
      <c r="B3942" s="71"/>
    </row>
    <row r="3943">
      <c r="A3943" s="70"/>
      <c r="B3943" s="71"/>
    </row>
    <row r="3944">
      <c r="A3944" s="70"/>
      <c r="B3944" s="71"/>
    </row>
    <row r="3945">
      <c r="A3945" s="70"/>
      <c r="B3945" s="71"/>
    </row>
    <row r="3946">
      <c r="A3946" s="70"/>
      <c r="B3946" s="71"/>
    </row>
    <row r="3947">
      <c r="A3947" s="70"/>
      <c r="B3947" s="71"/>
    </row>
    <row r="3948">
      <c r="A3948" s="70"/>
      <c r="B3948" s="71"/>
    </row>
    <row r="3949">
      <c r="A3949" s="70"/>
      <c r="B3949" s="71"/>
    </row>
    <row r="3950">
      <c r="A3950" s="70"/>
      <c r="B3950" s="71"/>
    </row>
    <row r="3951">
      <c r="A3951" s="70"/>
      <c r="B3951" s="71"/>
    </row>
    <row r="3952">
      <c r="A3952" s="70"/>
      <c r="B3952" s="71"/>
    </row>
    <row r="3953">
      <c r="A3953" s="70"/>
      <c r="B3953" s="71"/>
    </row>
    <row r="3954">
      <c r="A3954" s="70"/>
      <c r="B3954" s="71"/>
    </row>
    <row r="3955">
      <c r="A3955" s="70"/>
      <c r="B3955" s="71"/>
    </row>
    <row r="3956">
      <c r="A3956" s="70"/>
      <c r="B3956" s="71"/>
    </row>
    <row r="3957">
      <c r="A3957" s="70"/>
      <c r="B3957" s="71"/>
    </row>
    <row r="3958">
      <c r="A3958" s="70"/>
      <c r="B3958" s="71"/>
    </row>
    <row r="3959">
      <c r="A3959" s="70"/>
      <c r="B3959" s="71"/>
    </row>
    <row r="3960">
      <c r="A3960" s="70"/>
      <c r="B3960" s="71"/>
    </row>
    <row r="3961">
      <c r="A3961" s="70"/>
      <c r="B3961" s="71"/>
    </row>
    <row r="3962">
      <c r="A3962" s="70"/>
      <c r="B3962" s="71"/>
    </row>
    <row r="3963">
      <c r="A3963" s="70"/>
      <c r="B3963" s="71"/>
    </row>
    <row r="3964">
      <c r="A3964" s="70"/>
      <c r="B3964" s="71"/>
    </row>
    <row r="3965">
      <c r="A3965" s="70"/>
      <c r="B3965" s="71"/>
    </row>
    <row r="3966">
      <c r="A3966" s="70"/>
      <c r="B3966" s="71"/>
    </row>
    <row r="3967">
      <c r="A3967" s="70"/>
      <c r="B3967" s="71"/>
    </row>
    <row r="3968">
      <c r="A3968" s="70"/>
      <c r="B3968" s="71"/>
    </row>
    <row r="3969">
      <c r="A3969" s="70"/>
      <c r="B3969" s="71"/>
    </row>
    <row r="3970">
      <c r="A3970" s="70"/>
      <c r="B3970" s="71"/>
    </row>
    <row r="3971">
      <c r="A3971" s="70"/>
      <c r="B3971" s="71"/>
    </row>
    <row r="3972">
      <c r="A3972" s="70"/>
      <c r="B3972" s="71"/>
    </row>
    <row r="3973">
      <c r="A3973" s="70"/>
      <c r="B3973" s="71"/>
    </row>
    <row r="3974">
      <c r="A3974" s="70"/>
      <c r="B3974" s="71"/>
    </row>
    <row r="3975">
      <c r="A3975" s="70"/>
      <c r="B3975" s="71"/>
    </row>
    <row r="3976">
      <c r="A3976" s="70"/>
      <c r="B3976" s="71"/>
    </row>
    <row r="3977">
      <c r="A3977" s="70"/>
      <c r="B3977" s="71"/>
    </row>
    <row r="3978">
      <c r="A3978" s="70"/>
      <c r="B3978" s="71"/>
    </row>
    <row r="3979">
      <c r="A3979" s="70"/>
      <c r="B3979" s="71"/>
    </row>
    <row r="3980">
      <c r="A3980" s="70"/>
      <c r="B3980" s="71"/>
    </row>
    <row r="3981">
      <c r="A3981" s="70"/>
      <c r="B3981" s="71"/>
    </row>
    <row r="3982">
      <c r="A3982" s="70"/>
      <c r="B3982" s="71"/>
    </row>
    <row r="3983">
      <c r="A3983" s="70"/>
      <c r="B3983" s="71"/>
    </row>
    <row r="3984">
      <c r="A3984" s="70"/>
      <c r="B3984" s="71"/>
    </row>
    <row r="3985">
      <c r="A3985" s="70"/>
      <c r="B3985" s="71"/>
    </row>
    <row r="3986">
      <c r="A3986" s="70"/>
      <c r="B3986" s="71"/>
    </row>
    <row r="3987">
      <c r="A3987" s="70"/>
      <c r="B3987" s="71"/>
    </row>
    <row r="3988">
      <c r="A3988" s="70"/>
      <c r="B3988" s="71"/>
    </row>
    <row r="3989">
      <c r="A3989" s="70"/>
      <c r="B3989" s="71"/>
    </row>
    <row r="3990">
      <c r="A3990" s="70"/>
      <c r="B3990" s="71"/>
    </row>
    <row r="3991">
      <c r="A3991" s="70"/>
      <c r="B3991" s="71"/>
    </row>
    <row r="3992">
      <c r="A3992" s="70"/>
      <c r="B3992" s="71"/>
    </row>
    <row r="3993">
      <c r="A3993" s="70"/>
      <c r="B3993" s="71"/>
    </row>
    <row r="3994">
      <c r="A3994" s="70"/>
      <c r="B3994" s="71"/>
    </row>
    <row r="3995">
      <c r="A3995" s="70"/>
      <c r="B3995" s="71"/>
    </row>
    <row r="3996">
      <c r="A3996" s="70"/>
      <c r="B3996" s="71"/>
    </row>
    <row r="3997">
      <c r="A3997" s="70"/>
      <c r="B3997" s="71"/>
    </row>
    <row r="3998">
      <c r="A3998" s="70"/>
      <c r="B3998" s="71"/>
    </row>
    <row r="3999">
      <c r="A3999" s="70"/>
      <c r="B3999" s="71"/>
    </row>
    <row r="4000">
      <c r="A4000" s="70"/>
      <c r="B4000" s="71"/>
    </row>
    <row r="4001">
      <c r="A4001" s="70"/>
      <c r="B4001" s="71"/>
    </row>
    <row r="4002">
      <c r="A4002" s="70"/>
      <c r="B4002" s="71"/>
    </row>
    <row r="4003">
      <c r="A4003" s="70"/>
      <c r="B4003" s="71"/>
    </row>
    <row r="4004">
      <c r="A4004" s="70"/>
      <c r="B4004" s="71"/>
    </row>
    <row r="4005">
      <c r="A4005" s="70"/>
      <c r="B4005" s="71"/>
    </row>
    <row r="4006">
      <c r="A4006" s="70"/>
      <c r="B4006" s="71"/>
    </row>
    <row r="4007">
      <c r="A4007" s="70"/>
      <c r="B4007" s="71"/>
    </row>
    <row r="4008">
      <c r="A4008" s="70"/>
      <c r="B4008" s="71"/>
    </row>
    <row r="4009">
      <c r="A4009" s="70"/>
      <c r="B4009" s="71"/>
    </row>
    <row r="4010">
      <c r="A4010" s="70"/>
      <c r="B4010" s="71"/>
    </row>
    <row r="4011">
      <c r="A4011" s="70"/>
      <c r="B4011" s="71"/>
    </row>
    <row r="4012">
      <c r="A4012" s="70"/>
      <c r="B4012" s="71"/>
    </row>
    <row r="4013">
      <c r="A4013" s="70"/>
      <c r="B4013" s="71"/>
    </row>
    <row r="4014">
      <c r="A4014" s="70"/>
      <c r="B4014" s="71"/>
    </row>
    <row r="4015">
      <c r="A4015" s="70"/>
      <c r="B4015" s="71"/>
    </row>
    <row r="4016">
      <c r="A4016" s="70"/>
      <c r="B4016" s="71"/>
    </row>
    <row r="4017">
      <c r="A4017" s="70"/>
      <c r="B4017" s="71"/>
    </row>
    <row r="4018">
      <c r="A4018" s="70"/>
      <c r="B4018" s="71"/>
    </row>
    <row r="4019">
      <c r="A4019" s="70"/>
      <c r="B4019" s="71"/>
    </row>
    <row r="4020">
      <c r="A4020" s="70"/>
      <c r="B4020" s="71"/>
    </row>
    <row r="4021">
      <c r="A4021" s="70"/>
      <c r="B4021" s="71"/>
    </row>
    <row r="4022">
      <c r="A4022" s="70"/>
      <c r="B4022" s="71"/>
    </row>
    <row r="4023">
      <c r="A4023" s="70"/>
      <c r="B4023" s="71"/>
    </row>
    <row r="4024">
      <c r="A4024" s="70"/>
      <c r="B4024" s="71"/>
    </row>
    <row r="4025">
      <c r="A4025" s="70"/>
      <c r="B4025" s="71"/>
    </row>
    <row r="4026">
      <c r="A4026" s="70"/>
      <c r="B4026" s="71"/>
    </row>
    <row r="4027">
      <c r="A4027" s="70"/>
      <c r="B4027" s="71"/>
    </row>
    <row r="4028">
      <c r="A4028" s="70"/>
      <c r="B4028" s="71"/>
    </row>
    <row r="4029">
      <c r="A4029" s="70"/>
      <c r="B4029" s="71"/>
    </row>
    <row r="4030">
      <c r="A4030" s="70"/>
      <c r="B4030" s="71"/>
    </row>
    <row r="4031">
      <c r="A4031" s="70"/>
      <c r="B4031" s="71"/>
    </row>
    <row r="4032">
      <c r="A4032" s="70"/>
      <c r="B4032" s="71"/>
    </row>
    <row r="4033">
      <c r="A4033" s="70"/>
      <c r="B4033" s="71"/>
    </row>
    <row r="4034">
      <c r="A4034" s="70"/>
      <c r="B4034" s="71"/>
    </row>
    <row r="4035">
      <c r="A4035" s="70"/>
      <c r="B4035" s="71"/>
    </row>
    <row r="4036">
      <c r="A4036" s="70"/>
      <c r="B4036" s="71"/>
    </row>
    <row r="4037">
      <c r="A4037" s="70"/>
      <c r="B4037" s="71"/>
    </row>
    <row r="4038">
      <c r="A4038" s="70"/>
      <c r="B4038" s="71"/>
    </row>
    <row r="4039">
      <c r="A4039" s="70"/>
      <c r="B4039" s="71"/>
    </row>
    <row r="4040">
      <c r="A4040" s="70"/>
      <c r="B4040" s="71"/>
    </row>
    <row r="4041">
      <c r="A4041" s="70"/>
      <c r="B4041" s="71"/>
    </row>
    <row r="4042">
      <c r="A4042" s="70"/>
      <c r="B4042" s="71"/>
    </row>
    <row r="4043">
      <c r="A4043" s="70"/>
      <c r="B4043" s="71"/>
    </row>
    <row r="4044">
      <c r="A4044" s="70"/>
      <c r="B4044" s="71"/>
    </row>
    <row r="4045">
      <c r="A4045" s="70"/>
      <c r="B4045" s="71"/>
    </row>
    <row r="4046">
      <c r="A4046" s="70"/>
      <c r="B4046" s="71"/>
    </row>
    <row r="4047">
      <c r="A4047" s="70"/>
      <c r="B4047" s="71"/>
    </row>
    <row r="4048">
      <c r="A4048" s="70"/>
      <c r="B4048" s="71"/>
    </row>
    <row r="4049">
      <c r="A4049" s="70"/>
      <c r="B4049" s="71"/>
    </row>
    <row r="4050">
      <c r="A4050" s="70"/>
      <c r="B4050" s="71"/>
    </row>
    <row r="4051">
      <c r="A4051" s="70"/>
      <c r="B4051" s="71"/>
    </row>
    <row r="4052">
      <c r="A4052" s="70"/>
      <c r="B4052" s="71"/>
    </row>
    <row r="4053">
      <c r="A4053" s="70"/>
      <c r="B4053" s="71"/>
    </row>
    <row r="4054">
      <c r="A4054" s="70"/>
      <c r="B4054" s="71"/>
    </row>
    <row r="4055">
      <c r="A4055" s="70"/>
      <c r="B4055" s="71"/>
    </row>
    <row r="4056">
      <c r="A4056" s="70"/>
      <c r="B4056" s="71"/>
    </row>
    <row r="4057">
      <c r="A4057" s="70"/>
      <c r="B4057" s="71"/>
    </row>
    <row r="4058">
      <c r="A4058" s="70"/>
      <c r="B4058" s="71"/>
    </row>
    <row r="4059">
      <c r="A4059" s="70"/>
      <c r="B4059" s="71"/>
    </row>
    <row r="4060">
      <c r="A4060" s="70"/>
      <c r="B4060" s="71"/>
    </row>
    <row r="4061">
      <c r="A4061" s="70"/>
      <c r="B4061" s="71"/>
    </row>
    <row r="4062">
      <c r="A4062" s="70"/>
      <c r="B4062" s="71"/>
    </row>
    <row r="4063">
      <c r="A4063" s="70"/>
      <c r="B4063" s="71"/>
    </row>
    <row r="4064">
      <c r="A4064" s="70"/>
      <c r="B4064" s="71"/>
    </row>
    <row r="4065">
      <c r="A4065" s="70"/>
      <c r="B4065" s="71"/>
    </row>
    <row r="4066">
      <c r="A4066" s="70"/>
      <c r="B4066" s="71"/>
    </row>
    <row r="4067">
      <c r="A4067" s="70"/>
      <c r="B4067" s="71"/>
    </row>
    <row r="4068">
      <c r="A4068" s="70"/>
      <c r="B4068" s="71"/>
    </row>
    <row r="4069">
      <c r="A4069" s="70"/>
      <c r="B4069" s="71"/>
    </row>
    <row r="4070">
      <c r="A4070" s="70"/>
      <c r="B4070" s="71"/>
    </row>
    <row r="4071">
      <c r="A4071" s="70"/>
      <c r="B4071" s="71"/>
    </row>
    <row r="4072">
      <c r="A4072" s="70"/>
      <c r="B4072" s="71"/>
    </row>
    <row r="4073">
      <c r="A4073" s="70"/>
      <c r="B4073" s="71"/>
    </row>
    <row r="4074">
      <c r="A4074" s="70"/>
      <c r="B4074" s="71"/>
    </row>
    <row r="4075">
      <c r="A4075" s="70"/>
      <c r="B4075" s="71"/>
    </row>
    <row r="4076">
      <c r="A4076" s="70"/>
      <c r="B4076" s="71"/>
    </row>
    <row r="4077">
      <c r="A4077" s="70"/>
      <c r="B4077" s="71"/>
    </row>
    <row r="4078">
      <c r="A4078" s="70"/>
      <c r="B4078" s="71"/>
    </row>
    <row r="4079">
      <c r="A4079" s="70"/>
      <c r="B4079" s="71"/>
    </row>
    <row r="4080">
      <c r="A4080" s="70"/>
      <c r="B4080" s="71"/>
    </row>
    <row r="4081">
      <c r="A4081" s="70"/>
      <c r="B4081" s="71"/>
    </row>
    <row r="4082">
      <c r="A4082" s="70"/>
      <c r="B4082" s="71"/>
    </row>
    <row r="4083">
      <c r="A4083" s="70"/>
      <c r="B4083" s="71"/>
    </row>
    <row r="4084">
      <c r="A4084" s="70"/>
      <c r="B4084" s="71"/>
    </row>
    <row r="4085">
      <c r="A4085" s="70"/>
      <c r="B4085" s="71"/>
    </row>
    <row r="4086">
      <c r="A4086" s="70"/>
      <c r="B4086" s="71"/>
    </row>
    <row r="4087">
      <c r="A4087" s="70"/>
      <c r="B4087" s="71"/>
    </row>
    <row r="4088">
      <c r="A4088" s="70"/>
      <c r="B4088" s="71"/>
    </row>
    <row r="4089">
      <c r="A4089" s="70"/>
      <c r="B4089" s="71"/>
    </row>
    <row r="4090">
      <c r="A4090" s="70"/>
      <c r="B4090" s="71"/>
    </row>
    <row r="4091">
      <c r="A4091" s="70"/>
      <c r="B4091" s="71"/>
    </row>
    <row r="4092">
      <c r="A4092" s="70"/>
      <c r="B4092" s="71"/>
    </row>
    <row r="4093">
      <c r="A4093" s="70"/>
      <c r="B4093" s="71"/>
    </row>
    <row r="4094">
      <c r="A4094" s="70"/>
      <c r="B4094" s="71"/>
    </row>
    <row r="4095">
      <c r="A4095" s="70"/>
      <c r="B4095" s="71"/>
    </row>
    <row r="4096">
      <c r="A4096" s="70"/>
      <c r="B4096" s="71"/>
    </row>
    <row r="4097">
      <c r="A4097" s="70"/>
      <c r="B4097" s="71"/>
    </row>
    <row r="4098">
      <c r="A4098" s="70"/>
      <c r="B4098" s="71"/>
    </row>
    <row r="4099">
      <c r="A4099" s="70"/>
      <c r="B4099" s="71"/>
    </row>
    <row r="4100">
      <c r="A4100" s="70"/>
      <c r="B4100" s="71"/>
    </row>
    <row r="4101">
      <c r="A4101" s="70"/>
      <c r="B4101" s="71"/>
    </row>
    <row r="4102">
      <c r="A4102" s="70"/>
      <c r="B4102" s="71"/>
    </row>
    <row r="4103">
      <c r="A4103" s="70"/>
      <c r="B4103" s="71"/>
    </row>
    <row r="4104">
      <c r="A4104" s="70"/>
      <c r="B4104" s="71"/>
    </row>
    <row r="4105">
      <c r="A4105" s="70"/>
      <c r="B4105" s="71"/>
    </row>
    <row r="4106">
      <c r="A4106" s="70"/>
      <c r="B4106" s="71"/>
    </row>
    <row r="4107">
      <c r="A4107" s="70"/>
      <c r="B4107" s="71"/>
    </row>
    <row r="4108">
      <c r="A4108" s="70"/>
      <c r="B4108" s="71"/>
    </row>
    <row r="4109">
      <c r="A4109" s="70"/>
      <c r="B4109" s="71"/>
    </row>
    <row r="4110">
      <c r="A4110" s="70"/>
      <c r="B4110" s="71"/>
    </row>
    <row r="4111">
      <c r="A4111" s="70"/>
      <c r="B4111" s="71"/>
    </row>
    <row r="4112">
      <c r="A4112" s="70"/>
      <c r="B4112" s="71"/>
    </row>
    <row r="4113">
      <c r="A4113" s="70"/>
      <c r="B4113" s="71"/>
    </row>
    <row r="4114">
      <c r="A4114" s="70"/>
      <c r="B4114" s="71"/>
    </row>
    <row r="4115">
      <c r="A4115" s="70"/>
      <c r="B4115" s="71"/>
    </row>
    <row r="4116">
      <c r="A4116" s="70"/>
      <c r="B4116" s="71"/>
    </row>
    <row r="4117">
      <c r="A4117" s="70"/>
      <c r="B4117" s="71"/>
    </row>
    <row r="4118">
      <c r="A4118" s="70"/>
      <c r="B4118" s="71"/>
    </row>
    <row r="4119">
      <c r="A4119" s="70"/>
      <c r="B4119" s="71"/>
    </row>
    <row r="4120">
      <c r="A4120" s="70"/>
      <c r="B4120" s="71"/>
    </row>
    <row r="4121">
      <c r="A4121" s="70"/>
      <c r="B4121" s="71"/>
    </row>
    <row r="4122">
      <c r="A4122" s="70"/>
      <c r="B4122" s="71"/>
    </row>
    <row r="4123">
      <c r="A4123" s="70"/>
      <c r="B4123" s="71"/>
    </row>
    <row r="4124">
      <c r="A4124" s="70"/>
      <c r="B4124" s="71"/>
    </row>
    <row r="4125">
      <c r="A4125" s="70"/>
      <c r="B4125" s="71"/>
    </row>
    <row r="4126">
      <c r="A4126" s="70"/>
      <c r="B4126" s="71"/>
    </row>
    <row r="4127">
      <c r="A4127" s="70"/>
      <c r="B4127" s="71"/>
    </row>
    <row r="4128">
      <c r="A4128" s="70"/>
      <c r="B4128" s="71"/>
    </row>
    <row r="4129">
      <c r="A4129" s="70"/>
      <c r="B4129" s="71"/>
    </row>
    <row r="4130">
      <c r="A4130" s="70"/>
      <c r="B4130" s="71"/>
    </row>
    <row r="4131">
      <c r="A4131" s="70"/>
      <c r="B4131" s="71"/>
    </row>
    <row r="4132">
      <c r="A4132" s="70"/>
      <c r="B4132" s="71"/>
    </row>
    <row r="4133">
      <c r="A4133" s="70"/>
      <c r="B4133" s="71"/>
    </row>
    <row r="4134">
      <c r="A4134" s="70"/>
      <c r="B4134" s="71"/>
    </row>
    <row r="4135">
      <c r="A4135" s="70"/>
      <c r="B4135" s="71"/>
    </row>
    <row r="4136">
      <c r="A4136" s="70"/>
      <c r="B4136" s="71"/>
    </row>
    <row r="4137">
      <c r="A4137" s="70"/>
      <c r="B4137" s="71"/>
    </row>
    <row r="4138">
      <c r="A4138" s="70"/>
      <c r="B4138" s="71"/>
    </row>
    <row r="4139">
      <c r="A4139" s="70"/>
      <c r="B4139" s="71"/>
    </row>
    <row r="4140">
      <c r="A4140" s="70"/>
      <c r="B4140" s="71"/>
    </row>
    <row r="4141">
      <c r="A4141" s="70"/>
      <c r="B4141" s="71"/>
    </row>
    <row r="4142">
      <c r="A4142" s="70"/>
      <c r="B4142" s="71"/>
    </row>
    <row r="4143">
      <c r="A4143" s="70"/>
      <c r="B4143" s="71"/>
    </row>
    <row r="4144">
      <c r="A4144" s="70"/>
      <c r="B4144" s="71"/>
    </row>
    <row r="4145">
      <c r="A4145" s="70"/>
      <c r="B4145" s="71"/>
    </row>
    <row r="4146">
      <c r="A4146" s="70"/>
      <c r="B4146" s="71"/>
    </row>
    <row r="4147">
      <c r="A4147" s="70"/>
      <c r="B4147" s="71"/>
    </row>
    <row r="4148">
      <c r="A4148" s="70"/>
      <c r="B4148" s="71"/>
    </row>
    <row r="4149">
      <c r="A4149" s="70"/>
      <c r="B4149" s="71"/>
    </row>
    <row r="4150">
      <c r="A4150" s="70"/>
      <c r="B4150" s="71"/>
    </row>
    <row r="4151">
      <c r="A4151" s="70"/>
      <c r="B4151" s="71"/>
    </row>
    <row r="4152">
      <c r="A4152" s="70"/>
      <c r="B4152" s="71"/>
    </row>
    <row r="4153">
      <c r="A4153" s="70"/>
      <c r="B4153" s="71"/>
    </row>
    <row r="4154">
      <c r="A4154" s="70"/>
      <c r="B4154" s="71"/>
    </row>
    <row r="4155">
      <c r="A4155" s="70"/>
      <c r="B4155" s="71"/>
    </row>
    <row r="4156">
      <c r="A4156" s="70"/>
      <c r="B4156" s="71"/>
    </row>
    <row r="4157">
      <c r="A4157" s="70"/>
      <c r="B4157" s="71"/>
    </row>
    <row r="4158">
      <c r="A4158" s="70"/>
      <c r="B4158" s="71"/>
    </row>
    <row r="4159">
      <c r="A4159" s="70"/>
      <c r="B4159" s="71"/>
    </row>
    <row r="4160">
      <c r="A4160" s="70"/>
      <c r="B4160" s="71"/>
    </row>
    <row r="4161">
      <c r="A4161" s="70"/>
      <c r="B4161" s="71"/>
    </row>
    <row r="4162">
      <c r="A4162" s="70"/>
      <c r="B4162" s="71"/>
    </row>
    <row r="4163">
      <c r="A4163" s="70"/>
      <c r="B4163" s="71"/>
    </row>
    <row r="4164">
      <c r="A4164" s="70"/>
      <c r="B4164" s="71"/>
    </row>
    <row r="4165">
      <c r="A4165" s="70"/>
      <c r="B4165" s="71"/>
    </row>
    <row r="4166">
      <c r="A4166" s="70"/>
      <c r="B4166" s="71"/>
    </row>
    <row r="4167">
      <c r="A4167" s="70"/>
      <c r="B4167" s="71"/>
    </row>
    <row r="4168">
      <c r="A4168" s="70"/>
      <c r="B4168" s="71"/>
    </row>
    <row r="4169">
      <c r="A4169" s="70"/>
      <c r="B4169" s="71"/>
    </row>
    <row r="4170">
      <c r="A4170" s="70"/>
      <c r="B4170" s="71"/>
    </row>
    <row r="4171">
      <c r="A4171" s="70"/>
      <c r="B4171" s="71"/>
    </row>
    <row r="4172">
      <c r="A4172" s="70"/>
      <c r="B4172" s="71"/>
    </row>
    <row r="4173">
      <c r="A4173" s="70"/>
      <c r="B4173" s="71"/>
    </row>
    <row r="4174">
      <c r="A4174" s="70"/>
      <c r="B4174" s="71"/>
    </row>
    <row r="4175">
      <c r="A4175" s="70"/>
      <c r="B4175" s="71"/>
    </row>
    <row r="4176">
      <c r="A4176" s="70"/>
      <c r="B4176" s="71"/>
    </row>
    <row r="4177">
      <c r="A4177" s="70"/>
      <c r="B4177" s="71"/>
    </row>
    <row r="4178">
      <c r="A4178" s="70"/>
      <c r="B4178" s="71"/>
    </row>
    <row r="4179">
      <c r="A4179" s="70"/>
      <c r="B4179" s="71"/>
    </row>
    <row r="4180">
      <c r="A4180" s="70"/>
      <c r="B4180" s="71"/>
    </row>
    <row r="4181">
      <c r="A4181" s="70"/>
      <c r="B4181" s="71"/>
    </row>
    <row r="4182">
      <c r="A4182" s="70"/>
      <c r="B4182" s="71"/>
    </row>
    <row r="4183">
      <c r="A4183" s="70"/>
      <c r="B4183" s="71"/>
    </row>
    <row r="4184">
      <c r="A4184" s="70"/>
      <c r="B4184" s="71"/>
    </row>
    <row r="4185">
      <c r="A4185" s="70"/>
      <c r="B4185" s="71"/>
    </row>
    <row r="4186">
      <c r="A4186" s="70"/>
      <c r="B4186" s="71"/>
    </row>
    <row r="4187">
      <c r="A4187" s="70"/>
      <c r="B4187" s="71"/>
    </row>
    <row r="4188">
      <c r="A4188" s="70"/>
      <c r="B4188" s="71"/>
    </row>
    <row r="4189">
      <c r="A4189" s="70"/>
      <c r="B4189" s="71"/>
    </row>
    <row r="4190">
      <c r="A4190" s="70"/>
      <c r="B4190" s="71"/>
    </row>
    <row r="4191">
      <c r="A4191" s="70"/>
      <c r="B4191" s="71"/>
    </row>
    <row r="4192">
      <c r="A4192" s="70"/>
      <c r="B4192" s="71"/>
    </row>
    <row r="4193">
      <c r="A4193" s="70"/>
      <c r="B4193" s="71"/>
    </row>
    <row r="4194">
      <c r="A4194" s="70"/>
      <c r="B4194" s="71"/>
    </row>
    <row r="4195">
      <c r="A4195" s="70"/>
      <c r="B4195" s="71"/>
    </row>
    <row r="4196">
      <c r="A4196" s="70"/>
      <c r="B4196" s="71"/>
    </row>
    <row r="4197">
      <c r="A4197" s="70"/>
      <c r="B4197" s="71"/>
    </row>
    <row r="4198">
      <c r="A4198" s="70"/>
      <c r="B4198" s="71"/>
    </row>
    <row r="4199">
      <c r="A4199" s="70"/>
      <c r="B4199" s="71"/>
    </row>
    <row r="4200">
      <c r="A4200" s="70"/>
      <c r="B4200" s="71"/>
    </row>
    <row r="4201">
      <c r="A4201" s="70"/>
      <c r="B4201" s="71"/>
    </row>
    <row r="4202">
      <c r="A4202" s="70"/>
      <c r="B4202" s="71"/>
    </row>
    <row r="4203">
      <c r="A4203" s="70"/>
      <c r="B4203" s="71"/>
    </row>
    <row r="4204">
      <c r="A4204" s="70"/>
      <c r="B4204" s="71"/>
    </row>
    <row r="4205">
      <c r="A4205" s="70"/>
      <c r="B4205" s="71"/>
    </row>
    <row r="4206">
      <c r="A4206" s="70"/>
      <c r="B4206" s="71"/>
    </row>
    <row r="4207">
      <c r="A4207" s="70"/>
      <c r="B4207" s="71"/>
    </row>
    <row r="4208">
      <c r="A4208" s="70"/>
      <c r="B4208" s="71"/>
    </row>
    <row r="4209">
      <c r="A4209" s="70"/>
      <c r="B4209" s="71"/>
    </row>
  </sheetData>
  <mergeCells count="1">
    <mergeCell ref="A1:B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3" t="s">
        <v>2505</v>
      </c>
    </row>
    <row r="2">
      <c r="A2" s="66" t="s">
        <v>97</v>
      </c>
      <c r="B2" s="67" t="s">
        <v>18</v>
      </c>
    </row>
    <row r="3">
      <c r="A3" s="74">
        <v>43402.0</v>
      </c>
      <c r="B3" s="75" t="s">
        <v>2506</v>
      </c>
    </row>
    <row r="4">
      <c r="A4" s="74">
        <v>43403.0</v>
      </c>
      <c r="B4" s="75" t="s">
        <v>2507</v>
      </c>
    </row>
    <row r="5">
      <c r="A5" s="74">
        <v>43404.0</v>
      </c>
      <c r="B5" s="75" t="s">
        <v>2508</v>
      </c>
    </row>
    <row r="6">
      <c r="A6" s="74">
        <v>43405.0</v>
      </c>
      <c r="B6" s="75" t="s">
        <v>2509</v>
      </c>
    </row>
    <row r="7">
      <c r="A7" s="74">
        <v>43406.0</v>
      </c>
      <c r="B7" s="75" t="s">
        <v>2510</v>
      </c>
    </row>
    <row r="8">
      <c r="A8" s="74">
        <v>43407.0</v>
      </c>
      <c r="B8" s="75" t="s">
        <v>2510</v>
      </c>
    </row>
    <row r="9">
      <c r="A9" s="74">
        <v>43408.0</v>
      </c>
      <c r="B9" s="75" t="s">
        <v>2510</v>
      </c>
    </row>
    <row r="10">
      <c r="A10" s="74">
        <v>43409.0</v>
      </c>
      <c r="B10" s="75" t="s">
        <v>2511</v>
      </c>
    </row>
    <row r="11">
      <c r="A11" s="74">
        <v>43410.0</v>
      </c>
      <c r="B11" s="75" t="s">
        <v>2512</v>
      </c>
    </row>
    <row r="12">
      <c r="A12" s="74">
        <v>43411.0</v>
      </c>
      <c r="B12" s="75" t="s">
        <v>2513</v>
      </c>
    </row>
    <row r="13">
      <c r="A13" s="74">
        <v>43412.0</v>
      </c>
      <c r="B13" s="75" t="s">
        <v>2514</v>
      </c>
    </row>
    <row r="14">
      <c r="A14" s="74">
        <v>43413.0</v>
      </c>
      <c r="B14" s="75" t="s">
        <v>2515</v>
      </c>
    </row>
    <row r="15">
      <c r="A15" s="74">
        <v>43414.0</v>
      </c>
      <c r="B15" s="75" t="s">
        <v>2515</v>
      </c>
    </row>
    <row r="16">
      <c r="A16" s="74">
        <v>43415.0</v>
      </c>
      <c r="B16" s="75" t="s">
        <v>2515</v>
      </c>
    </row>
    <row r="17">
      <c r="A17" s="74">
        <v>43416.0</v>
      </c>
      <c r="B17" s="75" t="s">
        <v>2515</v>
      </c>
    </row>
    <row r="18">
      <c r="A18" s="74">
        <v>43417.0</v>
      </c>
      <c r="B18" s="75" t="s">
        <v>2516</v>
      </c>
    </row>
    <row r="19">
      <c r="A19" s="74">
        <v>43418.0</v>
      </c>
      <c r="B19" s="75" t="s">
        <v>2517</v>
      </c>
    </row>
    <row r="20">
      <c r="A20" s="74">
        <v>43419.0</v>
      </c>
      <c r="B20" s="75" t="s">
        <v>2518</v>
      </c>
    </row>
    <row r="21">
      <c r="A21" s="74">
        <v>43420.0</v>
      </c>
      <c r="B21" s="75" t="s">
        <v>2519</v>
      </c>
    </row>
    <row r="22">
      <c r="A22" s="74">
        <v>43421.0</v>
      </c>
      <c r="B22" s="75" t="s">
        <v>2519</v>
      </c>
    </row>
    <row r="23">
      <c r="A23" s="74">
        <v>43422.0</v>
      </c>
      <c r="B23" s="75" t="s">
        <v>2519</v>
      </c>
    </row>
    <row r="24">
      <c r="A24" s="74">
        <v>43423.0</v>
      </c>
      <c r="B24" s="75" t="s">
        <v>2519</v>
      </c>
    </row>
    <row r="25">
      <c r="A25" s="74">
        <v>43424.0</v>
      </c>
      <c r="B25" s="75" t="s">
        <v>2520</v>
      </c>
    </row>
    <row r="26">
      <c r="A26" s="74">
        <v>43425.0</v>
      </c>
      <c r="B26" s="75" t="s">
        <v>2521</v>
      </c>
    </row>
    <row r="27">
      <c r="A27" s="74">
        <v>43426.0</v>
      </c>
      <c r="B27" s="75" t="s">
        <v>2522</v>
      </c>
    </row>
    <row r="28">
      <c r="A28" s="74">
        <v>43427.0</v>
      </c>
      <c r="B28" s="75" t="s">
        <v>1298</v>
      </c>
    </row>
    <row r="29">
      <c r="A29" s="74">
        <v>43428.0</v>
      </c>
      <c r="B29" s="75" t="s">
        <v>1298</v>
      </c>
    </row>
    <row r="30">
      <c r="A30" s="74">
        <v>43429.0</v>
      </c>
      <c r="B30" s="75" t="s">
        <v>1298</v>
      </c>
    </row>
    <row r="31">
      <c r="A31" s="74">
        <v>43430.0</v>
      </c>
      <c r="B31" s="75" t="s">
        <v>2523</v>
      </c>
    </row>
    <row r="32">
      <c r="A32" s="74">
        <v>43431.0</v>
      </c>
      <c r="B32" s="75" t="s">
        <v>2524</v>
      </c>
    </row>
    <row r="33">
      <c r="A33" s="74">
        <v>43432.0</v>
      </c>
      <c r="B33" s="75" t="s">
        <v>2525</v>
      </c>
    </row>
    <row r="34">
      <c r="A34" s="74">
        <v>43433.0</v>
      </c>
      <c r="B34" s="75" t="s">
        <v>1302</v>
      </c>
    </row>
    <row r="35">
      <c r="A35" s="74">
        <v>43434.0</v>
      </c>
      <c r="B35" s="75" t="s">
        <v>1302</v>
      </c>
    </row>
    <row r="36">
      <c r="A36" s="74">
        <v>43435.0</v>
      </c>
      <c r="B36" s="75" t="s">
        <v>1302</v>
      </c>
    </row>
    <row r="37">
      <c r="A37" s="74">
        <v>43436.0</v>
      </c>
      <c r="B37" s="75" t="s">
        <v>1302</v>
      </c>
    </row>
    <row r="38">
      <c r="A38" s="74">
        <v>43437.0</v>
      </c>
      <c r="B38" s="75" t="s">
        <v>2526</v>
      </c>
    </row>
    <row r="39">
      <c r="A39" s="74">
        <v>43438.0</v>
      </c>
      <c r="B39" s="75" t="s">
        <v>1260</v>
      </c>
    </row>
    <row r="40">
      <c r="A40" s="74">
        <v>43439.0</v>
      </c>
      <c r="B40" s="75" t="s">
        <v>2527</v>
      </c>
    </row>
    <row r="41">
      <c r="A41" s="74">
        <v>43440.0</v>
      </c>
      <c r="B41" s="75" t="s">
        <v>2528</v>
      </c>
    </row>
    <row r="42">
      <c r="A42" s="74">
        <v>43441.0</v>
      </c>
      <c r="B42" s="75" t="s">
        <v>1329</v>
      </c>
    </row>
    <row r="43">
      <c r="A43" s="74">
        <v>43442.0</v>
      </c>
      <c r="B43" s="75" t="s">
        <v>1329</v>
      </c>
    </row>
    <row r="44">
      <c r="A44" s="74">
        <v>43443.0</v>
      </c>
      <c r="B44" s="75" t="s">
        <v>1329</v>
      </c>
    </row>
    <row r="45">
      <c r="A45" s="74">
        <v>43444.0</v>
      </c>
      <c r="B45" s="75" t="s">
        <v>2529</v>
      </c>
    </row>
    <row r="46">
      <c r="A46" s="74">
        <v>43445.0</v>
      </c>
      <c r="B46" s="75" t="s">
        <v>2530</v>
      </c>
    </row>
    <row r="47">
      <c r="A47" s="74">
        <v>43446.0</v>
      </c>
      <c r="B47" s="75" t="s">
        <v>2531</v>
      </c>
    </row>
    <row r="48">
      <c r="A48" s="74">
        <v>43447.0</v>
      </c>
      <c r="B48" s="75" t="s">
        <v>1317</v>
      </c>
    </row>
    <row r="49">
      <c r="A49" s="74">
        <v>43448.0</v>
      </c>
      <c r="B49" s="75" t="s">
        <v>2532</v>
      </c>
    </row>
    <row r="50">
      <c r="A50" s="74">
        <v>43449.0</v>
      </c>
      <c r="B50" s="75" t="s">
        <v>2532</v>
      </c>
    </row>
    <row r="51">
      <c r="A51" s="74">
        <v>43450.0</v>
      </c>
      <c r="B51" s="75" t="s">
        <v>2532</v>
      </c>
    </row>
    <row r="52">
      <c r="A52" s="74">
        <v>43451.0</v>
      </c>
      <c r="B52" s="75" t="s">
        <v>2533</v>
      </c>
    </row>
    <row r="53">
      <c r="A53" s="74">
        <v>43452.0</v>
      </c>
      <c r="B53" s="75" t="s">
        <v>2534</v>
      </c>
    </row>
    <row r="54">
      <c r="A54" s="74">
        <v>43453.0</v>
      </c>
      <c r="B54" s="75" t="s">
        <v>1301</v>
      </c>
    </row>
    <row r="55">
      <c r="A55" s="74">
        <v>43454.0</v>
      </c>
      <c r="B55" s="75" t="s">
        <v>2535</v>
      </c>
    </row>
    <row r="56">
      <c r="A56" s="74">
        <v>43455.0</v>
      </c>
      <c r="B56" s="75" t="s">
        <v>2536</v>
      </c>
    </row>
    <row r="57">
      <c r="A57" s="74">
        <v>43456.0</v>
      </c>
      <c r="B57" s="75" t="s">
        <v>2536</v>
      </c>
    </row>
    <row r="58">
      <c r="A58" s="74">
        <v>43457.0</v>
      </c>
      <c r="B58" s="75" t="s">
        <v>2536</v>
      </c>
    </row>
    <row r="59">
      <c r="A59" s="74">
        <v>43458.0</v>
      </c>
      <c r="B59" s="75" t="s">
        <v>2536</v>
      </c>
    </row>
    <row r="60">
      <c r="A60" s="74">
        <v>43459.0</v>
      </c>
      <c r="B60" s="75" t="s">
        <v>2536</v>
      </c>
    </row>
    <row r="61">
      <c r="A61" s="74">
        <v>43460.0</v>
      </c>
      <c r="B61" s="75" t="s">
        <v>2537</v>
      </c>
    </row>
    <row r="62">
      <c r="A62" s="74">
        <v>43461.0</v>
      </c>
      <c r="B62" s="75" t="s">
        <v>2538</v>
      </c>
    </row>
    <row r="63">
      <c r="A63" s="74">
        <v>43462.0</v>
      </c>
      <c r="B63" s="75" t="s">
        <v>2539</v>
      </c>
    </row>
    <row r="64">
      <c r="A64" s="74">
        <v>43463.0</v>
      </c>
      <c r="B64" s="75" t="s">
        <v>2539</v>
      </c>
    </row>
    <row r="65">
      <c r="A65" s="74">
        <v>43464.0</v>
      </c>
      <c r="B65" s="75" t="s">
        <v>2539</v>
      </c>
    </row>
    <row r="66">
      <c r="A66" s="74">
        <v>43465.0</v>
      </c>
      <c r="B66" s="75" t="s">
        <v>2539</v>
      </c>
    </row>
    <row r="67">
      <c r="A67" s="74">
        <v>43466.0</v>
      </c>
      <c r="B67" s="75" t="s">
        <v>2539</v>
      </c>
    </row>
    <row r="68">
      <c r="A68" s="74">
        <v>43467.0</v>
      </c>
      <c r="B68" s="75" t="s">
        <v>1268</v>
      </c>
    </row>
    <row r="69">
      <c r="A69" s="74">
        <v>43468.0</v>
      </c>
      <c r="B69" s="75" t="s">
        <v>1302</v>
      </c>
    </row>
    <row r="70">
      <c r="A70" s="74">
        <v>43469.0</v>
      </c>
      <c r="B70" s="75" t="s">
        <v>2540</v>
      </c>
    </row>
    <row r="71">
      <c r="A71" s="74">
        <v>43470.0</v>
      </c>
      <c r="B71" s="75" t="s">
        <v>2540</v>
      </c>
    </row>
    <row r="72">
      <c r="A72" s="74">
        <v>43471.0</v>
      </c>
      <c r="B72" s="75" t="s">
        <v>2540</v>
      </c>
    </row>
    <row r="73">
      <c r="A73" s="74">
        <v>43472.0</v>
      </c>
      <c r="B73" s="75" t="s">
        <v>2541</v>
      </c>
    </row>
    <row r="74">
      <c r="A74" s="74">
        <v>43473.0</v>
      </c>
      <c r="B74" s="75" t="s">
        <v>2531</v>
      </c>
    </row>
    <row r="75">
      <c r="A75" s="74">
        <v>43474.0</v>
      </c>
      <c r="B75" s="75" t="s">
        <v>1335</v>
      </c>
    </row>
    <row r="76">
      <c r="A76" s="74">
        <v>43475.0</v>
      </c>
      <c r="B76" s="75" t="s">
        <v>2542</v>
      </c>
    </row>
    <row r="77">
      <c r="A77" s="74">
        <v>43476.0</v>
      </c>
      <c r="B77" s="75" t="s">
        <v>1327</v>
      </c>
    </row>
    <row r="78">
      <c r="A78" s="74">
        <v>43477.0</v>
      </c>
      <c r="B78" s="75" t="s">
        <v>1327</v>
      </c>
    </row>
    <row r="79">
      <c r="A79" s="74">
        <v>43478.0</v>
      </c>
      <c r="B79" s="75" t="s">
        <v>1327</v>
      </c>
    </row>
    <row r="80">
      <c r="A80" s="74">
        <v>43479.0</v>
      </c>
      <c r="B80" s="75" t="s">
        <v>2543</v>
      </c>
    </row>
    <row r="81">
      <c r="A81" s="74">
        <v>43480.0</v>
      </c>
      <c r="B81" s="75" t="s">
        <v>2544</v>
      </c>
    </row>
    <row r="82">
      <c r="A82" s="74">
        <v>43481.0</v>
      </c>
      <c r="B82" s="75" t="s">
        <v>1329</v>
      </c>
    </row>
    <row r="83">
      <c r="A83" s="74">
        <v>43482.0</v>
      </c>
      <c r="B83" s="75" t="s">
        <v>1340</v>
      </c>
    </row>
    <row r="84">
      <c r="A84" s="74">
        <v>43483.0</v>
      </c>
      <c r="B84" s="75" t="s">
        <v>1268</v>
      </c>
    </row>
    <row r="85">
      <c r="A85" s="74">
        <v>43484.0</v>
      </c>
      <c r="B85" s="75" t="s">
        <v>1268</v>
      </c>
    </row>
    <row r="86">
      <c r="A86" s="74">
        <v>43485.0</v>
      </c>
      <c r="B86" s="75" t="s">
        <v>1268</v>
      </c>
    </row>
    <row r="87">
      <c r="A87" s="74">
        <v>43486.0</v>
      </c>
      <c r="B87" s="75" t="s">
        <v>1332</v>
      </c>
    </row>
    <row r="88">
      <c r="A88" s="74">
        <v>43487.0</v>
      </c>
      <c r="B88" s="75" t="s">
        <v>1302</v>
      </c>
    </row>
    <row r="89">
      <c r="A89" s="74">
        <v>43488.0</v>
      </c>
      <c r="B89" s="75" t="s">
        <v>1310</v>
      </c>
    </row>
    <row r="90">
      <c r="A90" s="74">
        <v>43489.0</v>
      </c>
      <c r="B90" s="75" t="s">
        <v>1321</v>
      </c>
    </row>
    <row r="91">
      <c r="A91" s="74">
        <v>43490.0</v>
      </c>
      <c r="B91" s="75" t="s">
        <v>2545</v>
      </c>
    </row>
    <row r="92">
      <c r="A92" s="74">
        <v>43491.0</v>
      </c>
      <c r="B92" s="75" t="s">
        <v>2545</v>
      </c>
    </row>
    <row r="93">
      <c r="A93" s="74">
        <v>43492.0</v>
      </c>
      <c r="B93" s="75" t="s">
        <v>2545</v>
      </c>
    </row>
    <row r="94">
      <c r="A94" s="74">
        <v>43493.0</v>
      </c>
      <c r="B94" s="75" t="s">
        <v>2546</v>
      </c>
    </row>
    <row r="95">
      <c r="A95" s="74">
        <v>43494.0</v>
      </c>
      <c r="B95" s="75" t="s">
        <v>1303</v>
      </c>
    </row>
    <row r="96">
      <c r="A96" s="74">
        <v>43495.0</v>
      </c>
      <c r="B96" s="75" t="s">
        <v>2527</v>
      </c>
    </row>
    <row r="97">
      <c r="A97" s="74">
        <v>43496.0</v>
      </c>
      <c r="B97" s="75" t="s">
        <v>1336</v>
      </c>
    </row>
    <row r="98">
      <c r="A98" s="74">
        <v>43497.0</v>
      </c>
      <c r="B98" s="75" t="s">
        <v>2547</v>
      </c>
    </row>
    <row r="99">
      <c r="A99" s="74">
        <v>43498.0</v>
      </c>
      <c r="B99" s="75" t="s">
        <v>2547</v>
      </c>
    </row>
    <row r="100">
      <c r="A100" s="74">
        <v>43499.0</v>
      </c>
      <c r="B100" s="75" t="s">
        <v>2547</v>
      </c>
    </row>
    <row r="101">
      <c r="A101" s="74">
        <v>43500.0</v>
      </c>
      <c r="B101" s="75" t="s">
        <v>2548</v>
      </c>
    </row>
    <row r="102">
      <c r="A102" s="74">
        <v>43501.0</v>
      </c>
      <c r="B102" s="75" t="s">
        <v>2546</v>
      </c>
    </row>
    <row r="103">
      <c r="A103" s="74">
        <v>43502.0</v>
      </c>
      <c r="B103" s="75" t="s">
        <v>1302</v>
      </c>
    </row>
    <row r="104">
      <c r="A104" s="74">
        <v>43503.0</v>
      </c>
      <c r="B104" s="75" t="s">
        <v>2549</v>
      </c>
    </row>
    <row r="105">
      <c r="A105" s="74">
        <v>43504.0</v>
      </c>
      <c r="B105" s="75" t="s">
        <v>2550</v>
      </c>
    </row>
    <row r="106">
      <c r="A106" s="74">
        <v>43505.0</v>
      </c>
      <c r="B106" s="75" t="s">
        <v>2550</v>
      </c>
    </row>
    <row r="107">
      <c r="A107" s="74">
        <v>43506.0</v>
      </c>
      <c r="B107" s="75" t="s">
        <v>2550</v>
      </c>
    </row>
    <row r="108">
      <c r="A108" s="74">
        <v>43507.0</v>
      </c>
      <c r="B108" s="75" t="s">
        <v>2551</v>
      </c>
    </row>
    <row r="109">
      <c r="A109" s="74">
        <v>43508.0</v>
      </c>
      <c r="B109" s="75" t="s">
        <v>2552</v>
      </c>
    </row>
    <row r="110">
      <c r="A110" s="74">
        <v>43509.0</v>
      </c>
      <c r="B110" s="75" t="s">
        <v>2553</v>
      </c>
    </row>
    <row r="111">
      <c r="A111" s="74">
        <v>43510.0</v>
      </c>
      <c r="B111" s="75" t="s">
        <v>2554</v>
      </c>
    </row>
    <row r="112">
      <c r="A112" s="74">
        <v>43511.0</v>
      </c>
      <c r="B112" s="75" t="s">
        <v>2555</v>
      </c>
    </row>
    <row r="113">
      <c r="A113" s="74">
        <v>43512.0</v>
      </c>
      <c r="B113" s="75" t="s">
        <v>2555</v>
      </c>
    </row>
    <row r="114">
      <c r="A114" s="74">
        <v>43513.0</v>
      </c>
      <c r="B114" s="75" t="s">
        <v>2555</v>
      </c>
    </row>
    <row r="115">
      <c r="A115" s="74">
        <v>43514.0</v>
      </c>
      <c r="B115" s="75" t="s">
        <v>2556</v>
      </c>
    </row>
    <row r="116">
      <c r="A116" s="74">
        <v>43515.0</v>
      </c>
      <c r="B116" s="75" t="s">
        <v>2557</v>
      </c>
    </row>
    <row r="117">
      <c r="A117" s="74">
        <v>43516.0</v>
      </c>
      <c r="B117" s="75" t="s">
        <v>2558</v>
      </c>
    </row>
    <row r="118">
      <c r="A118" s="74">
        <v>43517.0</v>
      </c>
      <c r="B118" s="75" t="s">
        <v>2558</v>
      </c>
    </row>
    <row r="119">
      <c r="A119" s="74">
        <v>43518.0</v>
      </c>
      <c r="B119" s="75" t="s">
        <v>2559</v>
      </c>
    </row>
    <row r="120">
      <c r="A120" s="74">
        <v>43519.0</v>
      </c>
      <c r="B120" s="75" t="s">
        <v>2559</v>
      </c>
    </row>
    <row r="121">
      <c r="A121" s="74">
        <v>43520.0</v>
      </c>
      <c r="B121" s="75" t="s">
        <v>2559</v>
      </c>
    </row>
    <row r="122">
      <c r="A122" s="74">
        <v>43521.0</v>
      </c>
      <c r="B122" s="75" t="s">
        <v>2560</v>
      </c>
    </row>
    <row r="123">
      <c r="A123" s="74">
        <v>43522.0</v>
      </c>
      <c r="B123" s="75" t="s">
        <v>2561</v>
      </c>
    </row>
    <row r="124">
      <c r="A124" s="74">
        <v>43523.0</v>
      </c>
      <c r="B124" s="75" t="s">
        <v>2561</v>
      </c>
    </row>
    <row r="125">
      <c r="A125" s="74">
        <v>43524.0</v>
      </c>
      <c r="B125" s="75" t="s">
        <v>2562</v>
      </c>
    </row>
    <row r="126">
      <c r="A126" s="74">
        <v>43525.0</v>
      </c>
      <c r="B126" s="75" t="s">
        <v>2563</v>
      </c>
    </row>
    <row r="127">
      <c r="A127" s="74">
        <v>43526.0</v>
      </c>
      <c r="B127" s="75" t="s">
        <v>2563</v>
      </c>
    </row>
    <row r="128">
      <c r="A128" s="74">
        <v>43527.0</v>
      </c>
      <c r="B128" s="75" t="s">
        <v>2563</v>
      </c>
    </row>
    <row r="129">
      <c r="A129" s="74">
        <v>43528.0</v>
      </c>
      <c r="B129" s="75" t="s">
        <v>2563</v>
      </c>
    </row>
    <row r="130">
      <c r="A130" s="74">
        <v>43529.0</v>
      </c>
      <c r="B130" s="75" t="s">
        <v>2563</v>
      </c>
    </row>
    <row r="131">
      <c r="A131" s="74">
        <v>43530.0</v>
      </c>
      <c r="B131" s="75" t="s">
        <v>2564</v>
      </c>
    </row>
    <row r="132">
      <c r="A132" s="74">
        <v>43531.0</v>
      </c>
      <c r="B132" s="75" t="s">
        <v>2565</v>
      </c>
    </row>
    <row r="133">
      <c r="A133" s="74">
        <v>43532.0</v>
      </c>
      <c r="B133" s="75" t="s">
        <v>2566</v>
      </c>
    </row>
    <row r="134">
      <c r="A134" s="74">
        <v>43533.0</v>
      </c>
      <c r="B134" s="75" t="s">
        <v>2566</v>
      </c>
    </row>
    <row r="135">
      <c r="A135" s="74">
        <v>43534.0</v>
      </c>
      <c r="B135" s="75" t="s">
        <v>2566</v>
      </c>
    </row>
    <row r="136">
      <c r="A136" s="74">
        <v>43535.0</v>
      </c>
      <c r="B136" s="75" t="s">
        <v>2567</v>
      </c>
    </row>
    <row r="137">
      <c r="A137" s="74">
        <v>43536.0</v>
      </c>
      <c r="B137" s="75" t="s">
        <v>2568</v>
      </c>
    </row>
    <row r="138">
      <c r="A138" s="74">
        <v>43537.0</v>
      </c>
      <c r="B138" s="75" t="s">
        <v>2569</v>
      </c>
    </row>
    <row r="139">
      <c r="A139" s="74">
        <v>43538.0</v>
      </c>
      <c r="B139" s="75" t="s">
        <v>2570</v>
      </c>
    </row>
    <row r="140">
      <c r="A140" s="74">
        <v>43539.0</v>
      </c>
      <c r="B140" s="75" t="s">
        <v>1257</v>
      </c>
    </row>
    <row r="141">
      <c r="A141" s="74">
        <v>43540.0</v>
      </c>
      <c r="B141" s="75" t="s">
        <v>1257</v>
      </c>
    </row>
    <row r="142">
      <c r="A142" s="74">
        <v>43541.0</v>
      </c>
      <c r="B142" s="75" t="s">
        <v>1257</v>
      </c>
    </row>
    <row r="143">
      <c r="A143" s="74">
        <v>43542.0</v>
      </c>
      <c r="B143" s="75" t="s">
        <v>2571</v>
      </c>
    </row>
    <row r="144">
      <c r="A144" s="74">
        <v>43543.0</v>
      </c>
      <c r="B144" s="75" t="s">
        <v>2572</v>
      </c>
    </row>
    <row r="145">
      <c r="A145" s="74">
        <v>43544.0</v>
      </c>
      <c r="B145" s="75" t="s">
        <v>2573</v>
      </c>
    </row>
    <row r="146">
      <c r="A146" s="74">
        <v>43545.0</v>
      </c>
      <c r="B146" s="75" t="s">
        <v>2574</v>
      </c>
    </row>
    <row r="147">
      <c r="A147" s="74">
        <v>43546.0</v>
      </c>
      <c r="B147" s="75" t="s">
        <v>2575</v>
      </c>
    </row>
    <row r="148">
      <c r="A148" s="74">
        <v>43547.0</v>
      </c>
      <c r="B148" s="75" t="s">
        <v>2575</v>
      </c>
    </row>
    <row r="149">
      <c r="A149" s="74">
        <v>43548.0</v>
      </c>
      <c r="B149" s="75" t="s">
        <v>2575</v>
      </c>
    </row>
    <row r="150">
      <c r="A150" s="74">
        <v>43549.0</v>
      </c>
      <c r="B150" s="75" t="s">
        <v>2576</v>
      </c>
    </row>
    <row r="151">
      <c r="A151" s="74">
        <v>43550.0</v>
      </c>
      <c r="B151" s="75" t="s">
        <v>2577</v>
      </c>
    </row>
    <row r="152">
      <c r="A152" s="74">
        <v>43551.0</v>
      </c>
      <c r="B152" s="75" t="s">
        <v>2578</v>
      </c>
    </row>
    <row r="153">
      <c r="A153" s="74">
        <v>43552.0</v>
      </c>
      <c r="B153" s="75" t="s">
        <v>2579</v>
      </c>
    </row>
    <row r="154">
      <c r="A154" s="74">
        <v>43553.0</v>
      </c>
      <c r="B154" s="75" t="s">
        <v>2580</v>
      </c>
    </row>
    <row r="155">
      <c r="A155" s="74">
        <v>43554.0</v>
      </c>
      <c r="B155" s="75" t="s">
        <v>2580</v>
      </c>
    </row>
    <row r="156">
      <c r="A156" s="74">
        <v>43555.0</v>
      </c>
      <c r="B156" s="75" t="s">
        <v>2580</v>
      </c>
    </row>
    <row r="157">
      <c r="A157" s="74">
        <v>43556.0</v>
      </c>
      <c r="B157" s="75" t="s">
        <v>1358</v>
      </c>
    </row>
    <row r="158">
      <c r="A158" s="74">
        <v>43557.0</v>
      </c>
      <c r="B158" s="75" t="s">
        <v>1358</v>
      </c>
    </row>
    <row r="159">
      <c r="A159" s="74">
        <v>43558.0</v>
      </c>
      <c r="B159" s="75" t="s">
        <v>2581</v>
      </c>
    </row>
    <row r="160">
      <c r="A160" s="74">
        <v>43559.0</v>
      </c>
      <c r="B160" s="75" t="s">
        <v>2580</v>
      </c>
    </row>
    <row r="161">
      <c r="A161" s="74">
        <v>43560.0</v>
      </c>
      <c r="B161" s="75" t="s">
        <v>2582</v>
      </c>
    </row>
    <row r="162">
      <c r="A162" s="74">
        <v>43561.0</v>
      </c>
      <c r="B162" s="75" t="s">
        <v>2582</v>
      </c>
    </row>
    <row r="163">
      <c r="A163" s="74">
        <v>43562.0</v>
      </c>
      <c r="B163" s="75" t="s">
        <v>2582</v>
      </c>
    </row>
    <row r="164">
      <c r="A164" s="74">
        <v>43563.0</v>
      </c>
      <c r="B164" s="75" t="s">
        <v>2583</v>
      </c>
    </row>
    <row r="165">
      <c r="A165" s="74">
        <v>43564.0</v>
      </c>
      <c r="B165" s="75" t="s">
        <v>2584</v>
      </c>
    </row>
    <row r="166">
      <c r="A166" s="74">
        <v>43565.0</v>
      </c>
      <c r="B166" s="75" t="s">
        <v>2585</v>
      </c>
    </row>
    <row r="167">
      <c r="A167" s="74">
        <v>43566.0</v>
      </c>
      <c r="B167" s="75" t="s">
        <v>2586</v>
      </c>
    </row>
    <row r="168">
      <c r="A168" s="74">
        <v>43567.0</v>
      </c>
      <c r="B168" s="75" t="s">
        <v>1391</v>
      </c>
    </row>
    <row r="169">
      <c r="A169" s="74">
        <v>43568.0</v>
      </c>
      <c r="B169" s="75" t="s">
        <v>1391</v>
      </c>
    </row>
    <row r="170">
      <c r="A170" s="74">
        <v>43569.0</v>
      </c>
      <c r="B170" s="75" t="s">
        <v>1391</v>
      </c>
    </row>
    <row r="171">
      <c r="A171" s="74">
        <v>43570.0</v>
      </c>
      <c r="B171" s="75" t="s">
        <v>2587</v>
      </c>
    </row>
    <row r="172">
      <c r="A172" s="74">
        <v>43571.0</v>
      </c>
      <c r="B172" s="75" t="s">
        <v>2588</v>
      </c>
    </row>
    <row r="173">
      <c r="A173" s="74">
        <v>43572.0</v>
      </c>
      <c r="B173" s="75" t="s">
        <v>1388</v>
      </c>
    </row>
    <row r="174">
      <c r="A174" s="74">
        <v>43573.0</v>
      </c>
      <c r="B174" s="75" t="s">
        <v>1388</v>
      </c>
    </row>
    <row r="175">
      <c r="A175" s="74">
        <v>43574.0</v>
      </c>
      <c r="B175" s="75" t="s">
        <v>1388</v>
      </c>
    </row>
    <row r="176">
      <c r="A176" s="74">
        <v>43575.0</v>
      </c>
      <c r="B176" s="75" t="s">
        <v>1388</v>
      </c>
    </row>
    <row r="177">
      <c r="A177" s="74">
        <v>43576.0</v>
      </c>
      <c r="B177" s="75" t="s">
        <v>1388</v>
      </c>
    </row>
    <row r="178">
      <c r="A178" s="74">
        <v>43577.0</v>
      </c>
      <c r="B178" s="75" t="s">
        <v>1454</v>
      </c>
    </row>
    <row r="179">
      <c r="A179" s="74">
        <v>43578.0</v>
      </c>
      <c r="B179" s="75" t="s">
        <v>2589</v>
      </c>
    </row>
    <row r="180">
      <c r="A180" s="74">
        <v>43579.0</v>
      </c>
      <c r="B180" s="75" t="s">
        <v>2590</v>
      </c>
    </row>
    <row r="181">
      <c r="A181" s="74">
        <v>43580.0</v>
      </c>
      <c r="B181" s="75" t="s">
        <v>1416</v>
      </c>
    </row>
    <row r="182">
      <c r="A182" s="74">
        <v>43581.0</v>
      </c>
      <c r="B182" s="75" t="s">
        <v>2591</v>
      </c>
    </row>
    <row r="183">
      <c r="A183" s="74">
        <v>43582.0</v>
      </c>
      <c r="B183" s="75" t="s">
        <v>2591</v>
      </c>
    </row>
    <row r="184">
      <c r="A184" s="74">
        <v>43583.0</v>
      </c>
      <c r="B184" s="75" t="s">
        <v>2591</v>
      </c>
    </row>
    <row r="185">
      <c r="A185" s="74">
        <v>43584.0</v>
      </c>
      <c r="B185" s="75" t="s">
        <v>2592</v>
      </c>
    </row>
    <row r="186">
      <c r="A186" s="74">
        <v>43585.0</v>
      </c>
      <c r="B186" s="75" t="s">
        <v>2593</v>
      </c>
    </row>
    <row r="187">
      <c r="A187" s="74">
        <v>43586.0</v>
      </c>
      <c r="B187" s="75" t="s">
        <v>2593</v>
      </c>
    </row>
    <row r="188">
      <c r="A188" s="74">
        <v>43587.0</v>
      </c>
      <c r="B188" s="75" t="s">
        <v>2594</v>
      </c>
    </row>
    <row r="189">
      <c r="A189" s="74">
        <v>43588.0</v>
      </c>
      <c r="B189" s="75" t="s">
        <v>2595</v>
      </c>
    </row>
    <row r="190">
      <c r="A190" s="74">
        <v>43589.0</v>
      </c>
      <c r="B190" s="75" t="s">
        <v>2595</v>
      </c>
    </row>
    <row r="191">
      <c r="A191" s="74">
        <v>43590.0</v>
      </c>
      <c r="B191" s="75" t="s">
        <v>2595</v>
      </c>
    </row>
    <row r="192">
      <c r="A192" s="74">
        <v>43591.0</v>
      </c>
      <c r="B192" s="75" t="s">
        <v>2596</v>
      </c>
    </row>
    <row r="193">
      <c r="A193" s="74">
        <v>43592.0</v>
      </c>
      <c r="B193" s="75" t="s">
        <v>2597</v>
      </c>
    </row>
    <row r="194">
      <c r="A194" s="74">
        <v>43593.0</v>
      </c>
      <c r="B194" s="75" t="s">
        <v>2598</v>
      </c>
    </row>
    <row r="195">
      <c r="A195" s="74">
        <v>43594.0</v>
      </c>
      <c r="B195" s="75" t="s">
        <v>2599</v>
      </c>
    </row>
    <row r="196">
      <c r="A196" s="74">
        <v>43595.0</v>
      </c>
      <c r="B196" s="75" t="s">
        <v>1418</v>
      </c>
    </row>
    <row r="197">
      <c r="A197" s="74">
        <v>43596.0</v>
      </c>
      <c r="B197" s="75" t="s">
        <v>1418</v>
      </c>
    </row>
    <row r="198">
      <c r="A198" s="74">
        <v>43597.0</v>
      </c>
      <c r="B198" s="75" t="s">
        <v>1418</v>
      </c>
    </row>
    <row r="199">
      <c r="A199" s="74">
        <v>43598.0</v>
      </c>
      <c r="B199" s="75" t="s">
        <v>2600</v>
      </c>
    </row>
    <row r="200">
      <c r="A200" s="74">
        <v>43599.0</v>
      </c>
      <c r="B200" s="75" t="s">
        <v>1427</v>
      </c>
    </row>
    <row r="201">
      <c r="A201" s="74">
        <v>43600.0</v>
      </c>
      <c r="B201" s="75" t="s">
        <v>2601</v>
      </c>
    </row>
    <row r="202">
      <c r="A202" s="74">
        <v>43601.0</v>
      </c>
      <c r="B202" s="75" t="s">
        <v>2602</v>
      </c>
    </row>
    <row r="203">
      <c r="A203" s="74">
        <v>43602.0</v>
      </c>
      <c r="B203" s="75" t="s">
        <v>2603</v>
      </c>
    </row>
    <row r="204">
      <c r="A204" s="74">
        <v>43603.0</v>
      </c>
      <c r="B204" s="75" t="s">
        <v>2603</v>
      </c>
    </row>
    <row r="205">
      <c r="A205" s="74">
        <v>43604.0</v>
      </c>
      <c r="B205" s="75" t="s">
        <v>2603</v>
      </c>
    </row>
    <row r="206">
      <c r="A206" s="74">
        <v>43605.0</v>
      </c>
      <c r="B206" s="75" t="s">
        <v>2604</v>
      </c>
    </row>
    <row r="207">
      <c r="A207" s="74">
        <v>43606.0</v>
      </c>
      <c r="B207" s="75" t="s">
        <v>2605</v>
      </c>
    </row>
    <row r="208">
      <c r="A208" s="74">
        <v>43607.0</v>
      </c>
      <c r="B208" s="75" t="s">
        <v>2606</v>
      </c>
    </row>
    <row r="209">
      <c r="A209" s="74">
        <v>43608.0</v>
      </c>
      <c r="B209" s="75" t="s">
        <v>1410</v>
      </c>
    </row>
    <row r="210">
      <c r="A210" s="74">
        <v>43609.0</v>
      </c>
      <c r="B210" s="75" t="s">
        <v>1425</v>
      </c>
    </row>
    <row r="211">
      <c r="A211" s="74">
        <v>43610.0</v>
      </c>
      <c r="B211" s="75" t="s">
        <v>1425</v>
      </c>
    </row>
    <row r="212">
      <c r="A212" s="74">
        <v>43611.0</v>
      </c>
      <c r="B212" s="75" t="s">
        <v>1425</v>
      </c>
    </row>
    <row r="213">
      <c r="A213" s="74">
        <v>43612.0</v>
      </c>
      <c r="B213" s="75" t="s">
        <v>2602</v>
      </c>
    </row>
    <row r="214">
      <c r="A214" s="74">
        <v>43613.0</v>
      </c>
      <c r="B214" s="75" t="s">
        <v>1400</v>
      </c>
    </row>
    <row r="215">
      <c r="A215" s="74">
        <v>43614.0</v>
      </c>
      <c r="B215" s="75" t="s">
        <v>2607</v>
      </c>
    </row>
    <row r="216">
      <c r="A216" s="74">
        <v>43615.0</v>
      </c>
      <c r="B216" s="75" t="s">
        <v>1423</v>
      </c>
    </row>
    <row r="217">
      <c r="A217" s="74">
        <v>43616.0</v>
      </c>
      <c r="B217" s="75" t="s">
        <v>1421</v>
      </c>
    </row>
    <row r="218">
      <c r="A218" s="74">
        <v>43617.0</v>
      </c>
      <c r="B218" s="75" t="s">
        <v>1421</v>
      </c>
    </row>
    <row r="219">
      <c r="A219" s="74">
        <v>43618.0</v>
      </c>
      <c r="B219" s="75" t="s">
        <v>1421</v>
      </c>
    </row>
    <row r="220">
      <c r="A220" s="74">
        <v>43619.0</v>
      </c>
      <c r="B220" s="75" t="s">
        <v>2608</v>
      </c>
    </row>
    <row r="221">
      <c r="A221" s="74">
        <v>43620.0</v>
      </c>
      <c r="B221" s="75" t="s">
        <v>2609</v>
      </c>
    </row>
    <row r="222">
      <c r="A222" s="74">
        <v>43621.0</v>
      </c>
      <c r="B222" s="75" t="s">
        <v>1426</v>
      </c>
    </row>
    <row r="223">
      <c r="A223" s="74">
        <v>43622.0</v>
      </c>
      <c r="B223" s="75" t="s">
        <v>1425</v>
      </c>
    </row>
    <row r="224">
      <c r="A224" s="74">
        <v>43623.0</v>
      </c>
      <c r="B224" s="75" t="s">
        <v>1426</v>
      </c>
    </row>
    <row r="225">
      <c r="A225" s="74">
        <v>43624.0</v>
      </c>
      <c r="B225" s="75" t="s">
        <v>1426</v>
      </c>
    </row>
    <row r="226">
      <c r="A226" s="74">
        <v>43625.0</v>
      </c>
      <c r="B226" s="75" t="s">
        <v>1426</v>
      </c>
    </row>
    <row r="227">
      <c r="A227" s="74">
        <v>43626.0</v>
      </c>
      <c r="B227" s="75" t="s">
        <v>1426</v>
      </c>
    </row>
    <row r="228">
      <c r="A228" s="74">
        <v>43627.0</v>
      </c>
      <c r="B228" s="75" t="s">
        <v>2592</v>
      </c>
    </row>
    <row r="229">
      <c r="A229" s="74">
        <v>43628.0</v>
      </c>
      <c r="B229" s="75" t="s">
        <v>2610</v>
      </c>
    </row>
    <row r="230">
      <c r="A230" s="74">
        <v>43629.0</v>
      </c>
      <c r="B230" s="75" t="s">
        <v>2611</v>
      </c>
    </row>
    <row r="231">
      <c r="A231" s="74">
        <v>43630.0</v>
      </c>
      <c r="B231" s="75" t="s">
        <v>2612</v>
      </c>
    </row>
    <row r="232">
      <c r="A232" s="74">
        <v>43631.0</v>
      </c>
      <c r="B232" s="75" t="s">
        <v>2612</v>
      </c>
    </row>
    <row r="233">
      <c r="A233" s="74">
        <v>43632.0</v>
      </c>
      <c r="B233" s="75" t="s">
        <v>2612</v>
      </c>
    </row>
    <row r="234">
      <c r="A234" s="74">
        <v>43633.0</v>
      </c>
      <c r="B234" s="75" t="s">
        <v>2612</v>
      </c>
    </row>
    <row r="235">
      <c r="A235" s="74">
        <v>43634.0</v>
      </c>
      <c r="B235" s="75" t="s">
        <v>2613</v>
      </c>
    </row>
    <row r="236">
      <c r="A236" s="74">
        <v>43635.0</v>
      </c>
      <c r="B236" s="75" t="s">
        <v>2614</v>
      </c>
    </row>
    <row r="237">
      <c r="A237" s="74">
        <v>43636.0</v>
      </c>
      <c r="B237" s="75" t="s">
        <v>2614</v>
      </c>
    </row>
    <row r="238">
      <c r="A238" s="74">
        <v>43637.0</v>
      </c>
      <c r="B238" s="75" t="s">
        <v>1383</v>
      </c>
    </row>
    <row r="239">
      <c r="A239" s="74">
        <v>43638.0</v>
      </c>
      <c r="B239" s="75" t="s">
        <v>1383</v>
      </c>
    </row>
    <row r="240">
      <c r="A240" s="74">
        <v>43639.0</v>
      </c>
      <c r="B240" s="75" t="s">
        <v>1383</v>
      </c>
    </row>
    <row r="241">
      <c r="A241" s="74">
        <v>43640.0</v>
      </c>
      <c r="B241" s="75" t="s">
        <v>2589</v>
      </c>
    </row>
    <row r="242">
      <c r="A242" s="74">
        <v>43641.0</v>
      </c>
      <c r="B242" s="75" t="s">
        <v>2615</v>
      </c>
    </row>
    <row r="243">
      <c r="A243" s="74">
        <v>43642.0</v>
      </c>
      <c r="B243" s="75" t="s">
        <v>2616</v>
      </c>
    </row>
    <row r="244">
      <c r="A244" s="74">
        <v>43643.0</v>
      </c>
      <c r="B244" s="75" t="s">
        <v>2616</v>
      </c>
    </row>
    <row r="245">
      <c r="A245" s="74">
        <v>43644.0</v>
      </c>
      <c r="B245" s="75" t="s">
        <v>2617</v>
      </c>
    </row>
    <row r="246">
      <c r="A246" s="74">
        <v>43645.0</v>
      </c>
      <c r="B246" s="75" t="s">
        <v>2617</v>
      </c>
    </row>
    <row r="247">
      <c r="A247" s="74">
        <v>43646.0</v>
      </c>
      <c r="B247" s="75" t="s">
        <v>2617</v>
      </c>
    </row>
    <row r="248">
      <c r="A248" s="74">
        <v>43647.0</v>
      </c>
      <c r="B248" s="75" t="s">
        <v>2618</v>
      </c>
    </row>
    <row r="249">
      <c r="A249" s="74">
        <v>43648.0</v>
      </c>
      <c r="B249" s="75" t="s">
        <v>1385</v>
      </c>
    </row>
    <row r="250">
      <c r="A250" s="74">
        <v>43649.0</v>
      </c>
      <c r="B250" s="75" t="s">
        <v>1448</v>
      </c>
    </row>
    <row r="251">
      <c r="A251" s="74">
        <v>43650.0</v>
      </c>
      <c r="B251" s="75" t="s">
        <v>2619</v>
      </c>
    </row>
    <row r="252">
      <c r="A252" s="74">
        <v>43651.0</v>
      </c>
      <c r="B252" s="75" t="s">
        <v>2620</v>
      </c>
    </row>
    <row r="253">
      <c r="A253" s="74">
        <v>43652.0</v>
      </c>
      <c r="B253" s="75" t="s">
        <v>2620</v>
      </c>
    </row>
    <row r="254">
      <c r="A254" s="74">
        <v>43653.0</v>
      </c>
      <c r="B254" s="75" t="s">
        <v>2620</v>
      </c>
    </row>
    <row r="255">
      <c r="A255" s="74">
        <v>43654.0</v>
      </c>
      <c r="B255" s="75" t="s">
        <v>2620</v>
      </c>
    </row>
    <row r="256">
      <c r="A256" s="74">
        <v>43655.0</v>
      </c>
      <c r="B256" s="75" t="s">
        <v>2620</v>
      </c>
    </row>
    <row r="257">
      <c r="A257" s="74">
        <v>43656.0</v>
      </c>
      <c r="B257" s="75" t="s">
        <v>2621</v>
      </c>
    </row>
    <row r="258">
      <c r="A258" s="74">
        <v>43657.0</v>
      </c>
      <c r="B258" s="75" t="s">
        <v>2622</v>
      </c>
    </row>
    <row r="259">
      <c r="A259" s="74">
        <v>43658.0</v>
      </c>
      <c r="B259" s="75" t="s">
        <v>2623</v>
      </c>
    </row>
    <row r="260">
      <c r="A260" s="74">
        <v>43659.0</v>
      </c>
      <c r="B260" s="75" t="s">
        <v>2623</v>
      </c>
    </row>
    <row r="261">
      <c r="A261" s="74">
        <v>43660.0</v>
      </c>
      <c r="B261" s="75" t="s">
        <v>2623</v>
      </c>
    </row>
    <row r="262">
      <c r="A262" s="74">
        <v>43661.0</v>
      </c>
      <c r="B262" s="75" t="s">
        <v>1452</v>
      </c>
    </row>
    <row r="263">
      <c r="A263" s="74">
        <v>43662.0</v>
      </c>
      <c r="B263" s="75" t="s">
        <v>2624</v>
      </c>
    </row>
    <row r="264">
      <c r="A264" s="74">
        <v>43663.0</v>
      </c>
      <c r="B264" s="75" t="s">
        <v>2589</v>
      </c>
    </row>
    <row r="265">
      <c r="A265" s="74">
        <v>43664.0</v>
      </c>
      <c r="B265" s="75" t="s">
        <v>2625</v>
      </c>
    </row>
    <row r="266">
      <c r="A266" s="74">
        <v>43665.0</v>
      </c>
      <c r="B266" s="75" t="s">
        <v>2626</v>
      </c>
    </row>
    <row r="267">
      <c r="A267" s="74">
        <v>43666.0</v>
      </c>
      <c r="B267" s="75" t="s">
        <v>2626</v>
      </c>
    </row>
    <row r="268">
      <c r="A268" s="74">
        <v>43667.0</v>
      </c>
      <c r="B268" s="75" t="s">
        <v>2626</v>
      </c>
    </row>
    <row r="269">
      <c r="A269" s="74">
        <v>43668.0</v>
      </c>
      <c r="B269" s="75" t="s">
        <v>1455</v>
      </c>
    </row>
    <row r="270">
      <c r="A270" s="74">
        <v>43669.0</v>
      </c>
      <c r="B270" s="75" t="s">
        <v>2616</v>
      </c>
    </row>
    <row r="271">
      <c r="A271" s="74">
        <v>43670.0</v>
      </c>
      <c r="B271" s="75" t="s">
        <v>2627</v>
      </c>
    </row>
    <row r="272">
      <c r="A272" s="74">
        <v>43671.0</v>
      </c>
      <c r="B272" s="75" t="s">
        <v>1434</v>
      </c>
    </row>
    <row r="273">
      <c r="A273" s="74">
        <v>43672.0</v>
      </c>
      <c r="B273" s="75" t="s">
        <v>2628</v>
      </c>
    </row>
    <row r="274">
      <c r="A274" s="74">
        <v>43673.0</v>
      </c>
      <c r="B274" s="75" t="s">
        <v>2628</v>
      </c>
    </row>
    <row r="275">
      <c r="A275" s="74">
        <v>43674.0</v>
      </c>
      <c r="B275" s="75" t="s">
        <v>2628</v>
      </c>
    </row>
    <row r="276">
      <c r="A276" s="74">
        <v>43675.0</v>
      </c>
      <c r="B276" s="75" t="s">
        <v>2629</v>
      </c>
    </row>
    <row r="277">
      <c r="A277" s="74">
        <v>43676.0</v>
      </c>
      <c r="B277" s="75" t="s">
        <v>2630</v>
      </c>
    </row>
    <row r="278">
      <c r="A278" s="74">
        <v>43677.0</v>
      </c>
      <c r="B278" s="75" t="s">
        <v>2631</v>
      </c>
    </row>
    <row r="279">
      <c r="A279" s="74">
        <v>43678.0</v>
      </c>
      <c r="B279" s="75" t="s">
        <v>2632</v>
      </c>
    </row>
    <row r="280">
      <c r="A280" s="74">
        <v>43679.0</v>
      </c>
      <c r="B280" s="75" t="s">
        <v>1400</v>
      </c>
    </row>
    <row r="281">
      <c r="A281" s="74">
        <v>43680.0</v>
      </c>
      <c r="B281" s="75" t="s">
        <v>1400</v>
      </c>
    </row>
    <row r="282">
      <c r="A282" s="74">
        <v>43681.0</v>
      </c>
      <c r="B282" s="75" t="s">
        <v>1400</v>
      </c>
    </row>
    <row r="283">
      <c r="A283" s="74">
        <v>43682.0</v>
      </c>
      <c r="B283" s="75" t="s">
        <v>2633</v>
      </c>
    </row>
    <row r="284">
      <c r="A284" s="74">
        <v>43683.0</v>
      </c>
      <c r="B284" s="75" t="s">
        <v>2634</v>
      </c>
    </row>
    <row r="285">
      <c r="A285" s="74">
        <v>43684.0</v>
      </c>
      <c r="B285" s="75" t="s">
        <v>2635</v>
      </c>
    </row>
    <row r="286">
      <c r="A286" s="74">
        <v>43685.0</v>
      </c>
      <c r="B286" s="75" t="s">
        <v>2636</v>
      </c>
    </row>
    <row r="287">
      <c r="A287" s="74">
        <v>43686.0</v>
      </c>
      <c r="B287" s="75" t="s">
        <v>1469</v>
      </c>
    </row>
    <row r="288">
      <c r="A288" s="74">
        <v>43687.0</v>
      </c>
      <c r="B288" s="75" t="s">
        <v>1469</v>
      </c>
    </row>
    <row r="289">
      <c r="A289" s="74">
        <v>43688.0</v>
      </c>
      <c r="B289" s="75" t="s">
        <v>1469</v>
      </c>
    </row>
    <row r="290">
      <c r="A290" s="74">
        <v>43689.0</v>
      </c>
      <c r="B290" s="75" t="s">
        <v>2637</v>
      </c>
    </row>
    <row r="291">
      <c r="A291" s="74">
        <v>43690.0</v>
      </c>
      <c r="B291" s="75" t="s">
        <v>2638</v>
      </c>
    </row>
    <row r="292">
      <c r="A292" s="74">
        <v>43691.0</v>
      </c>
      <c r="B292" s="75" t="s">
        <v>2639</v>
      </c>
    </row>
    <row r="293">
      <c r="A293" s="74">
        <v>43692.0</v>
      </c>
      <c r="B293" s="75" t="s">
        <v>2640</v>
      </c>
    </row>
    <row r="294">
      <c r="A294" s="74">
        <v>43693.0</v>
      </c>
      <c r="B294" s="75" t="s">
        <v>2641</v>
      </c>
    </row>
    <row r="295">
      <c r="A295" s="74">
        <v>43694.0</v>
      </c>
      <c r="B295" s="75" t="s">
        <v>2641</v>
      </c>
    </row>
    <row r="296">
      <c r="A296" s="74">
        <v>43695.0</v>
      </c>
      <c r="B296" s="75" t="s">
        <v>2641</v>
      </c>
    </row>
    <row r="297">
      <c r="A297" s="74">
        <v>43696.0</v>
      </c>
      <c r="B297" s="75" t="s">
        <v>2641</v>
      </c>
    </row>
    <row r="298">
      <c r="A298" s="74">
        <v>43697.0</v>
      </c>
      <c r="B298" s="75" t="s">
        <v>2642</v>
      </c>
    </row>
    <row r="299">
      <c r="A299" s="74">
        <v>43698.0</v>
      </c>
      <c r="B299" s="75" t="s">
        <v>2643</v>
      </c>
    </row>
    <row r="300">
      <c r="A300" s="74">
        <v>43699.0</v>
      </c>
      <c r="B300" s="75" t="s">
        <v>2644</v>
      </c>
    </row>
    <row r="301">
      <c r="A301" s="74">
        <v>43700.0</v>
      </c>
      <c r="B301" s="75" t="s">
        <v>2645</v>
      </c>
    </row>
    <row r="302">
      <c r="A302" s="74">
        <v>43701.0</v>
      </c>
      <c r="B302" s="75" t="s">
        <v>2645</v>
      </c>
    </row>
    <row r="303">
      <c r="A303" s="74">
        <v>43702.0</v>
      </c>
      <c r="B303" s="75" t="s">
        <v>2645</v>
      </c>
    </row>
    <row r="304">
      <c r="A304" s="74">
        <v>43703.0</v>
      </c>
      <c r="B304" s="75" t="s">
        <v>2646</v>
      </c>
    </row>
    <row r="305">
      <c r="A305" s="74">
        <v>43704.0</v>
      </c>
      <c r="B305" s="75" t="s">
        <v>2647</v>
      </c>
    </row>
    <row r="306">
      <c r="A306" s="74">
        <v>43705.0</v>
      </c>
      <c r="B306" s="75" t="s">
        <v>2648</v>
      </c>
    </row>
    <row r="307">
      <c r="A307" s="74">
        <v>43706.0</v>
      </c>
      <c r="B307" s="75" t="s">
        <v>2649</v>
      </c>
    </row>
    <row r="308">
      <c r="A308" s="74">
        <v>43707.0</v>
      </c>
      <c r="B308" s="75" t="s">
        <v>1490</v>
      </c>
    </row>
    <row r="309">
      <c r="A309" s="74">
        <v>43708.0</v>
      </c>
      <c r="B309" s="75" t="s">
        <v>1490</v>
      </c>
    </row>
    <row r="310">
      <c r="A310" s="74">
        <v>43709.0</v>
      </c>
      <c r="B310" s="75" t="s">
        <v>1490</v>
      </c>
    </row>
    <row r="311">
      <c r="A311" s="74">
        <v>43710.0</v>
      </c>
      <c r="B311" s="75" t="s">
        <v>2650</v>
      </c>
    </row>
    <row r="312">
      <c r="A312" s="74">
        <v>43711.0</v>
      </c>
      <c r="B312" s="75" t="s">
        <v>2651</v>
      </c>
    </row>
    <row r="313">
      <c r="A313" s="74">
        <v>43712.0</v>
      </c>
      <c r="B313" s="75" t="s">
        <v>2652</v>
      </c>
    </row>
    <row r="314">
      <c r="A314" s="74">
        <v>43713.0</v>
      </c>
      <c r="B314" s="75" t="s">
        <v>2653</v>
      </c>
    </row>
    <row r="315">
      <c r="A315" s="74">
        <v>43714.0</v>
      </c>
      <c r="B315" s="75" t="s">
        <v>2654</v>
      </c>
    </row>
    <row r="316">
      <c r="A316" s="74">
        <v>43715.0</v>
      </c>
      <c r="B316" s="75" t="s">
        <v>2654</v>
      </c>
    </row>
    <row r="317">
      <c r="A317" s="74">
        <v>43716.0</v>
      </c>
      <c r="B317" s="75" t="s">
        <v>2654</v>
      </c>
    </row>
    <row r="318">
      <c r="A318" s="74">
        <v>43717.0</v>
      </c>
      <c r="B318" s="75" t="s">
        <v>2655</v>
      </c>
    </row>
    <row r="319">
      <c r="A319" s="74">
        <v>43718.0</v>
      </c>
      <c r="B319" s="75" t="s">
        <v>2656</v>
      </c>
    </row>
    <row r="320">
      <c r="A320" s="74">
        <v>43719.0</v>
      </c>
      <c r="B320" s="75" t="s">
        <v>2657</v>
      </c>
    </row>
    <row r="321">
      <c r="A321" s="74">
        <v>43720.0</v>
      </c>
      <c r="B321" s="75" t="s">
        <v>2658</v>
      </c>
    </row>
    <row r="322">
      <c r="A322" s="74">
        <v>43721.0</v>
      </c>
      <c r="B322" s="75" t="s">
        <v>2659</v>
      </c>
    </row>
    <row r="323">
      <c r="A323" s="74">
        <v>43722.0</v>
      </c>
      <c r="B323" s="75" t="s">
        <v>2659</v>
      </c>
    </row>
    <row r="324">
      <c r="A324" s="74">
        <v>43723.0</v>
      </c>
      <c r="B324" s="75" t="s">
        <v>2659</v>
      </c>
    </row>
    <row r="325">
      <c r="A325" s="74">
        <v>43724.0</v>
      </c>
      <c r="B325" s="75" t="s">
        <v>2660</v>
      </c>
    </row>
    <row r="326">
      <c r="A326" s="74">
        <v>43725.0</v>
      </c>
      <c r="B326" s="75" t="s">
        <v>2661</v>
      </c>
    </row>
    <row r="327">
      <c r="A327" s="74">
        <v>43726.0</v>
      </c>
      <c r="B327" s="75" t="s">
        <v>2662</v>
      </c>
    </row>
    <row r="328">
      <c r="A328" s="74">
        <v>43727.0</v>
      </c>
      <c r="B328" s="75" t="s">
        <v>2663</v>
      </c>
    </row>
    <row r="329">
      <c r="A329" s="74">
        <v>43728.0</v>
      </c>
      <c r="B329" s="75" t="s">
        <v>2664</v>
      </c>
    </row>
    <row r="330">
      <c r="A330" s="74">
        <v>43729.0</v>
      </c>
      <c r="B330" s="75" t="s">
        <v>2664</v>
      </c>
    </row>
    <row r="331">
      <c r="A331" s="74">
        <v>43730.0</v>
      </c>
      <c r="B331" s="75" t="s">
        <v>2664</v>
      </c>
    </row>
    <row r="332">
      <c r="A332" s="74">
        <v>43731.0</v>
      </c>
      <c r="B332" s="75" t="s">
        <v>2665</v>
      </c>
    </row>
    <row r="333">
      <c r="A333" s="74">
        <v>43732.0</v>
      </c>
      <c r="B333" s="75" t="s">
        <v>2666</v>
      </c>
    </row>
    <row r="334">
      <c r="A334" s="74">
        <v>43733.0</v>
      </c>
      <c r="B334" s="75" t="s">
        <v>2667</v>
      </c>
    </row>
    <row r="335">
      <c r="A335" s="74">
        <v>43734.0</v>
      </c>
      <c r="B335" s="75" t="s">
        <v>2668</v>
      </c>
    </row>
    <row r="336">
      <c r="A336" s="74">
        <v>43735.0</v>
      </c>
      <c r="B336" s="75" t="s">
        <v>2669</v>
      </c>
    </row>
    <row r="337">
      <c r="A337" s="74">
        <v>43736.0</v>
      </c>
      <c r="B337" s="75" t="s">
        <v>2669</v>
      </c>
    </row>
    <row r="338">
      <c r="A338" s="74">
        <v>43737.0</v>
      </c>
      <c r="B338" s="75" t="s">
        <v>2669</v>
      </c>
    </row>
    <row r="339">
      <c r="A339" s="74">
        <v>43738.0</v>
      </c>
      <c r="B339" s="75" t="s">
        <v>2670</v>
      </c>
    </row>
    <row r="340">
      <c r="A340" s="74">
        <v>43739.0</v>
      </c>
      <c r="B340" s="75" t="s">
        <v>2671</v>
      </c>
    </row>
    <row r="341">
      <c r="A341" s="74">
        <v>43740.0</v>
      </c>
      <c r="B341" s="75" t="s">
        <v>2672</v>
      </c>
    </row>
    <row r="342">
      <c r="A342" s="74">
        <v>43741.0</v>
      </c>
      <c r="B342" s="75" t="s">
        <v>2673</v>
      </c>
    </row>
    <row r="343">
      <c r="A343" s="74">
        <v>43742.0</v>
      </c>
      <c r="B343" s="75" t="s">
        <v>2674</v>
      </c>
    </row>
    <row r="344">
      <c r="A344" s="74">
        <v>43743.0</v>
      </c>
      <c r="B344" s="75" t="s">
        <v>2674</v>
      </c>
    </row>
    <row r="345">
      <c r="A345" s="74">
        <v>43744.0</v>
      </c>
      <c r="B345" s="75" t="s">
        <v>2674</v>
      </c>
    </row>
    <row r="346">
      <c r="A346" s="74">
        <v>43745.0</v>
      </c>
      <c r="B346" s="75" t="s">
        <v>1510</v>
      </c>
    </row>
    <row r="347">
      <c r="A347" s="74">
        <v>43746.0</v>
      </c>
      <c r="B347" s="75" t="s">
        <v>2675</v>
      </c>
    </row>
    <row r="348">
      <c r="A348" s="74">
        <v>43747.0</v>
      </c>
      <c r="B348" s="75" t="s">
        <v>2676</v>
      </c>
    </row>
    <row r="349">
      <c r="A349" s="74">
        <v>43748.0</v>
      </c>
      <c r="B349" s="75" t="s">
        <v>2677</v>
      </c>
    </row>
    <row r="350">
      <c r="A350" s="74">
        <v>43749.0</v>
      </c>
      <c r="B350" s="75" t="s">
        <v>2678</v>
      </c>
    </row>
    <row r="351">
      <c r="A351" s="74">
        <v>43750.0</v>
      </c>
      <c r="B351" s="75" t="s">
        <v>2678</v>
      </c>
    </row>
    <row r="352">
      <c r="A352" s="74">
        <v>43751.0</v>
      </c>
      <c r="B352" s="75" t="s">
        <v>2678</v>
      </c>
    </row>
    <row r="353">
      <c r="A353" s="74">
        <v>43752.0</v>
      </c>
      <c r="B353" s="75" t="s">
        <v>2678</v>
      </c>
    </row>
    <row r="354">
      <c r="A354" s="74">
        <v>43753.0</v>
      </c>
      <c r="B354" s="75" t="s">
        <v>2679</v>
      </c>
    </row>
    <row r="355">
      <c r="A355" s="74">
        <v>43754.0</v>
      </c>
      <c r="B355" s="75" t="s">
        <v>2680</v>
      </c>
    </row>
    <row r="356">
      <c r="A356" s="74">
        <v>43755.0</v>
      </c>
      <c r="B356" s="75" t="s">
        <v>2681</v>
      </c>
    </row>
    <row r="357">
      <c r="A357" s="74">
        <v>43756.0</v>
      </c>
      <c r="B357" s="75" t="s">
        <v>2682</v>
      </c>
    </row>
    <row r="358">
      <c r="A358" s="74">
        <v>43757.0</v>
      </c>
      <c r="B358" s="75" t="s">
        <v>2682</v>
      </c>
    </row>
    <row r="359">
      <c r="A359" s="74">
        <v>43758.0</v>
      </c>
      <c r="B359" s="75" t="s">
        <v>2682</v>
      </c>
    </row>
    <row r="360">
      <c r="A360" s="74">
        <v>43759.0</v>
      </c>
      <c r="B360" s="75" t="s">
        <v>2683</v>
      </c>
    </row>
    <row r="361">
      <c r="A361" s="74">
        <v>43760.0</v>
      </c>
      <c r="B361" s="75" t="s">
        <v>2684</v>
      </c>
    </row>
    <row r="362">
      <c r="A362" s="74">
        <v>43761.0</v>
      </c>
      <c r="B362" s="75" t="s">
        <v>2685</v>
      </c>
    </row>
    <row r="363">
      <c r="A363" s="74">
        <v>43762.0</v>
      </c>
      <c r="B363" s="75" t="s">
        <v>2686</v>
      </c>
    </row>
    <row r="364">
      <c r="A364" s="74">
        <v>43763.0</v>
      </c>
      <c r="B364" s="75" t="s">
        <v>2687</v>
      </c>
    </row>
    <row r="365">
      <c r="A365" s="74">
        <v>43764.0</v>
      </c>
      <c r="B365" s="75" t="s">
        <v>2687</v>
      </c>
    </row>
    <row r="366">
      <c r="A366" s="74">
        <v>43765.0</v>
      </c>
      <c r="B366" s="75" t="s">
        <v>2687</v>
      </c>
    </row>
    <row r="367">
      <c r="A367" s="74">
        <v>43766.0</v>
      </c>
      <c r="B367" s="75" t="s">
        <v>2688</v>
      </c>
    </row>
    <row r="368">
      <c r="A368" s="74">
        <v>43767.0</v>
      </c>
      <c r="B368" s="75" t="s">
        <v>2689</v>
      </c>
    </row>
    <row r="369">
      <c r="A369" s="74">
        <v>43768.0</v>
      </c>
      <c r="B369" s="75" t="s">
        <v>1555</v>
      </c>
    </row>
    <row r="370">
      <c r="A370" s="74">
        <v>43769.0</v>
      </c>
      <c r="B370" s="75" t="s">
        <v>2690</v>
      </c>
    </row>
    <row r="371">
      <c r="A371" s="74">
        <v>43770.0</v>
      </c>
      <c r="B371" s="75" t="s">
        <v>2691</v>
      </c>
    </row>
    <row r="372">
      <c r="A372" s="74">
        <v>43771.0</v>
      </c>
      <c r="B372" s="75" t="s">
        <v>2691</v>
      </c>
    </row>
    <row r="373">
      <c r="A373" s="74">
        <v>43772.0</v>
      </c>
      <c r="B373" s="75" t="s">
        <v>2691</v>
      </c>
    </row>
    <row r="374">
      <c r="A374" s="74">
        <v>43773.0</v>
      </c>
      <c r="B374" s="75" t="s">
        <v>2692</v>
      </c>
    </row>
    <row r="375">
      <c r="A375" s="74">
        <v>43774.0</v>
      </c>
      <c r="B375" s="75" t="s">
        <v>2693</v>
      </c>
    </row>
    <row r="376">
      <c r="A376" s="74">
        <v>43775.0</v>
      </c>
      <c r="B376" s="75" t="s">
        <v>2694</v>
      </c>
    </row>
    <row r="377">
      <c r="A377" s="74">
        <v>43776.0</v>
      </c>
      <c r="B377" s="75" t="s">
        <v>2695</v>
      </c>
    </row>
    <row r="378">
      <c r="A378" s="74">
        <v>43777.0</v>
      </c>
      <c r="B378" s="75" t="s">
        <v>2696</v>
      </c>
    </row>
    <row r="379">
      <c r="A379" s="74">
        <v>43778.0</v>
      </c>
      <c r="B379" s="75" t="s">
        <v>2696</v>
      </c>
    </row>
    <row r="380">
      <c r="A380" s="74">
        <v>43779.0</v>
      </c>
      <c r="B380" s="75" t="s">
        <v>2696</v>
      </c>
    </row>
    <row r="381">
      <c r="A381" s="74">
        <v>43780.0</v>
      </c>
      <c r="B381" s="75" t="s">
        <v>2697</v>
      </c>
    </row>
    <row r="382">
      <c r="A382" s="74">
        <v>43781.0</v>
      </c>
      <c r="B382" s="75" t="s">
        <v>2698</v>
      </c>
    </row>
    <row r="383">
      <c r="A383" s="74">
        <v>43782.0</v>
      </c>
      <c r="B383" s="75" t="s">
        <v>2699</v>
      </c>
    </row>
    <row r="384">
      <c r="A384" s="74">
        <v>43783.0</v>
      </c>
      <c r="B384" s="75" t="s">
        <v>2700</v>
      </c>
    </row>
    <row r="385">
      <c r="A385" s="74">
        <v>43784.0</v>
      </c>
      <c r="B385" s="75" t="s">
        <v>2701</v>
      </c>
    </row>
    <row r="386">
      <c r="A386" s="74">
        <v>43785.0</v>
      </c>
      <c r="B386" s="75" t="s">
        <v>2701</v>
      </c>
    </row>
    <row r="387">
      <c r="A387" s="74">
        <v>43786.0</v>
      </c>
      <c r="B387" s="75" t="s">
        <v>2701</v>
      </c>
    </row>
    <row r="388">
      <c r="A388" s="74">
        <v>43787.0</v>
      </c>
      <c r="B388" s="75" t="s">
        <v>2701</v>
      </c>
    </row>
    <row r="389">
      <c r="A389" s="74">
        <v>43788.0</v>
      </c>
      <c r="B389" s="75" t="s">
        <v>2702</v>
      </c>
    </row>
    <row r="390">
      <c r="A390" s="74">
        <v>43789.0</v>
      </c>
      <c r="B390" s="75" t="s">
        <v>2703</v>
      </c>
    </row>
    <row r="391">
      <c r="A391" s="74">
        <v>43790.0</v>
      </c>
      <c r="B391" s="75" t="s">
        <v>2704</v>
      </c>
    </row>
    <row r="392">
      <c r="A392" s="74">
        <v>43791.0</v>
      </c>
      <c r="B392" s="75" t="s">
        <v>2705</v>
      </c>
    </row>
    <row r="393">
      <c r="A393" s="74">
        <v>43792.0</v>
      </c>
      <c r="B393" s="75" t="s">
        <v>2705</v>
      </c>
    </row>
    <row r="394">
      <c r="A394" s="74">
        <v>43793.0</v>
      </c>
      <c r="B394" s="75" t="s">
        <v>2705</v>
      </c>
    </row>
    <row r="395">
      <c r="A395" s="74">
        <v>43794.0</v>
      </c>
      <c r="B395" s="75" t="s">
        <v>2706</v>
      </c>
    </row>
    <row r="396">
      <c r="A396" s="74">
        <v>43795.0</v>
      </c>
      <c r="B396" s="75" t="s">
        <v>2681</v>
      </c>
    </row>
    <row r="397">
      <c r="A397" s="74">
        <v>43796.0</v>
      </c>
      <c r="B397" s="75" t="s">
        <v>2707</v>
      </c>
    </row>
    <row r="398">
      <c r="A398" s="74">
        <v>43797.0</v>
      </c>
      <c r="B398" s="75" t="s">
        <v>2708</v>
      </c>
    </row>
    <row r="399">
      <c r="A399" s="74">
        <v>43798.0</v>
      </c>
      <c r="B399" s="75" t="s">
        <v>2709</v>
      </c>
    </row>
    <row r="400">
      <c r="A400" s="74">
        <v>43799.0</v>
      </c>
      <c r="B400" s="75" t="s">
        <v>2709</v>
      </c>
    </row>
    <row r="401">
      <c r="A401" s="74">
        <v>43800.0</v>
      </c>
      <c r="B401" s="75" t="s">
        <v>2709</v>
      </c>
    </row>
    <row r="402">
      <c r="A402" s="74">
        <v>43801.0</v>
      </c>
      <c r="B402" s="75" t="s">
        <v>2710</v>
      </c>
    </row>
    <row r="403">
      <c r="A403" s="74">
        <v>43802.0</v>
      </c>
      <c r="B403" s="75" t="s">
        <v>2711</v>
      </c>
    </row>
    <row r="404">
      <c r="A404" s="74">
        <v>43803.0</v>
      </c>
      <c r="B404" s="75" t="s">
        <v>2712</v>
      </c>
    </row>
    <row r="405">
      <c r="A405" s="74">
        <v>43804.0</v>
      </c>
      <c r="B405" s="75" t="s">
        <v>2713</v>
      </c>
    </row>
    <row r="406">
      <c r="A406" s="74">
        <v>43805.0</v>
      </c>
      <c r="B406" s="75" t="s">
        <v>2714</v>
      </c>
    </row>
    <row r="407">
      <c r="A407" s="74">
        <v>43806.0</v>
      </c>
      <c r="B407" s="75" t="s">
        <v>2714</v>
      </c>
    </row>
    <row r="408">
      <c r="A408" s="74">
        <v>43807.0</v>
      </c>
      <c r="B408" s="75" t="s">
        <v>2714</v>
      </c>
    </row>
    <row r="409">
      <c r="A409" s="74">
        <v>43808.0</v>
      </c>
      <c r="B409" s="75" t="s">
        <v>2715</v>
      </c>
    </row>
    <row r="410">
      <c r="A410" s="74">
        <v>43809.0</v>
      </c>
      <c r="B410" s="75" t="s">
        <v>2716</v>
      </c>
    </row>
    <row r="411">
      <c r="A411" s="74">
        <v>43810.0</v>
      </c>
      <c r="B411" s="75" t="s">
        <v>2717</v>
      </c>
    </row>
    <row r="412">
      <c r="A412" s="74">
        <v>43811.0</v>
      </c>
      <c r="B412" s="75" t="s">
        <v>2718</v>
      </c>
    </row>
    <row r="413">
      <c r="A413" s="74">
        <v>43812.0</v>
      </c>
      <c r="B413" s="75" t="s">
        <v>2719</v>
      </c>
    </row>
    <row r="414">
      <c r="A414" s="74">
        <v>43813.0</v>
      </c>
      <c r="B414" s="75" t="s">
        <v>2719</v>
      </c>
    </row>
    <row r="415">
      <c r="A415" s="74">
        <v>43814.0</v>
      </c>
      <c r="B415" s="75" t="s">
        <v>2719</v>
      </c>
    </row>
    <row r="416">
      <c r="A416" s="74">
        <v>43815.0</v>
      </c>
      <c r="B416" s="75" t="s">
        <v>2720</v>
      </c>
    </row>
    <row r="417">
      <c r="A417" s="74">
        <v>43816.0</v>
      </c>
      <c r="B417" s="75" t="s">
        <v>2721</v>
      </c>
    </row>
    <row r="418">
      <c r="A418" s="74">
        <v>43817.0</v>
      </c>
      <c r="B418" s="75" t="s">
        <v>2722</v>
      </c>
    </row>
    <row r="419">
      <c r="A419" s="74">
        <v>43818.0</v>
      </c>
      <c r="B419" s="75" t="s">
        <v>2706</v>
      </c>
    </row>
    <row r="420">
      <c r="A420" s="74">
        <v>43819.0</v>
      </c>
      <c r="B420" s="75" t="s">
        <v>2723</v>
      </c>
    </row>
    <row r="421">
      <c r="A421" s="74">
        <v>43820.0</v>
      </c>
      <c r="B421" s="75" t="s">
        <v>2723</v>
      </c>
    </row>
    <row r="422">
      <c r="A422" s="74">
        <v>43821.0</v>
      </c>
      <c r="B422" s="75" t="s">
        <v>2723</v>
      </c>
    </row>
    <row r="423">
      <c r="A423" s="74">
        <v>43822.0</v>
      </c>
      <c r="B423" s="75" t="s">
        <v>2724</v>
      </c>
    </row>
    <row r="424">
      <c r="A424" s="74">
        <v>43823.0</v>
      </c>
      <c r="B424" s="75" t="s">
        <v>2724</v>
      </c>
    </row>
    <row r="425">
      <c r="A425" s="74">
        <v>43824.0</v>
      </c>
      <c r="B425" s="75" t="s">
        <v>2724</v>
      </c>
    </row>
    <row r="426">
      <c r="A426" s="74">
        <v>43825.0</v>
      </c>
      <c r="B426" s="75" t="s">
        <v>2725</v>
      </c>
    </row>
    <row r="427">
      <c r="A427" s="74">
        <v>43826.0</v>
      </c>
      <c r="B427" s="75" t="s">
        <v>2726</v>
      </c>
    </row>
    <row r="428">
      <c r="A428" s="74">
        <v>43827.0</v>
      </c>
      <c r="B428" s="75" t="s">
        <v>2726</v>
      </c>
    </row>
    <row r="429">
      <c r="A429" s="74">
        <v>43828.0</v>
      </c>
      <c r="B429" s="75" t="s">
        <v>2726</v>
      </c>
    </row>
    <row r="430">
      <c r="A430" s="74">
        <v>43829.0</v>
      </c>
      <c r="B430" s="75" t="s">
        <v>2727</v>
      </c>
    </row>
    <row r="431">
      <c r="A431" s="74">
        <v>43830.0</v>
      </c>
      <c r="B431" s="75" t="s">
        <v>2727</v>
      </c>
    </row>
    <row r="432">
      <c r="A432" s="74">
        <v>43831.0</v>
      </c>
      <c r="B432" s="75" t="s">
        <v>2727</v>
      </c>
    </row>
    <row r="433">
      <c r="A433" s="74">
        <v>43832.0</v>
      </c>
      <c r="B433" s="75" t="s">
        <v>2728</v>
      </c>
    </row>
    <row r="434">
      <c r="A434" s="74">
        <v>43833.0</v>
      </c>
      <c r="B434" s="75" t="s">
        <v>2729</v>
      </c>
    </row>
    <row r="435">
      <c r="A435" s="74">
        <v>43834.0</v>
      </c>
      <c r="B435" s="75" t="s">
        <v>2729</v>
      </c>
    </row>
    <row r="436">
      <c r="A436" s="74">
        <v>43835.0</v>
      </c>
      <c r="B436" s="75" t="s">
        <v>2729</v>
      </c>
    </row>
    <row r="437">
      <c r="A437" s="74">
        <v>43836.0</v>
      </c>
      <c r="B437" s="75" t="s">
        <v>2730</v>
      </c>
    </row>
    <row r="438">
      <c r="A438" s="74">
        <v>43837.0</v>
      </c>
      <c r="B438" s="75" t="s">
        <v>1568</v>
      </c>
    </row>
    <row r="439">
      <c r="A439" s="74">
        <v>43838.0</v>
      </c>
      <c r="B439" s="75" t="s">
        <v>1555</v>
      </c>
    </row>
    <row r="440">
      <c r="A440" s="74">
        <v>43839.0</v>
      </c>
      <c r="B440" s="75" t="s">
        <v>2731</v>
      </c>
    </row>
    <row r="441">
      <c r="A441" s="74">
        <v>43840.0</v>
      </c>
      <c r="B441" s="75" t="s">
        <v>2732</v>
      </c>
    </row>
    <row r="442">
      <c r="A442" s="74">
        <v>43841.0</v>
      </c>
      <c r="B442" s="75" t="s">
        <v>2732</v>
      </c>
    </row>
    <row r="443">
      <c r="A443" s="74">
        <v>43842.0</v>
      </c>
      <c r="B443" s="75" t="s">
        <v>2732</v>
      </c>
    </row>
    <row r="444">
      <c r="A444" s="74">
        <v>43843.0</v>
      </c>
      <c r="B444" s="75" t="s">
        <v>2733</v>
      </c>
    </row>
    <row r="445">
      <c r="A445" s="74">
        <v>43844.0</v>
      </c>
      <c r="B445" s="75" t="s">
        <v>2734</v>
      </c>
    </row>
    <row r="446">
      <c r="A446" s="74">
        <v>43845.0</v>
      </c>
      <c r="B446" s="75" t="s">
        <v>2735</v>
      </c>
    </row>
    <row r="447">
      <c r="A447" s="74">
        <v>43846.0</v>
      </c>
      <c r="B447" s="75" t="s">
        <v>2736</v>
      </c>
    </row>
    <row r="448">
      <c r="A448" s="74">
        <v>43847.0</v>
      </c>
      <c r="B448" s="75" t="s">
        <v>1528</v>
      </c>
    </row>
    <row r="449">
      <c r="A449" s="74">
        <v>43848.0</v>
      </c>
      <c r="B449" s="75" t="s">
        <v>1528</v>
      </c>
    </row>
    <row r="450">
      <c r="A450" s="74">
        <v>43849.0</v>
      </c>
      <c r="B450" s="75" t="s">
        <v>1528</v>
      </c>
    </row>
    <row r="451">
      <c r="A451" s="74">
        <v>43850.0</v>
      </c>
      <c r="B451" s="75" t="s">
        <v>2737</v>
      </c>
    </row>
    <row r="452">
      <c r="A452" s="74">
        <v>43851.0</v>
      </c>
      <c r="B452" s="75" t="s">
        <v>2738</v>
      </c>
    </row>
    <row r="453">
      <c r="A453" s="74">
        <v>43852.0</v>
      </c>
      <c r="B453" s="75" t="s">
        <v>2739</v>
      </c>
    </row>
    <row r="454">
      <c r="A454" s="74">
        <v>43853.0</v>
      </c>
      <c r="B454" s="75" t="s">
        <v>2740</v>
      </c>
    </row>
    <row r="455">
      <c r="A455" s="74">
        <v>43854.0</v>
      </c>
      <c r="B455" s="75" t="s">
        <v>2741</v>
      </c>
    </row>
    <row r="456">
      <c r="A456" s="74">
        <v>43855.0</v>
      </c>
      <c r="B456" s="75" t="s">
        <v>2741</v>
      </c>
    </row>
    <row r="457">
      <c r="A457" s="74">
        <v>43856.0</v>
      </c>
      <c r="B457" s="75" t="s">
        <v>2741</v>
      </c>
    </row>
    <row r="458">
      <c r="A458" s="74">
        <v>43857.0</v>
      </c>
      <c r="B458" s="75" t="s">
        <v>2742</v>
      </c>
    </row>
    <row r="459">
      <c r="A459" s="74">
        <v>43858.0</v>
      </c>
      <c r="B459" s="75" t="s">
        <v>2743</v>
      </c>
    </row>
    <row r="460">
      <c r="A460" s="74">
        <v>43859.0</v>
      </c>
      <c r="B460" s="75" t="s">
        <v>2744</v>
      </c>
    </row>
    <row r="461">
      <c r="A461" s="74">
        <v>43860.0</v>
      </c>
      <c r="B461" s="75" t="s">
        <v>2745</v>
      </c>
    </row>
    <row r="462">
      <c r="A462" s="74">
        <v>43861.0</v>
      </c>
      <c r="B462" s="75" t="s">
        <v>2746</v>
      </c>
    </row>
    <row r="463">
      <c r="A463" s="74">
        <v>43862.0</v>
      </c>
      <c r="B463" s="75" t="s">
        <v>2746</v>
      </c>
    </row>
    <row r="464">
      <c r="A464" s="74">
        <v>43863.0</v>
      </c>
      <c r="B464" s="75" t="s">
        <v>2746</v>
      </c>
    </row>
    <row r="465">
      <c r="A465" s="74">
        <v>43864.0</v>
      </c>
      <c r="B465" s="75" t="s">
        <v>2747</v>
      </c>
    </row>
    <row r="466">
      <c r="A466" s="74">
        <v>43865.0</v>
      </c>
      <c r="B466" s="75" t="s">
        <v>2748</v>
      </c>
    </row>
    <row r="467">
      <c r="A467" s="74">
        <v>43866.0</v>
      </c>
      <c r="B467" s="75" t="s">
        <v>2749</v>
      </c>
    </row>
    <row r="468">
      <c r="A468" s="74">
        <v>43867.0</v>
      </c>
      <c r="B468" s="75" t="s">
        <v>2750</v>
      </c>
    </row>
    <row r="469">
      <c r="A469" s="74">
        <v>43868.0</v>
      </c>
      <c r="B469" s="75" t="s">
        <v>2751</v>
      </c>
    </row>
    <row r="470">
      <c r="A470" s="74">
        <v>43869.0</v>
      </c>
      <c r="B470" s="75" t="s">
        <v>2751</v>
      </c>
    </row>
    <row r="471">
      <c r="A471" s="74">
        <v>43870.0</v>
      </c>
      <c r="B471" s="75" t="s">
        <v>2751</v>
      </c>
    </row>
    <row r="472">
      <c r="A472" s="74">
        <v>43871.0</v>
      </c>
      <c r="B472" s="75" t="s">
        <v>2752</v>
      </c>
    </row>
    <row r="473">
      <c r="A473" s="74">
        <v>43872.0</v>
      </c>
      <c r="B473" s="75" t="s">
        <v>2753</v>
      </c>
    </row>
    <row r="474">
      <c r="A474" s="74">
        <v>43873.0</v>
      </c>
      <c r="B474" s="75" t="s">
        <v>2754</v>
      </c>
    </row>
    <row r="475">
      <c r="A475" s="74">
        <v>43874.0</v>
      </c>
      <c r="B475" s="75" t="s">
        <v>1621</v>
      </c>
    </row>
    <row r="476">
      <c r="A476" s="74">
        <v>43875.0</v>
      </c>
      <c r="B476" s="75" t="s">
        <v>2755</v>
      </c>
    </row>
    <row r="477">
      <c r="A477" s="74">
        <v>43876.0</v>
      </c>
      <c r="B477" s="75" t="s">
        <v>2755</v>
      </c>
    </row>
    <row r="478">
      <c r="A478" s="74">
        <v>43877.0</v>
      </c>
      <c r="B478" s="75" t="s">
        <v>2755</v>
      </c>
    </row>
    <row r="479">
      <c r="A479" s="74">
        <v>43878.0</v>
      </c>
      <c r="B479" s="75" t="s">
        <v>2756</v>
      </c>
    </row>
    <row r="480">
      <c r="A480" s="74">
        <v>43879.0</v>
      </c>
      <c r="B480" s="75" t="s">
        <v>1589</v>
      </c>
    </row>
    <row r="481">
      <c r="A481" s="74">
        <v>43880.0</v>
      </c>
      <c r="B481" s="75" t="s">
        <v>2757</v>
      </c>
    </row>
    <row r="482">
      <c r="A482" s="74">
        <v>43881.0</v>
      </c>
      <c r="B482" s="75" t="s">
        <v>2758</v>
      </c>
    </row>
    <row r="483">
      <c r="A483" s="74">
        <v>43882.0</v>
      </c>
      <c r="B483" s="75" t="s">
        <v>2759</v>
      </c>
    </row>
    <row r="484">
      <c r="A484" s="74">
        <v>43883.0</v>
      </c>
      <c r="B484" s="75" t="s">
        <v>2759</v>
      </c>
    </row>
    <row r="485">
      <c r="A485" s="74">
        <v>43884.0</v>
      </c>
      <c r="B485" s="75" t="s">
        <v>2759</v>
      </c>
    </row>
    <row r="486">
      <c r="A486" s="74">
        <v>43885.0</v>
      </c>
      <c r="B486" s="75" t="s">
        <v>2759</v>
      </c>
    </row>
    <row r="487">
      <c r="A487" s="74">
        <v>43886.0</v>
      </c>
      <c r="B487" s="75" t="s">
        <v>2759</v>
      </c>
    </row>
    <row r="488">
      <c r="A488" s="74">
        <v>43887.0</v>
      </c>
      <c r="B488" s="75" t="s">
        <v>2760</v>
      </c>
    </row>
    <row r="489">
      <c r="A489" s="74">
        <v>43888.0</v>
      </c>
      <c r="B489" s="75" t="s">
        <v>2761</v>
      </c>
    </row>
    <row r="490">
      <c r="A490" s="74">
        <v>43889.0</v>
      </c>
      <c r="B490" s="75" t="s">
        <v>2762</v>
      </c>
    </row>
    <row r="491">
      <c r="A491" s="74">
        <v>43890.0</v>
      </c>
      <c r="B491" s="75" t="s">
        <v>2762</v>
      </c>
    </row>
    <row r="492">
      <c r="A492" s="74">
        <v>43891.0</v>
      </c>
      <c r="B492" s="75" t="s">
        <v>2762</v>
      </c>
    </row>
    <row r="493">
      <c r="A493" s="74">
        <v>43892.0</v>
      </c>
      <c r="B493" s="75" t="s">
        <v>2763</v>
      </c>
    </row>
    <row r="494">
      <c r="A494" s="74">
        <v>43893.0</v>
      </c>
      <c r="B494" s="75" t="s">
        <v>2764</v>
      </c>
    </row>
    <row r="495">
      <c r="A495" s="74">
        <v>43894.0</v>
      </c>
      <c r="B495" s="75" t="s">
        <v>2765</v>
      </c>
    </row>
    <row r="496">
      <c r="A496" s="74">
        <v>43895.0</v>
      </c>
      <c r="B496" s="75" t="s">
        <v>2766</v>
      </c>
    </row>
    <row r="497">
      <c r="A497" s="74">
        <v>43896.0</v>
      </c>
      <c r="B497" s="75" t="s">
        <v>2767</v>
      </c>
    </row>
    <row r="498">
      <c r="A498" s="74">
        <v>43897.0</v>
      </c>
      <c r="B498" s="75" t="s">
        <v>2767</v>
      </c>
    </row>
    <row r="499">
      <c r="A499" s="74">
        <v>43898.0</v>
      </c>
      <c r="B499" s="75" t="s">
        <v>2767</v>
      </c>
    </row>
    <row r="500">
      <c r="A500" s="74">
        <v>43899.0</v>
      </c>
      <c r="B500" s="75" t="s">
        <v>2768</v>
      </c>
    </row>
    <row r="501">
      <c r="A501" s="74">
        <v>43900.0</v>
      </c>
      <c r="B501" s="75" t="s">
        <v>2769</v>
      </c>
    </row>
    <row r="502">
      <c r="A502" s="74">
        <v>43901.0</v>
      </c>
      <c r="B502" s="75" t="s">
        <v>2770</v>
      </c>
    </row>
    <row r="503">
      <c r="A503" s="74">
        <v>43902.0</v>
      </c>
      <c r="B503" s="75" t="s">
        <v>2771</v>
      </c>
    </row>
    <row r="504">
      <c r="A504" s="74">
        <v>43903.0</v>
      </c>
      <c r="B504" s="75" t="s">
        <v>2772</v>
      </c>
    </row>
    <row r="505">
      <c r="A505" s="74">
        <v>43904.0</v>
      </c>
      <c r="B505" s="75" t="s">
        <v>2772</v>
      </c>
    </row>
    <row r="506">
      <c r="A506" s="74">
        <v>43905.0</v>
      </c>
      <c r="B506" s="75" t="s">
        <v>2772</v>
      </c>
    </row>
    <row r="507">
      <c r="A507" s="74">
        <v>43906.0</v>
      </c>
      <c r="B507" s="75" t="s">
        <v>2773</v>
      </c>
    </row>
    <row r="508">
      <c r="A508" s="74">
        <v>43907.0</v>
      </c>
      <c r="B508" s="75" t="s">
        <v>2774</v>
      </c>
    </row>
    <row r="509">
      <c r="A509" s="74">
        <v>43908.0</v>
      </c>
      <c r="B509" s="75" t="s">
        <v>2775</v>
      </c>
    </row>
    <row r="510">
      <c r="A510" s="74">
        <v>43909.0</v>
      </c>
      <c r="B510" s="75" t="s">
        <v>2776</v>
      </c>
    </row>
    <row r="511">
      <c r="A511" s="74">
        <v>43910.0</v>
      </c>
      <c r="B511" s="75" t="s">
        <v>2777</v>
      </c>
    </row>
    <row r="512">
      <c r="A512" s="74">
        <v>43911.0</v>
      </c>
      <c r="B512" s="75" t="s">
        <v>2777</v>
      </c>
    </row>
    <row r="513">
      <c r="A513" s="74">
        <v>43912.0</v>
      </c>
      <c r="B513" s="75" t="s">
        <v>2777</v>
      </c>
    </row>
    <row r="514">
      <c r="A514" s="74">
        <v>43913.0</v>
      </c>
      <c r="B514" s="75" t="s">
        <v>2777</v>
      </c>
    </row>
    <row r="515">
      <c r="A515" s="74">
        <v>43914.0</v>
      </c>
      <c r="B515" s="75" t="s">
        <v>2777</v>
      </c>
    </row>
    <row r="516">
      <c r="A516" s="74">
        <v>43915.0</v>
      </c>
      <c r="B516" s="75" t="s">
        <v>2778</v>
      </c>
    </row>
    <row r="517">
      <c r="A517" s="74">
        <v>43916.0</v>
      </c>
      <c r="B517" s="75" t="s">
        <v>2779</v>
      </c>
    </row>
    <row r="518">
      <c r="A518" s="74">
        <v>43917.0</v>
      </c>
      <c r="B518" s="75" t="s">
        <v>2780</v>
      </c>
    </row>
    <row r="519">
      <c r="A519" s="74">
        <v>43918.0</v>
      </c>
      <c r="B519" s="75" t="s">
        <v>2780</v>
      </c>
    </row>
    <row r="520">
      <c r="A520" s="74">
        <v>43919.0</v>
      </c>
      <c r="B520" s="75" t="s">
        <v>2780</v>
      </c>
    </row>
    <row r="521">
      <c r="A521" s="74">
        <v>43920.0</v>
      </c>
      <c r="B521" s="75" t="s">
        <v>2781</v>
      </c>
    </row>
    <row r="522">
      <c r="A522" s="74">
        <v>43921.0</v>
      </c>
      <c r="B522" s="75" t="s">
        <v>2781</v>
      </c>
    </row>
    <row r="523">
      <c r="A523" s="74">
        <v>43922.0</v>
      </c>
      <c r="B523" s="75" t="s">
        <v>2782</v>
      </c>
    </row>
    <row r="524">
      <c r="A524" s="74">
        <v>43923.0</v>
      </c>
      <c r="B524" s="75" t="s">
        <v>2783</v>
      </c>
    </row>
    <row r="525">
      <c r="A525" s="74">
        <v>43924.0</v>
      </c>
      <c r="B525" s="75" t="s">
        <v>2784</v>
      </c>
    </row>
    <row r="526">
      <c r="A526" s="74">
        <v>43925.0</v>
      </c>
      <c r="B526" s="75" t="s">
        <v>2784</v>
      </c>
    </row>
    <row r="527">
      <c r="A527" s="74">
        <v>43926.0</v>
      </c>
      <c r="B527" s="75" t="s">
        <v>2784</v>
      </c>
    </row>
    <row r="528">
      <c r="A528" s="74">
        <v>43927.0</v>
      </c>
      <c r="B528" s="75" t="s">
        <v>2785</v>
      </c>
    </row>
    <row r="529">
      <c r="A529" s="74">
        <v>43928.0</v>
      </c>
      <c r="B529" s="75" t="s">
        <v>1640</v>
      </c>
    </row>
    <row r="530">
      <c r="A530" s="74">
        <v>43929.0</v>
      </c>
      <c r="B530" s="75" t="s">
        <v>2786</v>
      </c>
    </row>
    <row r="531">
      <c r="A531" s="74">
        <v>43930.0</v>
      </c>
      <c r="B531" s="75" t="s">
        <v>2786</v>
      </c>
    </row>
    <row r="532">
      <c r="A532" s="74">
        <v>43931.0</v>
      </c>
      <c r="B532" s="75" t="s">
        <v>2786</v>
      </c>
    </row>
    <row r="533">
      <c r="A533" s="74">
        <v>43932.0</v>
      </c>
      <c r="B533" s="75" t="s">
        <v>2786</v>
      </c>
    </row>
    <row r="534">
      <c r="A534" s="74">
        <v>43933.0</v>
      </c>
      <c r="B534" s="75" t="s">
        <v>2786</v>
      </c>
    </row>
    <row r="535">
      <c r="A535" s="74">
        <v>43934.0</v>
      </c>
      <c r="B535" s="75" t="s">
        <v>2787</v>
      </c>
    </row>
    <row r="536">
      <c r="A536" s="74">
        <v>43935.0</v>
      </c>
      <c r="B536" s="75" t="s">
        <v>2788</v>
      </c>
    </row>
    <row r="537">
      <c r="A537" s="74">
        <v>43936.0</v>
      </c>
      <c r="B537" s="75" t="s">
        <v>2789</v>
      </c>
    </row>
    <row r="538">
      <c r="A538" s="74">
        <v>43937.0</v>
      </c>
      <c r="B538" s="75" t="s">
        <v>2790</v>
      </c>
    </row>
    <row r="539">
      <c r="A539" s="74">
        <v>43938.0</v>
      </c>
      <c r="B539" s="75" t="s">
        <v>2791</v>
      </c>
    </row>
    <row r="540">
      <c r="A540" s="74">
        <v>43939.0</v>
      </c>
      <c r="B540" s="75" t="s">
        <v>2791</v>
      </c>
    </row>
    <row r="541">
      <c r="A541" s="74">
        <v>43940.0</v>
      </c>
      <c r="B541" s="75" t="s">
        <v>2791</v>
      </c>
    </row>
    <row r="542">
      <c r="A542" s="74">
        <v>43941.0</v>
      </c>
      <c r="B542" s="75" t="s">
        <v>2792</v>
      </c>
    </row>
    <row r="543">
      <c r="A543" s="74">
        <v>43942.0</v>
      </c>
      <c r="B543" s="75" t="s">
        <v>2793</v>
      </c>
    </row>
    <row r="544">
      <c r="A544" s="74">
        <v>43943.0</v>
      </c>
      <c r="B544" s="75" t="s">
        <v>2794</v>
      </c>
    </row>
    <row r="545">
      <c r="A545" s="74">
        <v>43944.0</v>
      </c>
      <c r="B545" s="75" t="s">
        <v>2795</v>
      </c>
    </row>
    <row r="546">
      <c r="A546" s="74">
        <v>43945.0</v>
      </c>
      <c r="B546" s="75" t="s">
        <v>2796</v>
      </c>
    </row>
    <row r="547">
      <c r="A547" s="74">
        <v>43946.0</v>
      </c>
      <c r="B547" s="75" t="s">
        <v>2796</v>
      </c>
    </row>
    <row r="548">
      <c r="A548" s="74">
        <v>43947.0</v>
      </c>
      <c r="B548" s="75" t="s">
        <v>2796</v>
      </c>
    </row>
    <row r="549">
      <c r="A549" s="74">
        <v>43948.0</v>
      </c>
      <c r="B549" s="75" t="s">
        <v>2797</v>
      </c>
    </row>
    <row r="550">
      <c r="A550" s="74">
        <v>43949.0</v>
      </c>
      <c r="B550" s="75" t="s">
        <v>2798</v>
      </c>
    </row>
    <row r="551">
      <c r="A551" s="74">
        <v>43950.0</v>
      </c>
      <c r="B551" s="75" t="s">
        <v>2799</v>
      </c>
    </row>
    <row r="552">
      <c r="A552" s="74">
        <v>43951.0</v>
      </c>
      <c r="B552" s="75" t="s">
        <v>2800</v>
      </c>
    </row>
    <row r="553">
      <c r="A553" s="74">
        <v>43952.0</v>
      </c>
      <c r="B553" s="75" t="s">
        <v>2800</v>
      </c>
    </row>
    <row r="554">
      <c r="A554" s="74">
        <v>43953.0</v>
      </c>
      <c r="B554" s="75" t="s">
        <v>2800</v>
      </c>
    </row>
    <row r="555">
      <c r="A555" s="74">
        <v>43954.0</v>
      </c>
      <c r="B555" s="75" t="s">
        <v>2800</v>
      </c>
    </row>
    <row r="556">
      <c r="A556" s="74">
        <v>43955.0</v>
      </c>
      <c r="B556" s="75" t="s">
        <v>2801</v>
      </c>
    </row>
    <row r="557">
      <c r="A557" s="74">
        <v>43956.0</v>
      </c>
      <c r="B557" s="75" t="s">
        <v>2802</v>
      </c>
    </row>
    <row r="558">
      <c r="A558" s="74">
        <v>43957.0</v>
      </c>
      <c r="B558" s="75" t="s">
        <v>2803</v>
      </c>
    </row>
    <row r="559">
      <c r="A559" s="74">
        <v>43958.0</v>
      </c>
      <c r="B559" s="75" t="s">
        <v>2804</v>
      </c>
    </row>
    <row r="560">
      <c r="A560" s="74">
        <v>43959.0</v>
      </c>
      <c r="B560" s="75" t="s">
        <v>2805</v>
      </c>
    </row>
    <row r="561">
      <c r="A561" s="74">
        <v>43960.0</v>
      </c>
      <c r="B561" s="75" t="s">
        <v>2805</v>
      </c>
    </row>
    <row r="562">
      <c r="A562" s="74">
        <v>43961.0</v>
      </c>
      <c r="B562" s="75" t="s">
        <v>2805</v>
      </c>
    </row>
    <row r="563">
      <c r="A563" s="74">
        <v>43962.0</v>
      </c>
      <c r="B563" s="75" t="s">
        <v>2806</v>
      </c>
    </row>
    <row r="564">
      <c r="A564" s="74">
        <v>43963.0</v>
      </c>
      <c r="B564" s="75" t="s">
        <v>2807</v>
      </c>
    </row>
    <row r="565">
      <c r="A565" s="74">
        <v>43964.0</v>
      </c>
      <c r="B565" s="75" t="s">
        <v>2808</v>
      </c>
    </row>
    <row r="566">
      <c r="A566" s="74">
        <v>43965.0</v>
      </c>
      <c r="B566" s="75" t="s">
        <v>2809</v>
      </c>
    </row>
    <row r="567">
      <c r="A567" s="74">
        <v>43966.0</v>
      </c>
      <c r="B567" s="75" t="s">
        <v>2810</v>
      </c>
    </row>
    <row r="568">
      <c r="A568" s="74">
        <v>43967.0</v>
      </c>
      <c r="B568" s="75" t="s">
        <v>2810</v>
      </c>
    </row>
    <row r="569">
      <c r="A569" s="74">
        <v>43968.0</v>
      </c>
      <c r="B569" s="75" t="s">
        <v>2810</v>
      </c>
    </row>
    <row r="570">
      <c r="A570" s="74">
        <v>43969.0</v>
      </c>
      <c r="B570" s="75" t="s">
        <v>2811</v>
      </c>
    </row>
    <row r="571">
      <c r="A571" s="74">
        <v>43970.0</v>
      </c>
      <c r="B571" s="75" t="s">
        <v>2812</v>
      </c>
    </row>
    <row r="572">
      <c r="A572" s="74">
        <v>43971.0</v>
      </c>
      <c r="B572" s="75" t="s">
        <v>2813</v>
      </c>
    </row>
    <row r="573">
      <c r="A573" s="74">
        <v>43972.0</v>
      </c>
      <c r="B573" s="75" t="s">
        <v>2814</v>
      </c>
    </row>
    <row r="574">
      <c r="A574" s="74">
        <v>43973.0</v>
      </c>
      <c r="B574" s="75" t="s">
        <v>2815</v>
      </c>
    </row>
    <row r="575">
      <c r="A575" s="74">
        <v>43974.0</v>
      </c>
      <c r="B575" s="75" t="s">
        <v>2815</v>
      </c>
    </row>
    <row r="576">
      <c r="A576" s="74">
        <v>43975.0</v>
      </c>
      <c r="B576" s="75" t="s">
        <v>2815</v>
      </c>
    </row>
    <row r="577">
      <c r="A577" s="74">
        <v>43976.0</v>
      </c>
      <c r="B577" s="75" t="s">
        <v>2815</v>
      </c>
    </row>
    <row r="578">
      <c r="A578" s="74">
        <v>43977.0</v>
      </c>
      <c r="B578" s="75" t="s">
        <v>2816</v>
      </c>
    </row>
    <row r="579">
      <c r="A579" s="74">
        <v>43978.0</v>
      </c>
      <c r="B579" s="75" t="s">
        <v>2817</v>
      </c>
    </row>
    <row r="580">
      <c r="A580" s="74">
        <v>43979.0</v>
      </c>
      <c r="B580" s="75" t="s">
        <v>2818</v>
      </c>
    </row>
    <row r="581">
      <c r="A581" s="74">
        <v>43980.0</v>
      </c>
      <c r="B581" s="75" t="s">
        <v>2819</v>
      </c>
    </row>
    <row r="582">
      <c r="A582" s="74">
        <v>43981.0</v>
      </c>
      <c r="B582" s="75" t="s">
        <v>2819</v>
      </c>
    </row>
    <row r="583">
      <c r="A583" s="74">
        <v>43982.0</v>
      </c>
      <c r="B583" s="75" t="s">
        <v>2819</v>
      </c>
    </row>
    <row r="584">
      <c r="A584" s="74">
        <v>43983.0</v>
      </c>
      <c r="B584" s="75" t="s">
        <v>2820</v>
      </c>
    </row>
    <row r="585">
      <c r="A585" s="74">
        <v>43984.0</v>
      </c>
      <c r="B585" s="75" t="s">
        <v>2821</v>
      </c>
    </row>
    <row r="586">
      <c r="A586" s="74">
        <v>43985.0</v>
      </c>
      <c r="B586" s="75" t="s">
        <v>2822</v>
      </c>
    </row>
    <row r="587">
      <c r="A587" s="74">
        <v>43986.0</v>
      </c>
      <c r="B587" s="75" t="s">
        <v>2823</v>
      </c>
    </row>
    <row r="588">
      <c r="A588" s="74">
        <v>43987.0</v>
      </c>
      <c r="B588" s="75" t="s">
        <v>2824</v>
      </c>
    </row>
    <row r="589">
      <c r="A589" s="74">
        <v>43988.0</v>
      </c>
      <c r="B589" s="75" t="s">
        <v>2824</v>
      </c>
    </row>
    <row r="590">
      <c r="A590" s="74">
        <v>43989.0</v>
      </c>
      <c r="B590" s="75" t="s">
        <v>2824</v>
      </c>
    </row>
    <row r="591">
      <c r="A591" s="74">
        <v>43990.0</v>
      </c>
      <c r="B591" s="75" t="s">
        <v>1688</v>
      </c>
    </row>
    <row r="592">
      <c r="A592" s="74">
        <v>43991.0</v>
      </c>
      <c r="B592" s="75" t="s">
        <v>2825</v>
      </c>
    </row>
    <row r="593">
      <c r="A593" s="74">
        <v>43992.0</v>
      </c>
      <c r="B593" s="75" t="s">
        <v>2826</v>
      </c>
    </row>
    <row r="594">
      <c r="A594" s="74">
        <v>43993.0</v>
      </c>
      <c r="B594" s="75" t="s">
        <v>2827</v>
      </c>
    </row>
    <row r="595">
      <c r="A595" s="74">
        <v>43994.0</v>
      </c>
      <c r="B595" s="75" t="s">
        <v>2828</v>
      </c>
    </row>
    <row r="596">
      <c r="A596" s="74">
        <v>43995.0</v>
      </c>
      <c r="B596" s="75" t="s">
        <v>2828</v>
      </c>
    </row>
    <row r="597">
      <c r="A597" s="74">
        <v>43996.0</v>
      </c>
      <c r="B597" s="75" t="s">
        <v>2828</v>
      </c>
    </row>
    <row r="598">
      <c r="A598" s="74">
        <v>43997.0</v>
      </c>
      <c r="B598" s="75" t="s">
        <v>2828</v>
      </c>
    </row>
    <row r="599">
      <c r="A599" s="74">
        <v>43998.0</v>
      </c>
      <c r="B599" s="75" t="s">
        <v>2829</v>
      </c>
    </row>
    <row r="600">
      <c r="A600" s="74">
        <v>43999.0</v>
      </c>
      <c r="B600" s="75" t="s">
        <v>2830</v>
      </c>
    </row>
    <row r="601">
      <c r="A601" s="74">
        <v>44000.0</v>
      </c>
      <c r="B601" s="75" t="s">
        <v>2831</v>
      </c>
    </row>
    <row r="602">
      <c r="A602" s="74">
        <v>44001.0</v>
      </c>
      <c r="B602" s="75" t="s">
        <v>2815</v>
      </c>
    </row>
    <row r="603">
      <c r="A603" s="74">
        <v>44002.0</v>
      </c>
      <c r="B603" s="75" t="s">
        <v>2815</v>
      </c>
    </row>
    <row r="604">
      <c r="A604" s="74">
        <v>44003.0</v>
      </c>
      <c r="B604" s="75" t="s">
        <v>2815</v>
      </c>
    </row>
    <row r="605">
      <c r="A605" s="74">
        <v>44004.0</v>
      </c>
      <c r="B605" s="75" t="s">
        <v>2832</v>
      </c>
    </row>
    <row r="606">
      <c r="A606" s="74">
        <v>44005.0</v>
      </c>
      <c r="B606" s="75" t="s">
        <v>2833</v>
      </c>
    </row>
    <row r="607">
      <c r="A607" s="74">
        <v>44006.0</v>
      </c>
      <c r="B607" s="75" t="s">
        <v>2834</v>
      </c>
    </row>
    <row r="608">
      <c r="A608" s="74">
        <v>44007.0</v>
      </c>
      <c r="B608" s="75" t="s">
        <v>2835</v>
      </c>
    </row>
    <row r="609">
      <c r="A609" s="74">
        <v>44008.0</v>
      </c>
      <c r="B609" s="75" t="s">
        <v>2836</v>
      </c>
    </row>
    <row r="610">
      <c r="A610" s="74">
        <v>44009.0</v>
      </c>
      <c r="B610" s="75" t="s">
        <v>2836</v>
      </c>
    </row>
    <row r="611">
      <c r="A611" s="74">
        <v>44010.0</v>
      </c>
      <c r="B611" s="75" t="s">
        <v>2836</v>
      </c>
    </row>
    <row r="612">
      <c r="A612" s="74">
        <v>44011.0</v>
      </c>
      <c r="B612" s="75" t="s">
        <v>2837</v>
      </c>
    </row>
    <row r="613">
      <c r="A613" s="74">
        <v>44012.0</v>
      </c>
      <c r="B613" s="75" t="s">
        <v>2838</v>
      </c>
    </row>
    <row r="614">
      <c r="A614" s="74">
        <v>44013.0</v>
      </c>
      <c r="B614" s="75" t="s">
        <v>2839</v>
      </c>
    </row>
    <row r="615">
      <c r="A615" s="74">
        <v>44014.0</v>
      </c>
      <c r="B615" s="75" t="s">
        <v>2840</v>
      </c>
    </row>
    <row r="616">
      <c r="A616" s="74">
        <v>44015.0</v>
      </c>
      <c r="B616" s="75" t="s">
        <v>2841</v>
      </c>
    </row>
    <row r="617">
      <c r="A617" s="74">
        <v>44016.0</v>
      </c>
      <c r="B617" s="75" t="s">
        <v>2841</v>
      </c>
    </row>
    <row r="618">
      <c r="A618" s="74">
        <v>44017.0</v>
      </c>
      <c r="B618" s="75" t="s">
        <v>2841</v>
      </c>
    </row>
    <row r="619">
      <c r="A619" s="74">
        <v>44018.0</v>
      </c>
      <c r="B619" s="75" t="s">
        <v>2842</v>
      </c>
    </row>
    <row r="620">
      <c r="A620" s="74">
        <v>44019.0</v>
      </c>
      <c r="B620" s="75" t="s">
        <v>1690</v>
      </c>
    </row>
    <row r="621">
      <c r="A621" s="74">
        <v>44020.0</v>
      </c>
      <c r="B621" s="75" t="s">
        <v>2843</v>
      </c>
    </row>
    <row r="622">
      <c r="A622" s="74">
        <v>44021.0</v>
      </c>
      <c r="B622" s="75" t="s">
        <v>2843</v>
      </c>
    </row>
    <row r="623">
      <c r="A623" s="74">
        <v>44022.0</v>
      </c>
      <c r="B623" s="75" t="s">
        <v>2843</v>
      </c>
    </row>
    <row r="624">
      <c r="A624" s="74">
        <v>44023.0</v>
      </c>
      <c r="B624" s="75" t="s">
        <v>2843</v>
      </c>
    </row>
    <row r="625">
      <c r="A625" s="74">
        <v>44024.0</v>
      </c>
      <c r="B625" s="75" t="s">
        <v>2843</v>
      </c>
    </row>
    <row r="626">
      <c r="A626" s="74">
        <v>44025.0</v>
      </c>
      <c r="B626" s="75" t="s">
        <v>1697</v>
      </c>
    </row>
    <row r="627">
      <c r="A627" s="74">
        <v>44026.0</v>
      </c>
      <c r="B627" s="75" t="s">
        <v>2844</v>
      </c>
    </row>
    <row r="628">
      <c r="A628" s="74">
        <v>44027.0</v>
      </c>
      <c r="B628" s="75" t="s">
        <v>1651</v>
      </c>
    </row>
    <row r="629">
      <c r="A629" s="74">
        <v>44028.0</v>
      </c>
      <c r="B629" s="75" t="s">
        <v>2845</v>
      </c>
    </row>
    <row r="630">
      <c r="A630" s="74">
        <v>44029.0</v>
      </c>
      <c r="B630" s="75" t="s">
        <v>2846</v>
      </c>
    </row>
    <row r="631">
      <c r="A631" s="74">
        <v>44030.0</v>
      </c>
      <c r="B631" s="75" t="s">
        <v>2846</v>
      </c>
    </row>
    <row r="632">
      <c r="A632" s="74">
        <v>44031.0</v>
      </c>
      <c r="B632" s="75" t="s">
        <v>2846</v>
      </c>
    </row>
    <row r="633">
      <c r="A633" s="74">
        <v>44032.0</v>
      </c>
      <c r="B633" s="75" t="s">
        <v>2847</v>
      </c>
    </row>
    <row r="634">
      <c r="A634" s="74">
        <v>44033.0</v>
      </c>
      <c r="B634" s="75" t="s">
        <v>2848</v>
      </c>
    </row>
    <row r="635">
      <c r="A635" s="74">
        <v>44034.0</v>
      </c>
      <c r="B635" s="75" t="s">
        <v>2849</v>
      </c>
    </row>
    <row r="636">
      <c r="A636" s="74">
        <v>44035.0</v>
      </c>
      <c r="B636" s="75" t="s">
        <v>2850</v>
      </c>
    </row>
    <row r="637">
      <c r="A637" s="74">
        <v>44036.0</v>
      </c>
      <c r="B637" s="75" t="s">
        <v>2851</v>
      </c>
    </row>
    <row r="638">
      <c r="A638" s="74">
        <v>44037.0</v>
      </c>
      <c r="B638" s="75" t="s">
        <v>2851</v>
      </c>
    </row>
    <row r="639">
      <c r="A639" s="74">
        <v>44038.0</v>
      </c>
      <c r="B639" s="75" t="s">
        <v>2851</v>
      </c>
    </row>
    <row r="640">
      <c r="A640" s="74">
        <v>44039.0</v>
      </c>
      <c r="B640" s="75" t="s">
        <v>2852</v>
      </c>
    </row>
    <row r="641">
      <c r="A641" s="74">
        <v>44040.0</v>
      </c>
      <c r="B641" s="75" t="s">
        <v>2853</v>
      </c>
    </row>
    <row r="642">
      <c r="A642" s="74">
        <v>44041.0</v>
      </c>
      <c r="B642" s="75" t="s">
        <v>2854</v>
      </c>
    </row>
    <row r="643">
      <c r="A643" s="74">
        <v>44042.0</v>
      </c>
      <c r="B643" s="75" t="s">
        <v>2855</v>
      </c>
    </row>
    <row r="644">
      <c r="A644" s="74">
        <v>44043.0</v>
      </c>
      <c r="B644" s="75" t="s">
        <v>2856</v>
      </c>
    </row>
    <row r="645">
      <c r="A645" s="74">
        <v>44044.0</v>
      </c>
      <c r="B645" s="75" t="s">
        <v>2856</v>
      </c>
    </row>
    <row r="646">
      <c r="A646" s="74">
        <v>44045.0</v>
      </c>
      <c r="B646" s="75" t="s">
        <v>2856</v>
      </c>
    </row>
    <row r="647">
      <c r="A647" s="74">
        <v>44046.0</v>
      </c>
      <c r="B647" s="75" t="s">
        <v>1716</v>
      </c>
    </row>
    <row r="648">
      <c r="A648" s="74">
        <v>44047.0</v>
      </c>
      <c r="B648" s="75" t="s">
        <v>2857</v>
      </c>
    </row>
    <row r="649">
      <c r="A649" s="74">
        <v>44048.0</v>
      </c>
      <c r="B649" s="75" t="s">
        <v>2858</v>
      </c>
    </row>
    <row r="650">
      <c r="A650" s="74">
        <v>44049.0</v>
      </c>
      <c r="B650" s="75" t="s">
        <v>2859</v>
      </c>
    </row>
    <row r="651">
      <c r="A651" s="74">
        <v>44050.0</v>
      </c>
      <c r="B651" s="75" t="s">
        <v>2860</v>
      </c>
    </row>
    <row r="652">
      <c r="A652" s="74">
        <v>44051.0</v>
      </c>
      <c r="B652" s="75" t="s">
        <v>2860</v>
      </c>
    </row>
    <row r="653">
      <c r="A653" s="74">
        <v>44052.0</v>
      </c>
      <c r="B653" s="75" t="s">
        <v>2860</v>
      </c>
    </row>
    <row r="654">
      <c r="A654" s="74">
        <v>44053.0</v>
      </c>
      <c r="B654" s="75" t="s">
        <v>1734</v>
      </c>
    </row>
    <row r="655">
      <c r="A655" s="74">
        <v>44054.0</v>
      </c>
      <c r="B655" s="75" t="s">
        <v>2861</v>
      </c>
    </row>
    <row r="656">
      <c r="A656" s="74">
        <v>44055.0</v>
      </c>
      <c r="B656" s="75" t="s">
        <v>2862</v>
      </c>
    </row>
    <row r="657">
      <c r="A657" s="74">
        <v>44056.0</v>
      </c>
      <c r="B657" s="75" t="s">
        <v>2863</v>
      </c>
    </row>
    <row r="658">
      <c r="A658" s="74">
        <v>44057.0</v>
      </c>
      <c r="B658" s="75" t="s">
        <v>2864</v>
      </c>
    </row>
    <row r="659">
      <c r="A659" s="74">
        <v>44058.0</v>
      </c>
      <c r="B659" s="75" t="s">
        <v>2864</v>
      </c>
    </row>
    <row r="660">
      <c r="A660" s="74">
        <v>44059.0</v>
      </c>
      <c r="B660" s="75" t="s">
        <v>2864</v>
      </c>
    </row>
    <row r="661">
      <c r="A661" s="74">
        <v>44060.0</v>
      </c>
      <c r="B661" s="75" t="s">
        <v>2864</v>
      </c>
    </row>
    <row r="662">
      <c r="A662" s="74">
        <v>44061.0</v>
      </c>
      <c r="B662" s="75" t="s">
        <v>2865</v>
      </c>
    </row>
    <row r="663">
      <c r="A663" s="74">
        <v>44062.0</v>
      </c>
      <c r="B663" s="75" t="s">
        <v>2866</v>
      </c>
    </row>
    <row r="664">
      <c r="A664" s="74">
        <v>44063.0</v>
      </c>
      <c r="B664" s="75" t="s">
        <v>2867</v>
      </c>
    </row>
    <row r="665">
      <c r="A665" s="74">
        <v>44064.0</v>
      </c>
      <c r="B665" s="75" t="s">
        <v>2868</v>
      </c>
    </row>
    <row r="666">
      <c r="A666" s="74">
        <v>44065.0</v>
      </c>
      <c r="B666" s="75" t="s">
        <v>2868</v>
      </c>
    </row>
    <row r="667">
      <c r="A667" s="74">
        <v>44066.0</v>
      </c>
      <c r="B667" s="75" t="s">
        <v>2868</v>
      </c>
    </row>
    <row r="668">
      <c r="A668" s="74">
        <v>44067.0</v>
      </c>
      <c r="B668" s="75" t="s">
        <v>2869</v>
      </c>
    </row>
    <row r="669">
      <c r="A669" s="74">
        <v>44068.0</v>
      </c>
      <c r="B669" s="75" t="s">
        <v>2870</v>
      </c>
    </row>
    <row r="670">
      <c r="A670" s="74">
        <v>44069.0</v>
      </c>
      <c r="B670" s="75" t="s">
        <v>2871</v>
      </c>
    </row>
    <row r="671">
      <c r="A671" s="74">
        <v>44070.0</v>
      </c>
      <c r="B671" s="75" t="s">
        <v>2872</v>
      </c>
    </row>
    <row r="672">
      <c r="A672" s="74">
        <v>44071.0</v>
      </c>
      <c r="B672" s="75" t="s">
        <v>2873</v>
      </c>
    </row>
    <row r="673">
      <c r="A673" s="74">
        <v>44072.0</v>
      </c>
      <c r="B673" s="75" t="s">
        <v>2873</v>
      </c>
    </row>
    <row r="674">
      <c r="A674" s="74">
        <v>44073.0</v>
      </c>
      <c r="B674" s="75" t="s">
        <v>2873</v>
      </c>
    </row>
    <row r="675">
      <c r="A675" s="74">
        <v>44074.0</v>
      </c>
      <c r="B675" s="75" t="s">
        <v>2874</v>
      </c>
    </row>
    <row r="676">
      <c r="A676" s="74">
        <v>44075.0</v>
      </c>
      <c r="B676" s="75" t="s">
        <v>2875</v>
      </c>
    </row>
    <row r="677">
      <c r="A677" s="74">
        <v>44076.0</v>
      </c>
      <c r="B677" s="75" t="s">
        <v>2876</v>
      </c>
    </row>
    <row r="678">
      <c r="A678" s="74">
        <v>44077.0</v>
      </c>
      <c r="B678" s="75" t="s">
        <v>1668</v>
      </c>
    </row>
    <row r="679">
      <c r="A679" s="74">
        <v>44078.0</v>
      </c>
      <c r="B679" s="75" t="s">
        <v>2877</v>
      </c>
    </row>
    <row r="680">
      <c r="A680" s="74">
        <v>44079.0</v>
      </c>
      <c r="B680" s="75" t="s">
        <v>2877</v>
      </c>
    </row>
    <row r="681">
      <c r="A681" s="74">
        <v>44080.0</v>
      </c>
      <c r="B681" s="75" t="s">
        <v>2877</v>
      </c>
    </row>
    <row r="682">
      <c r="A682" s="74">
        <v>44081.0</v>
      </c>
      <c r="B682" s="75" t="s">
        <v>2878</v>
      </c>
    </row>
    <row r="683">
      <c r="A683" s="74">
        <v>44082.0</v>
      </c>
      <c r="B683" s="75" t="s">
        <v>2879</v>
      </c>
    </row>
    <row r="684">
      <c r="A684" s="74">
        <v>44083.0</v>
      </c>
      <c r="B684" s="75" t="s">
        <v>2880</v>
      </c>
    </row>
    <row r="685">
      <c r="A685" s="74">
        <v>44084.0</v>
      </c>
      <c r="B685" s="75" t="s">
        <v>2881</v>
      </c>
    </row>
    <row r="686">
      <c r="A686" s="74">
        <v>44085.0</v>
      </c>
      <c r="B686" s="75" t="s">
        <v>2882</v>
      </c>
    </row>
    <row r="687">
      <c r="A687" s="74">
        <v>44086.0</v>
      </c>
      <c r="B687" s="75" t="s">
        <v>2882</v>
      </c>
    </row>
    <row r="688">
      <c r="A688" s="74">
        <v>44087.0</v>
      </c>
      <c r="B688" s="75" t="s">
        <v>2882</v>
      </c>
    </row>
    <row r="689">
      <c r="A689" s="74">
        <v>44088.0</v>
      </c>
      <c r="B689" s="75" t="s">
        <v>2883</v>
      </c>
    </row>
    <row r="690">
      <c r="A690" s="74">
        <v>44089.0</v>
      </c>
      <c r="B690" s="75" t="s">
        <v>2884</v>
      </c>
    </row>
    <row r="691">
      <c r="A691" s="74">
        <v>44090.0</v>
      </c>
      <c r="B691" s="75" t="s">
        <v>2866</v>
      </c>
    </row>
    <row r="692">
      <c r="A692" s="74">
        <v>44091.0</v>
      </c>
      <c r="B692" s="75" t="s">
        <v>2885</v>
      </c>
    </row>
    <row r="693">
      <c r="A693" s="74">
        <v>44092.0</v>
      </c>
      <c r="B693" s="75" t="s">
        <v>2886</v>
      </c>
    </row>
    <row r="694">
      <c r="A694" s="74">
        <v>44095.0</v>
      </c>
      <c r="B694" s="75" t="s">
        <v>2887</v>
      </c>
    </row>
    <row r="695">
      <c r="A695" s="74">
        <v>44096.0</v>
      </c>
      <c r="B695" s="75" t="s">
        <v>2888</v>
      </c>
    </row>
    <row r="696">
      <c r="A696" s="74">
        <v>44097.0</v>
      </c>
      <c r="B696" s="75" t="s">
        <v>2889</v>
      </c>
    </row>
    <row r="697">
      <c r="A697" s="74">
        <v>44098.0</v>
      </c>
      <c r="B697" s="75" t="s">
        <v>2890</v>
      </c>
    </row>
    <row r="698">
      <c r="A698" s="74">
        <v>44099.0</v>
      </c>
      <c r="B698" s="75" t="s">
        <v>2891</v>
      </c>
    </row>
    <row r="699">
      <c r="A699" s="74">
        <v>44102.0</v>
      </c>
      <c r="B699" s="75" t="s">
        <v>2892</v>
      </c>
    </row>
    <row r="700">
      <c r="A700" s="74">
        <v>44103.0</v>
      </c>
      <c r="B700" s="75" t="s">
        <v>2893</v>
      </c>
    </row>
    <row r="701">
      <c r="A701" s="74">
        <v>44104.0</v>
      </c>
      <c r="B701" s="75" t="s">
        <v>2894</v>
      </c>
    </row>
    <row r="702">
      <c r="A702" s="74">
        <v>44105.0</v>
      </c>
      <c r="B702" s="75" t="s">
        <v>2895</v>
      </c>
    </row>
    <row r="703">
      <c r="A703" s="74">
        <v>44106.0</v>
      </c>
      <c r="B703" s="75" t="s">
        <v>2896</v>
      </c>
    </row>
    <row r="704">
      <c r="A704" s="74">
        <v>44109.0</v>
      </c>
      <c r="B704" s="75" t="s">
        <v>1806</v>
      </c>
    </row>
    <row r="705">
      <c r="A705" s="74">
        <v>44110.0</v>
      </c>
      <c r="B705" s="75" t="s">
        <v>2897</v>
      </c>
    </row>
    <row r="706">
      <c r="A706" s="74">
        <v>44111.0</v>
      </c>
      <c r="B706" s="75" t="s">
        <v>2898</v>
      </c>
    </row>
    <row r="707">
      <c r="A707" s="74">
        <v>44112.0</v>
      </c>
      <c r="B707" s="75" t="s">
        <v>2899</v>
      </c>
    </row>
    <row r="708">
      <c r="A708" s="74">
        <v>44113.0</v>
      </c>
      <c r="B708" s="75" t="s">
        <v>2900</v>
      </c>
    </row>
    <row r="709">
      <c r="A709" s="74">
        <v>44117.0</v>
      </c>
      <c r="B709" s="75" t="s">
        <v>2901</v>
      </c>
    </row>
    <row r="710">
      <c r="A710" s="74">
        <v>44118.0</v>
      </c>
      <c r="B710" s="75" t="s">
        <v>2902</v>
      </c>
    </row>
    <row r="711">
      <c r="A711" s="74">
        <v>44119.0</v>
      </c>
      <c r="B711" s="75" t="s">
        <v>2903</v>
      </c>
    </row>
    <row r="712">
      <c r="A712" s="74">
        <v>44120.0</v>
      </c>
      <c r="B712" s="75" t="s">
        <v>2904</v>
      </c>
    </row>
    <row r="713">
      <c r="A713" s="74">
        <v>44123.0</v>
      </c>
      <c r="B713" s="75" t="s">
        <v>1879</v>
      </c>
    </row>
    <row r="714">
      <c r="A714" s="74">
        <v>44124.0</v>
      </c>
      <c r="B714" s="75" t="s">
        <v>2905</v>
      </c>
    </row>
    <row r="715">
      <c r="A715" s="74">
        <v>44125.0</v>
      </c>
      <c r="B715" s="75" t="s">
        <v>2906</v>
      </c>
    </row>
    <row r="716">
      <c r="A716" s="74">
        <v>44126.0</v>
      </c>
      <c r="B716" s="75" t="s">
        <v>2907</v>
      </c>
    </row>
    <row r="717">
      <c r="A717" s="74">
        <v>44127.0</v>
      </c>
      <c r="B717" s="75" t="s">
        <v>2908</v>
      </c>
    </row>
    <row r="718">
      <c r="A718" s="74">
        <v>44130.0</v>
      </c>
      <c r="B718" s="75" t="s">
        <v>2909</v>
      </c>
    </row>
    <row r="719">
      <c r="A719" s="74">
        <v>44131.0</v>
      </c>
      <c r="B719" s="75" t="s">
        <v>2910</v>
      </c>
    </row>
    <row r="720">
      <c r="A720" s="74">
        <v>44132.0</v>
      </c>
      <c r="B720" s="75" t="s">
        <v>2911</v>
      </c>
    </row>
    <row r="721">
      <c r="A721" s="74">
        <v>44133.0</v>
      </c>
      <c r="B721" s="75" t="s">
        <v>2912</v>
      </c>
    </row>
    <row r="722">
      <c r="A722" s="74">
        <v>44134.0</v>
      </c>
      <c r="B722" s="75" t="s">
        <v>2913</v>
      </c>
    </row>
    <row r="723">
      <c r="A723" s="74">
        <v>44137.0</v>
      </c>
      <c r="B723" s="75" t="s">
        <v>2914</v>
      </c>
    </row>
    <row r="724">
      <c r="A724" s="74">
        <v>44138.0</v>
      </c>
      <c r="B724" s="75" t="s">
        <v>2915</v>
      </c>
    </row>
    <row r="725">
      <c r="A725" s="74">
        <v>44139.0</v>
      </c>
      <c r="B725" s="75" t="s">
        <v>2916</v>
      </c>
    </row>
    <row r="726">
      <c r="A726" s="74">
        <v>44140.0</v>
      </c>
      <c r="B726" s="75" t="s">
        <v>2917</v>
      </c>
    </row>
    <row r="727">
      <c r="A727" s="74">
        <v>44141.0</v>
      </c>
      <c r="B727" s="75" t="s">
        <v>2918</v>
      </c>
    </row>
    <row r="728">
      <c r="A728" s="74">
        <v>44144.0</v>
      </c>
      <c r="B728" s="75" t="s">
        <v>2919</v>
      </c>
    </row>
    <row r="729">
      <c r="A729" s="74">
        <v>44145.0</v>
      </c>
      <c r="B729" s="75" t="s">
        <v>2920</v>
      </c>
    </row>
    <row r="730">
      <c r="A730" s="74">
        <v>44146.0</v>
      </c>
      <c r="B730" s="75" t="s">
        <v>1811</v>
      </c>
    </row>
    <row r="731">
      <c r="A731" s="74">
        <v>44147.0</v>
      </c>
      <c r="B731" s="75" t="s">
        <v>2921</v>
      </c>
    </row>
    <row r="732">
      <c r="A732" s="74">
        <v>44148.0</v>
      </c>
      <c r="B732" s="75" t="s">
        <v>2922</v>
      </c>
    </row>
    <row r="733">
      <c r="A733" s="74">
        <v>44151.0</v>
      </c>
      <c r="B733" s="75" t="s">
        <v>2923</v>
      </c>
    </row>
    <row r="734">
      <c r="A734" s="74">
        <v>44152.0</v>
      </c>
      <c r="B734" s="75" t="s">
        <v>2924</v>
      </c>
    </row>
    <row r="735">
      <c r="A735" s="74">
        <v>44153.0</v>
      </c>
      <c r="B735" s="75" t="s">
        <v>2925</v>
      </c>
    </row>
    <row r="736">
      <c r="A736" s="74">
        <v>44154.0</v>
      </c>
      <c r="B736" s="75" t="s">
        <v>2926</v>
      </c>
    </row>
    <row r="737">
      <c r="A737" s="74">
        <v>44155.0</v>
      </c>
      <c r="B737" s="75" t="s">
        <v>2927</v>
      </c>
    </row>
    <row r="738">
      <c r="A738" s="74">
        <v>44159.0</v>
      </c>
      <c r="B738" s="75" t="s">
        <v>2928</v>
      </c>
    </row>
    <row r="739">
      <c r="A739" s="74">
        <v>44160.0</v>
      </c>
      <c r="B739" s="75" t="s">
        <v>2929</v>
      </c>
    </row>
    <row r="740">
      <c r="A740" s="74">
        <v>44161.0</v>
      </c>
      <c r="B740" s="75" t="s">
        <v>2930</v>
      </c>
    </row>
    <row r="741">
      <c r="A741" s="74">
        <v>44162.0</v>
      </c>
      <c r="B741" s="75" t="s">
        <v>2931</v>
      </c>
    </row>
    <row r="742">
      <c r="A742" s="74">
        <v>44165.0</v>
      </c>
      <c r="B742" s="75" t="s">
        <v>2932</v>
      </c>
    </row>
    <row r="743">
      <c r="A743" s="74">
        <v>44166.0</v>
      </c>
      <c r="B743" s="75" t="s">
        <v>2933</v>
      </c>
    </row>
    <row r="744">
      <c r="A744" s="74">
        <v>44167.0</v>
      </c>
      <c r="B744" s="75" t="s">
        <v>2934</v>
      </c>
    </row>
    <row r="745">
      <c r="A745" s="74">
        <v>44168.0</v>
      </c>
      <c r="B745" s="75" t="s">
        <v>2935</v>
      </c>
    </row>
    <row r="746">
      <c r="A746" s="74">
        <v>44169.0</v>
      </c>
      <c r="B746" s="75" t="s">
        <v>2936</v>
      </c>
    </row>
    <row r="747">
      <c r="A747" s="74">
        <v>44174.0</v>
      </c>
      <c r="B747" s="75" t="s">
        <v>2937</v>
      </c>
    </row>
    <row r="748">
      <c r="A748" s="74">
        <v>44175.0</v>
      </c>
      <c r="B748" s="75" t="s">
        <v>2938</v>
      </c>
    </row>
    <row r="749">
      <c r="A749" s="74">
        <v>44176.0</v>
      </c>
      <c r="B749" s="75" t="s">
        <v>2939</v>
      </c>
    </row>
    <row r="750">
      <c r="A750" s="74">
        <v>44179.0</v>
      </c>
      <c r="B750" s="75" t="s">
        <v>2940</v>
      </c>
    </row>
    <row r="751">
      <c r="A751" s="74">
        <v>44180.0</v>
      </c>
      <c r="B751" s="75" t="s">
        <v>2941</v>
      </c>
    </row>
    <row r="752">
      <c r="A752" s="74">
        <v>44181.0</v>
      </c>
      <c r="B752" s="75" t="s">
        <v>2942</v>
      </c>
    </row>
    <row r="753">
      <c r="A753" s="74">
        <v>44182.0</v>
      </c>
      <c r="B753" s="75" t="s">
        <v>2943</v>
      </c>
    </row>
    <row r="754">
      <c r="A754" s="74">
        <v>44183.0</v>
      </c>
      <c r="B754" s="75" t="s">
        <v>2944</v>
      </c>
    </row>
    <row r="755">
      <c r="A755" s="74">
        <v>44186.0</v>
      </c>
      <c r="B755" s="75" t="s">
        <v>2945</v>
      </c>
    </row>
    <row r="756">
      <c r="A756" s="74">
        <v>44187.0</v>
      </c>
      <c r="B756" s="75" t="s">
        <v>2946</v>
      </c>
    </row>
    <row r="757">
      <c r="A757" s="74">
        <v>44188.0</v>
      </c>
      <c r="B757" s="75" t="s">
        <v>2947</v>
      </c>
    </row>
    <row r="758">
      <c r="A758" s="74">
        <v>44193.0</v>
      </c>
      <c r="B758" s="75" t="s">
        <v>2948</v>
      </c>
    </row>
    <row r="759">
      <c r="A759" s="74">
        <v>44194.0</v>
      </c>
      <c r="B759" s="75" t="s">
        <v>2949</v>
      </c>
    </row>
    <row r="760">
      <c r="A760" s="74">
        <v>44195.0</v>
      </c>
      <c r="B760" s="75" t="s">
        <v>2950</v>
      </c>
    </row>
    <row r="761">
      <c r="A761" s="74">
        <v>44200.0</v>
      </c>
      <c r="B761" s="75" t="s">
        <v>2951</v>
      </c>
    </row>
    <row r="762">
      <c r="A762" s="74">
        <v>44201.0</v>
      </c>
      <c r="B762" s="75" t="s">
        <v>2952</v>
      </c>
    </row>
    <row r="763">
      <c r="A763" s="74">
        <v>44202.0</v>
      </c>
      <c r="B763" s="75" t="s">
        <v>2953</v>
      </c>
    </row>
    <row r="764">
      <c r="A764" s="74">
        <v>44203.0</v>
      </c>
      <c r="B764" s="75" t="s">
        <v>2954</v>
      </c>
    </row>
    <row r="765">
      <c r="A765" s="74">
        <v>44204.0</v>
      </c>
      <c r="B765" s="75" t="s">
        <v>2955</v>
      </c>
    </row>
    <row r="766">
      <c r="A766" s="74">
        <v>44207.0</v>
      </c>
      <c r="B766" s="75" t="s">
        <v>2956</v>
      </c>
    </row>
    <row r="767">
      <c r="A767" s="74">
        <v>44208.0</v>
      </c>
      <c r="B767" s="75" t="s">
        <v>2957</v>
      </c>
    </row>
    <row r="768">
      <c r="A768" s="74">
        <v>44209.0</v>
      </c>
      <c r="B768" s="75" t="s">
        <v>2958</v>
      </c>
    </row>
    <row r="769">
      <c r="A769" s="74">
        <v>44210.0</v>
      </c>
      <c r="B769" s="75" t="s">
        <v>2959</v>
      </c>
    </row>
    <row r="770">
      <c r="A770" s="74">
        <v>44211.0</v>
      </c>
      <c r="B770" s="75" t="s">
        <v>2960</v>
      </c>
    </row>
    <row r="771">
      <c r="A771" s="74">
        <v>44214.0</v>
      </c>
      <c r="B771" s="75" t="s">
        <v>2961</v>
      </c>
    </row>
    <row r="772">
      <c r="A772" s="74">
        <v>44215.0</v>
      </c>
      <c r="B772" s="75" t="s">
        <v>2962</v>
      </c>
    </row>
    <row r="773">
      <c r="A773" s="74">
        <v>44216.0</v>
      </c>
      <c r="B773" s="75" t="s">
        <v>2963</v>
      </c>
    </row>
    <row r="774">
      <c r="A774" s="74">
        <v>44217.0</v>
      </c>
      <c r="B774" s="75" t="s">
        <v>2964</v>
      </c>
    </row>
    <row r="775">
      <c r="A775" s="74">
        <v>44218.0</v>
      </c>
      <c r="B775" s="75" t="s">
        <v>2961</v>
      </c>
    </row>
    <row r="776">
      <c r="A776" s="74">
        <v>44221.0</v>
      </c>
      <c r="B776" s="75" t="s">
        <v>2965</v>
      </c>
    </row>
    <row r="777">
      <c r="A777" s="74">
        <v>44222.0</v>
      </c>
      <c r="B777" s="75" t="s">
        <v>2966</v>
      </c>
    </row>
    <row r="778">
      <c r="A778" s="74">
        <v>44223.0</v>
      </c>
      <c r="B778" s="75" t="s">
        <v>2967</v>
      </c>
    </row>
    <row r="779">
      <c r="A779" s="74">
        <v>44224.0</v>
      </c>
      <c r="B779" s="75" t="s">
        <v>2968</v>
      </c>
    </row>
    <row r="780">
      <c r="A780" s="74">
        <v>44225.0</v>
      </c>
      <c r="B780" s="75" t="s">
        <v>2969</v>
      </c>
    </row>
    <row r="781">
      <c r="A781" s="74">
        <v>44228.0</v>
      </c>
      <c r="B781" s="75" t="s">
        <v>2967</v>
      </c>
    </row>
    <row r="782">
      <c r="A782" s="74">
        <v>44229.0</v>
      </c>
      <c r="B782" s="75" t="s">
        <v>2970</v>
      </c>
    </row>
    <row r="783">
      <c r="A783" s="74">
        <v>44230.0</v>
      </c>
      <c r="B783" s="75" t="s">
        <v>2971</v>
      </c>
    </row>
    <row r="784">
      <c r="A784" s="74">
        <v>44231.0</v>
      </c>
      <c r="B784" s="75" t="s">
        <v>2972</v>
      </c>
    </row>
    <row r="785">
      <c r="A785" s="74">
        <v>44232.0</v>
      </c>
      <c r="B785" s="75" t="s">
        <v>2973</v>
      </c>
    </row>
    <row r="786">
      <c r="A786" s="74">
        <v>44235.0</v>
      </c>
      <c r="B786" s="75" t="s">
        <v>2973</v>
      </c>
    </row>
    <row r="787">
      <c r="A787" s="74">
        <v>44236.0</v>
      </c>
      <c r="B787" s="75" t="s">
        <v>2974</v>
      </c>
    </row>
    <row r="788">
      <c r="A788" s="74">
        <v>44237.0</v>
      </c>
      <c r="B788" s="75" t="s">
        <v>2975</v>
      </c>
    </row>
    <row r="789">
      <c r="A789" s="74">
        <v>44238.0</v>
      </c>
      <c r="B789" s="75" t="s">
        <v>2976</v>
      </c>
    </row>
    <row r="790">
      <c r="A790" s="74">
        <v>44239.0</v>
      </c>
      <c r="B790" s="75" t="s">
        <v>2977</v>
      </c>
    </row>
    <row r="791">
      <c r="A791" s="74">
        <v>44244.0</v>
      </c>
      <c r="B791" s="75" t="s">
        <v>2978</v>
      </c>
    </row>
    <row r="792">
      <c r="A792" s="74">
        <v>44245.0</v>
      </c>
      <c r="B792" s="75" t="s">
        <v>2979</v>
      </c>
    </row>
    <row r="793">
      <c r="A793" s="74">
        <v>44246.0</v>
      </c>
      <c r="B793" s="75" t="s">
        <v>2893</v>
      </c>
    </row>
    <row r="794">
      <c r="A794" s="74">
        <v>44249.0</v>
      </c>
      <c r="B794" s="75" t="s">
        <v>2980</v>
      </c>
    </row>
    <row r="795">
      <c r="A795" s="74">
        <v>44250.0</v>
      </c>
      <c r="B795" s="75" t="s">
        <v>2896</v>
      </c>
    </row>
    <row r="796">
      <c r="A796" s="74">
        <v>44251.0</v>
      </c>
      <c r="B796" s="75" t="s">
        <v>2981</v>
      </c>
    </row>
    <row r="797">
      <c r="A797" s="74">
        <v>44252.0</v>
      </c>
      <c r="B797" s="75" t="s">
        <v>2982</v>
      </c>
    </row>
    <row r="798">
      <c r="A798" s="74">
        <v>44253.0</v>
      </c>
      <c r="B798" s="75" t="s">
        <v>2983</v>
      </c>
    </row>
    <row r="799">
      <c r="A799" s="74">
        <v>44256.0</v>
      </c>
      <c r="B799" s="75" t="s">
        <v>2984</v>
      </c>
    </row>
    <row r="800">
      <c r="A800" s="74">
        <v>44257.0</v>
      </c>
      <c r="B800" s="75" t="s">
        <v>2985</v>
      </c>
    </row>
    <row r="801">
      <c r="A801" s="74">
        <v>44258.0</v>
      </c>
      <c r="B801" s="75" t="s">
        <v>2986</v>
      </c>
    </row>
    <row r="802">
      <c r="A802" s="74">
        <v>44259.0</v>
      </c>
      <c r="B802" s="75" t="s">
        <v>2987</v>
      </c>
    </row>
    <row r="803">
      <c r="A803" s="74">
        <v>44260.0</v>
      </c>
      <c r="B803" s="75" t="s">
        <v>1757</v>
      </c>
    </row>
    <row r="804">
      <c r="A804" s="74">
        <v>44263.0</v>
      </c>
      <c r="B804" s="75" t="s">
        <v>1757</v>
      </c>
    </row>
    <row r="805">
      <c r="A805" s="74">
        <v>44264.0</v>
      </c>
      <c r="B805" s="75" t="s">
        <v>2988</v>
      </c>
    </row>
    <row r="806">
      <c r="A806" s="74">
        <v>44265.0</v>
      </c>
      <c r="B806" s="75" t="s">
        <v>2989</v>
      </c>
    </row>
    <row r="807">
      <c r="A807" s="74">
        <v>44266.0</v>
      </c>
      <c r="B807" s="75" t="s">
        <v>2990</v>
      </c>
    </row>
    <row r="808">
      <c r="A808" s="74">
        <v>44267.0</v>
      </c>
      <c r="B808" s="75" t="s">
        <v>2991</v>
      </c>
    </row>
    <row r="809">
      <c r="A809" s="74">
        <v>44270.0</v>
      </c>
      <c r="B809" s="75" t="s">
        <v>2992</v>
      </c>
    </row>
    <row r="810">
      <c r="A810" s="74">
        <v>44271.0</v>
      </c>
      <c r="B810" s="75" t="s">
        <v>2993</v>
      </c>
    </row>
    <row r="811">
      <c r="A811" s="74">
        <v>44272.0</v>
      </c>
      <c r="B811" s="75" t="s">
        <v>2994</v>
      </c>
    </row>
    <row r="812">
      <c r="A812" s="74">
        <v>44273.0</v>
      </c>
      <c r="B812" s="75" t="s">
        <v>2995</v>
      </c>
    </row>
    <row r="813">
      <c r="A813" s="74">
        <v>44274.0</v>
      </c>
      <c r="B813" s="75" t="s">
        <v>2996</v>
      </c>
    </row>
    <row r="814">
      <c r="A814" s="74">
        <v>44277.0</v>
      </c>
      <c r="B814" s="75" t="s">
        <v>2997</v>
      </c>
    </row>
    <row r="815">
      <c r="A815" s="74">
        <v>44278.0</v>
      </c>
      <c r="B815" s="75" t="s">
        <v>2998</v>
      </c>
    </row>
    <row r="816">
      <c r="A816" s="74">
        <v>44280.0</v>
      </c>
      <c r="B816" s="75" t="s">
        <v>2999</v>
      </c>
    </row>
    <row r="817">
      <c r="A817" s="74">
        <v>44281.0</v>
      </c>
      <c r="B817" s="75" t="s">
        <v>3000</v>
      </c>
    </row>
    <row r="818">
      <c r="A818" s="74">
        <v>44284.0</v>
      </c>
      <c r="B818" s="75" t="s">
        <v>3001</v>
      </c>
    </row>
    <row r="819">
      <c r="A819" s="74">
        <v>44285.0</v>
      </c>
      <c r="B819" s="75" t="s">
        <v>3002</v>
      </c>
    </row>
    <row r="820">
      <c r="A820" s="74">
        <v>44286.0</v>
      </c>
      <c r="B820" s="75" t="s">
        <v>2944</v>
      </c>
    </row>
    <row r="821">
      <c r="A821" s="74">
        <v>44291.0</v>
      </c>
      <c r="B821" s="75" t="s">
        <v>1809</v>
      </c>
    </row>
    <row r="822">
      <c r="A822" s="74">
        <v>44292.0</v>
      </c>
      <c r="B822" s="75" t="s">
        <v>3003</v>
      </c>
    </row>
    <row r="823">
      <c r="A823" s="74">
        <v>44293.0</v>
      </c>
      <c r="B823" s="75" t="s">
        <v>3004</v>
      </c>
    </row>
    <row r="824">
      <c r="A824" s="74">
        <v>44294.0</v>
      </c>
      <c r="B824" s="75" t="s">
        <v>3005</v>
      </c>
    </row>
    <row r="825">
      <c r="A825" s="74">
        <v>44295.0</v>
      </c>
      <c r="B825" s="75" t="s">
        <v>3006</v>
      </c>
    </row>
    <row r="826">
      <c r="A826" s="74">
        <v>44298.0</v>
      </c>
      <c r="B826" s="75" t="s">
        <v>3007</v>
      </c>
    </row>
    <row r="827">
      <c r="A827" s="74">
        <v>44299.0</v>
      </c>
      <c r="B827" s="75" t="s">
        <v>3008</v>
      </c>
    </row>
    <row r="828">
      <c r="A828" s="74">
        <v>44300.0</v>
      </c>
      <c r="B828" s="75" t="s">
        <v>1843</v>
      </c>
    </row>
    <row r="829">
      <c r="A829" s="74">
        <v>44301.0</v>
      </c>
      <c r="B829" s="75" t="s">
        <v>3009</v>
      </c>
    </row>
    <row r="830">
      <c r="A830" s="74">
        <v>44302.0</v>
      </c>
      <c r="B830" s="75" t="s">
        <v>3010</v>
      </c>
    </row>
    <row r="831">
      <c r="A831" s="74">
        <v>44305.0</v>
      </c>
      <c r="B831" s="75" t="s">
        <v>3011</v>
      </c>
    </row>
    <row r="832">
      <c r="A832" s="74">
        <v>44306.0</v>
      </c>
      <c r="B832" s="75" t="s">
        <v>3012</v>
      </c>
    </row>
    <row r="833">
      <c r="A833" s="74">
        <v>44307.0</v>
      </c>
      <c r="B833" s="75" t="s">
        <v>2987</v>
      </c>
    </row>
    <row r="834">
      <c r="A834" s="74">
        <v>44308.0</v>
      </c>
      <c r="B834" s="75" t="s">
        <v>3013</v>
      </c>
    </row>
    <row r="835">
      <c r="A835" s="74">
        <v>44309.0</v>
      </c>
      <c r="B835" s="75" t="s">
        <v>3014</v>
      </c>
    </row>
    <row r="836">
      <c r="A836" s="74">
        <v>44312.0</v>
      </c>
      <c r="B836" s="75" t="s">
        <v>3015</v>
      </c>
    </row>
    <row r="837">
      <c r="A837" s="74">
        <v>44313.0</v>
      </c>
      <c r="B837" s="75" t="s">
        <v>3016</v>
      </c>
    </row>
    <row r="838">
      <c r="A838" s="74">
        <v>44314.0</v>
      </c>
      <c r="B838" s="75" t="s">
        <v>3017</v>
      </c>
    </row>
    <row r="839">
      <c r="A839" s="74">
        <v>44315.0</v>
      </c>
      <c r="B839" s="75" t="s">
        <v>3018</v>
      </c>
    </row>
    <row r="840">
      <c r="A840" s="74">
        <v>44316.0</v>
      </c>
      <c r="B840" s="75" t="s">
        <v>3019</v>
      </c>
    </row>
    <row r="841">
      <c r="A841" s="74">
        <v>44319.0</v>
      </c>
      <c r="B841" s="75" t="s">
        <v>3020</v>
      </c>
    </row>
    <row r="842">
      <c r="A842" s="74">
        <v>44320.0</v>
      </c>
      <c r="B842" s="75" t="s">
        <v>3021</v>
      </c>
    </row>
    <row r="843">
      <c r="A843" s="74">
        <v>44321.0</v>
      </c>
      <c r="B843" s="75" t="s">
        <v>3022</v>
      </c>
    </row>
    <row r="844">
      <c r="A844" s="74">
        <v>44322.0</v>
      </c>
      <c r="B844" s="75" t="s">
        <v>3023</v>
      </c>
    </row>
    <row r="845">
      <c r="A845" s="74">
        <v>44323.0</v>
      </c>
      <c r="B845" s="75" t="s">
        <v>3024</v>
      </c>
    </row>
    <row r="846">
      <c r="A846" s="74">
        <v>44326.0</v>
      </c>
      <c r="B846" s="75" t="s">
        <v>3025</v>
      </c>
    </row>
    <row r="847">
      <c r="A847" s="74">
        <v>44327.0</v>
      </c>
      <c r="B847" s="75" t="s">
        <v>3026</v>
      </c>
    </row>
    <row r="848">
      <c r="A848" s="74">
        <v>44328.0</v>
      </c>
      <c r="B848" s="75" t="s">
        <v>3027</v>
      </c>
    </row>
    <row r="849">
      <c r="A849" s="74">
        <v>44329.0</v>
      </c>
      <c r="B849" s="75" t="s">
        <v>3028</v>
      </c>
    </row>
    <row r="850">
      <c r="A850" s="74">
        <v>44330.0</v>
      </c>
      <c r="B850" s="75" t="s">
        <v>3029</v>
      </c>
    </row>
    <row r="851">
      <c r="A851" s="74">
        <v>44333.0</v>
      </c>
      <c r="B851" s="75" t="s">
        <v>3030</v>
      </c>
    </row>
    <row r="852">
      <c r="A852" s="74">
        <v>44334.0</v>
      </c>
      <c r="B852" s="75" t="s">
        <v>3030</v>
      </c>
    </row>
    <row r="853">
      <c r="A853" s="74">
        <v>44335.0</v>
      </c>
      <c r="B853" s="75" t="s">
        <v>3031</v>
      </c>
    </row>
    <row r="854">
      <c r="A854" s="74">
        <v>44336.0</v>
      </c>
      <c r="B854" s="75" t="s">
        <v>3032</v>
      </c>
    </row>
    <row r="855">
      <c r="A855" s="74">
        <v>44337.0</v>
      </c>
      <c r="B855" s="75" t="s">
        <v>3033</v>
      </c>
    </row>
    <row r="856">
      <c r="A856" s="74">
        <v>44342.0</v>
      </c>
      <c r="B856" s="75" t="s">
        <v>3034</v>
      </c>
    </row>
    <row r="857">
      <c r="A857" s="74">
        <v>44343.0</v>
      </c>
      <c r="B857" s="75" t="s">
        <v>3035</v>
      </c>
    </row>
    <row r="858">
      <c r="A858" s="74">
        <v>44344.0</v>
      </c>
      <c r="B858" s="75" t="s">
        <v>3036</v>
      </c>
    </row>
    <row r="859">
      <c r="A859" s="74">
        <v>44347.0</v>
      </c>
      <c r="B859" s="75" t="s">
        <v>3037</v>
      </c>
    </row>
    <row r="860">
      <c r="A860" s="74">
        <v>44348.0</v>
      </c>
      <c r="B860" s="75" t="s">
        <v>3038</v>
      </c>
    </row>
    <row r="861">
      <c r="A861" s="74">
        <v>44349.0</v>
      </c>
      <c r="B861" s="75" t="s">
        <v>3039</v>
      </c>
    </row>
    <row r="862">
      <c r="A862" s="74">
        <v>44350.0</v>
      </c>
      <c r="B862" s="75" t="s">
        <v>3040</v>
      </c>
    </row>
    <row r="863">
      <c r="A863" s="74">
        <v>44351.0</v>
      </c>
      <c r="B863" s="75" t="s">
        <v>3041</v>
      </c>
    </row>
    <row r="864">
      <c r="A864" s="74">
        <v>44354.0</v>
      </c>
      <c r="B864" s="75" t="s">
        <v>3042</v>
      </c>
    </row>
    <row r="865">
      <c r="A865" s="74">
        <v>44355.0</v>
      </c>
      <c r="B865" s="75" t="s">
        <v>3043</v>
      </c>
    </row>
    <row r="866">
      <c r="A866" s="74">
        <v>44356.0</v>
      </c>
      <c r="B866" s="75" t="s">
        <v>3044</v>
      </c>
    </row>
    <row r="867">
      <c r="A867" s="74">
        <v>44357.0</v>
      </c>
      <c r="B867" s="75" t="s">
        <v>3045</v>
      </c>
    </row>
    <row r="868">
      <c r="A868" s="74">
        <v>44358.0</v>
      </c>
      <c r="B868" s="75" t="s">
        <v>3046</v>
      </c>
    </row>
    <row r="869">
      <c r="A869" s="74">
        <v>44361.0</v>
      </c>
      <c r="B869" s="75" t="s">
        <v>3047</v>
      </c>
    </row>
    <row r="870">
      <c r="A870" s="74">
        <v>44362.0</v>
      </c>
      <c r="B870" s="75" t="s">
        <v>3048</v>
      </c>
    </row>
    <row r="871">
      <c r="A871" s="74">
        <v>44363.0</v>
      </c>
      <c r="B871" s="75" t="s">
        <v>3049</v>
      </c>
    </row>
    <row r="872">
      <c r="A872" s="74">
        <v>44364.0</v>
      </c>
      <c r="B872" s="75" t="s">
        <v>3050</v>
      </c>
    </row>
    <row r="873">
      <c r="A873" s="74">
        <v>44365.0</v>
      </c>
      <c r="B873" s="75" t="s">
        <v>3051</v>
      </c>
    </row>
    <row r="874">
      <c r="A874" s="74">
        <v>44369.0</v>
      </c>
      <c r="B874" s="75" t="s">
        <v>3052</v>
      </c>
    </row>
    <row r="875">
      <c r="A875" s="74">
        <v>44370.0</v>
      </c>
      <c r="B875" s="75" t="s">
        <v>3053</v>
      </c>
    </row>
    <row r="876">
      <c r="A876" s="74">
        <v>44371.0</v>
      </c>
      <c r="B876" s="75" t="s">
        <v>3054</v>
      </c>
    </row>
    <row r="877">
      <c r="A877" s="74">
        <v>44372.0</v>
      </c>
      <c r="B877" s="75" t="s">
        <v>3055</v>
      </c>
    </row>
    <row r="878">
      <c r="A878" s="74">
        <v>44375.0</v>
      </c>
      <c r="B878" s="75" t="s">
        <v>3056</v>
      </c>
    </row>
    <row r="879">
      <c r="A879" s="74">
        <v>44376.0</v>
      </c>
      <c r="B879" s="75" t="s">
        <v>3057</v>
      </c>
    </row>
    <row r="880">
      <c r="A880" s="74">
        <v>44377.0</v>
      </c>
      <c r="B880" s="75" t="s">
        <v>3058</v>
      </c>
    </row>
    <row r="881">
      <c r="A881" s="74">
        <v>44378.0</v>
      </c>
      <c r="B881" s="75" t="s">
        <v>3059</v>
      </c>
    </row>
    <row r="882">
      <c r="A882" s="74">
        <v>44379.0</v>
      </c>
      <c r="B882" s="75" t="s">
        <v>3060</v>
      </c>
    </row>
    <row r="883">
      <c r="A883" s="74">
        <v>44382.0</v>
      </c>
      <c r="B883" s="75" t="s">
        <v>3061</v>
      </c>
    </row>
    <row r="884">
      <c r="A884" s="74">
        <v>44383.0</v>
      </c>
      <c r="B884" s="75" t="s">
        <v>3062</v>
      </c>
    </row>
    <row r="885">
      <c r="A885" s="74">
        <v>44384.0</v>
      </c>
      <c r="B885" s="75" t="s">
        <v>3063</v>
      </c>
    </row>
    <row r="886">
      <c r="A886" s="74">
        <v>44385.0</v>
      </c>
      <c r="B886" s="75" t="s">
        <v>3064</v>
      </c>
    </row>
    <row r="887">
      <c r="A887" s="74">
        <v>44389.0</v>
      </c>
      <c r="B887" s="75" t="s">
        <v>3065</v>
      </c>
    </row>
    <row r="888">
      <c r="A888" s="74">
        <v>44390.0</v>
      </c>
      <c r="B888" s="75" t="s">
        <v>3066</v>
      </c>
    </row>
    <row r="889">
      <c r="A889" s="74">
        <v>44391.0</v>
      </c>
      <c r="B889" s="75" t="s">
        <v>3066</v>
      </c>
    </row>
    <row r="890">
      <c r="A890" s="74">
        <v>44392.0</v>
      </c>
      <c r="B890" s="75" t="s">
        <v>3067</v>
      </c>
    </row>
    <row r="891">
      <c r="A891" s="74">
        <v>44393.0</v>
      </c>
      <c r="B891" s="75" t="s">
        <v>3065</v>
      </c>
    </row>
    <row r="892">
      <c r="A892" s="74">
        <v>44396.0</v>
      </c>
      <c r="B892" s="75" t="s">
        <v>3068</v>
      </c>
    </row>
    <row r="893">
      <c r="A893" s="74">
        <v>44397.0</v>
      </c>
      <c r="B893" s="75" t="s">
        <v>3069</v>
      </c>
    </row>
    <row r="894">
      <c r="A894" s="74">
        <v>44398.0</v>
      </c>
      <c r="B894" s="75" t="s">
        <v>3070</v>
      </c>
    </row>
    <row r="895">
      <c r="A895" s="74">
        <v>44399.0</v>
      </c>
      <c r="B895" s="75" t="s">
        <v>3071</v>
      </c>
    </row>
    <row r="896">
      <c r="A896" s="74">
        <v>44400.0</v>
      </c>
      <c r="B896" s="75" t="s">
        <v>3072</v>
      </c>
    </row>
    <row r="897">
      <c r="A897" s="74">
        <v>44403.0</v>
      </c>
      <c r="B897" s="75" t="s">
        <v>3073</v>
      </c>
    </row>
    <row r="898">
      <c r="A898" s="74">
        <v>44404.0</v>
      </c>
      <c r="B898" s="75" t="s">
        <v>3074</v>
      </c>
    </row>
    <row r="899">
      <c r="A899" s="74">
        <v>44405.0</v>
      </c>
      <c r="B899" s="75" t="s">
        <v>3075</v>
      </c>
    </row>
    <row r="900">
      <c r="A900" s="74">
        <v>44406.0</v>
      </c>
      <c r="B900" s="75" t="s">
        <v>3076</v>
      </c>
    </row>
    <row r="901">
      <c r="A901" s="74">
        <v>44407.0</v>
      </c>
      <c r="B901" s="75" t="s">
        <v>3077</v>
      </c>
    </row>
    <row r="902">
      <c r="A902" s="74">
        <v>44410.0</v>
      </c>
      <c r="B902" s="75" t="s">
        <v>3078</v>
      </c>
    </row>
    <row r="903">
      <c r="A903" s="74">
        <v>44411.0</v>
      </c>
      <c r="B903" s="75" t="s">
        <v>3079</v>
      </c>
    </row>
    <row r="904">
      <c r="A904" s="74">
        <v>44412.0</v>
      </c>
      <c r="B904" s="75" t="s">
        <v>3080</v>
      </c>
    </row>
    <row r="905">
      <c r="A905" s="74">
        <v>44413.0</v>
      </c>
      <c r="B905" s="75" t="s">
        <v>3081</v>
      </c>
    </row>
    <row r="906">
      <c r="A906" s="74">
        <v>44414.0</v>
      </c>
      <c r="B906" s="75" t="s">
        <v>3082</v>
      </c>
    </row>
    <row r="907">
      <c r="A907" s="74">
        <v>44417.0</v>
      </c>
      <c r="B907" s="75" t="s">
        <v>3083</v>
      </c>
    </row>
    <row r="908">
      <c r="A908" s="74">
        <v>44418.0</v>
      </c>
      <c r="B908" s="75" t="s">
        <v>3084</v>
      </c>
    </row>
    <row r="909">
      <c r="A909" s="74">
        <v>44419.0</v>
      </c>
      <c r="B909" s="75" t="s">
        <v>3085</v>
      </c>
    </row>
    <row r="910">
      <c r="A910" s="74">
        <v>44420.0</v>
      </c>
      <c r="B910" s="75" t="s">
        <v>3086</v>
      </c>
    </row>
    <row r="911">
      <c r="A911" s="74">
        <v>44421.0</v>
      </c>
      <c r="B911" s="75" t="s">
        <v>3087</v>
      </c>
    </row>
    <row r="912">
      <c r="A912" s="74">
        <v>44425.0</v>
      </c>
      <c r="B912" s="75" t="s">
        <v>3079</v>
      </c>
    </row>
    <row r="913">
      <c r="A913" s="74">
        <v>44426.0</v>
      </c>
      <c r="B913" s="75" t="s">
        <v>3088</v>
      </c>
    </row>
    <row r="914">
      <c r="A914" s="74">
        <v>44427.0</v>
      </c>
      <c r="B914" s="75" t="s">
        <v>3089</v>
      </c>
    </row>
    <row r="915">
      <c r="A915" s="74">
        <v>44428.0</v>
      </c>
      <c r="B915" s="75" t="s">
        <v>3090</v>
      </c>
    </row>
    <row r="916">
      <c r="A916" s="74">
        <v>44431.0</v>
      </c>
      <c r="B916" s="75" t="s">
        <v>3091</v>
      </c>
    </row>
    <row r="917">
      <c r="A917" s="74">
        <v>44432.0</v>
      </c>
      <c r="B917" s="75" t="s">
        <v>3080</v>
      </c>
    </row>
    <row r="918">
      <c r="A918" s="74">
        <v>44433.0</v>
      </c>
      <c r="B918" s="75" t="s">
        <v>3092</v>
      </c>
    </row>
    <row r="919">
      <c r="A919" s="74">
        <v>44434.0</v>
      </c>
      <c r="B919" s="75" t="s">
        <v>3093</v>
      </c>
    </row>
    <row r="920">
      <c r="A920" s="74">
        <v>44435.0</v>
      </c>
      <c r="B920" s="75" t="s">
        <v>3094</v>
      </c>
    </row>
    <row r="921">
      <c r="A921" s="74">
        <v>44438.0</v>
      </c>
      <c r="B921" s="75" t="s">
        <v>3095</v>
      </c>
    </row>
    <row r="922">
      <c r="A922" s="74">
        <v>44439.0</v>
      </c>
      <c r="B922" s="75" t="s">
        <v>3096</v>
      </c>
    </row>
    <row r="923">
      <c r="A923" s="74">
        <v>44440.0</v>
      </c>
      <c r="B923" s="75" t="s">
        <v>3097</v>
      </c>
    </row>
    <row r="924">
      <c r="A924" s="74">
        <v>44441.0</v>
      </c>
      <c r="B924" s="75" t="s">
        <v>3098</v>
      </c>
    </row>
    <row r="925">
      <c r="A925" s="74">
        <v>44442.0</v>
      </c>
      <c r="B925" s="75" t="s">
        <v>3099</v>
      </c>
    </row>
    <row r="926">
      <c r="A926" s="74">
        <v>44445.0</v>
      </c>
      <c r="B926" s="75" t="s">
        <v>3093</v>
      </c>
    </row>
    <row r="927">
      <c r="A927" s="74">
        <v>44446.0</v>
      </c>
      <c r="B927" s="75" t="s">
        <v>3100</v>
      </c>
    </row>
    <row r="928">
      <c r="A928" s="74">
        <v>44447.0</v>
      </c>
      <c r="B928" s="75" t="s">
        <v>3101</v>
      </c>
    </row>
    <row r="929">
      <c r="A929" s="74">
        <v>44448.0</v>
      </c>
      <c r="B929" s="75" t="s">
        <v>3102</v>
      </c>
    </row>
    <row r="930">
      <c r="A930" s="74">
        <v>44449.0</v>
      </c>
      <c r="B930" s="75" t="s">
        <v>1962</v>
      </c>
    </row>
    <row r="931">
      <c r="A931" s="74">
        <v>44452.0</v>
      </c>
      <c r="B931" s="75" t="s">
        <v>3103</v>
      </c>
    </row>
    <row r="932">
      <c r="A932" s="74">
        <v>44453.0</v>
      </c>
      <c r="B932" s="75" t="s">
        <v>3104</v>
      </c>
    </row>
    <row r="933">
      <c r="A933" s="74">
        <v>44454.0</v>
      </c>
      <c r="B933" s="75" t="s">
        <v>3105</v>
      </c>
    </row>
    <row r="934">
      <c r="A934" s="74">
        <v>44455.0</v>
      </c>
      <c r="B934" s="75" t="s">
        <v>3106</v>
      </c>
    </row>
    <row r="935">
      <c r="A935" s="74">
        <v>44456.0</v>
      </c>
      <c r="B935" s="75" t="s">
        <v>3107</v>
      </c>
    </row>
    <row r="936">
      <c r="A936" s="74">
        <v>44459.0</v>
      </c>
      <c r="B936" s="75" t="s">
        <v>3108</v>
      </c>
    </row>
    <row r="937">
      <c r="A937" s="74">
        <v>44460.0</v>
      </c>
      <c r="B937" s="75" t="s">
        <v>3109</v>
      </c>
    </row>
    <row r="938">
      <c r="A938" s="74">
        <v>44461.0</v>
      </c>
      <c r="B938" s="75" t="s">
        <v>3110</v>
      </c>
    </row>
    <row r="939">
      <c r="A939" s="74">
        <v>44462.0</v>
      </c>
      <c r="B939" s="75" t="s">
        <v>3111</v>
      </c>
    </row>
    <row r="940">
      <c r="A940" s="74">
        <v>44463.0</v>
      </c>
      <c r="B940" s="75" t="s">
        <v>3111</v>
      </c>
    </row>
    <row r="941">
      <c r="A941" s="74">
        <v>44466.0</v>
      </c>
      <c r="B941" s="75" t="s">
        <v>3112</v>
      </c>
    </row>
    <row r="942">
      <c r="A942" s="74">
        <v>44467.0</v>
      </c>
      <c r="B942" s="75" t="s">
        <v>3113</v>
      </c>
    </row>
    <row r="943">
      <c r="A943" s="74">
        <v>44468.0</v>
      </c>
      <c r="B943" s="75" t="s">
        <v>3114</v>
      </c>
    </row>
    <row r="944">
      <c r="A944" s="74">
        <v>44469.0</v>
      </c>
      <c r="B944" s="75" t="s">
        <v>3115</v>
      </c>
    </row>
    <row r="945">
      <c r="A945" s="74">
        <v>44470.0</v>
      </c>
      <c r="B945" s="75" t="s">
        <v>3116</v>
      </c>
    </row>
    <row r="946">
      <c r="A946" s="74">
        <v>44473.0</v>
      </c>
      <c r="B946" s="75" t="s">
        <v>3117</v>
      </c>
    </row>
    <row r="947">
      <c r="A947" s="74">
        <v>44474.0</v>
      </c>
      <c r="B947" s="75" t="s">
        <v>3118</v>
      </c>
    </row>
    <row r="948">
      <c r="A948" s="74">
        <v>44475.0</v>
      </c>
      <c r="B948" s="75" t="s">
        <v>3119</v>
      </c>
    </row>
    <row r="949">
      <c r="A949" s="74">
        <v>44476.0</v>
      </c>
      <c r="B949" s="75" t="s">
        <v>3120</v>
      </c>
    </row>
    <row r="950">
      <c r="A950" s="74">
        <v>44481.0</v>
      </c>
      <c r="B950" s="75" t="s">
        <v>3121</v>
      </c>
    </row>
    <row r="951">
      <c r="A951" s="74">
        <v>44482.0</v>
      </c>
      <c r="B951" s="75" t="s">
        <v>3122</v>
      </c>
    </row>
    <row r="952">
      <c r="A952" s="74">
        <v>44483.0</v>
      </c>
      <c r="B952" s="75" t="s">
        <v>3123</v>
      </c>
    </row>
    <row r="953">
      <c r="A953" s="74">
        <v>44484.0</v>
      </c>
      <c r="B953" s="75" t="s">
        <v>3124</v>
      </c>
    </row>
    <row r="954">
      <c r="A954" s="74">
        <v>44487.0</v>
      </c>
      <c r="B954" s="75" t="s">
        <v>3125</v>
      </c>
    </row>
    <row r="955">
      <c r="A955" s="74">
        <v>44488.0</v>
      </c>
      <c r="B955" s="75" t="s">
        <v>3126</v>
      </c>
    </row>
    <row r="956">
      <c r="A956" s="74">
        <v>44489.0</v>
      </c>
      <c r="B956" s="75" t="s">
        <v>3127</v>
      </c>
    </row>
    <row r="957">
      <c r="A957" s="74">
        <v>44490.0</v>
      </c>
      <c r="B957" s="75" t="s">
        <v>3128</v>
      </c>
    </row>
    <row r="958">
      <c r="A958" s="74">
        <v>44491.0</v>
      </c>
      <c r="B958" s="75" t="s">
        <v>3129</v>
      </c>
    </row>
    <row r="959">
      <c r="A959" s="74">
        <v>44494.0</v>
      </c>
      <c r="B959" s="75" t="s">
        <v>3130</v>
      </c>
    </row>
    <row r="960">
      <c r="A960" s="74">
        <v>44495.0</v>
      </c>
      <c r="B960" s="75" t="s">
        <v>3131</v>
      </c>
    </row>
    <row r="961">
      <c r="A961" s="74">
        <v>44496.0</v>
      </c>
      <c r="B961" s="75" t="s">
        <v>3132</v>
      </c>
    </row>
    <row r="962">
      <c r="A962" s="74">
        <v>44497.0</v>
      </c>
      <c r="B962" s="75" t="s">
        <v>3133</v>
      </c>
    </row>
    <row r="963">
      <c r="A963" s="74">
        <v>44498.0</v>
      </c>
      <c r="B963" s="75" t="s">
        <v>3134</v>
      </c>
    </row>
    <row r="964">
      <c r="A964" s="74">
        <v>44499.0</v>
      </c>
      <c r="B964" s="75" t="s">
        <v>3134</v>
      </c>
    </row>
    <row r="965">
      <c r="A965" s="74">
        <v>44500.0</v>
      </c>
      <c r="B965" s="75" t="s">
        <v>3134</v>
      </c>
    </row>
    <row r="966">
      <c r="A966" s="74">
        <v>44501.0</v>
      </c>
      <c r="B966" s="75" t="s">
        <v>3135</v>
      </c>
    </row>
    <row r="967">
      <c r="A967" s="74">
        <v>44502.0</v>
      </c>
      <c r="B967" s="75" t="s">
        <v>2039</v>
      </c>
    </row>
    <row r="968">
      <c r="A968" s="74">
        <v>44503.0</v>
      </c>
      <c r="B968" s="75" t="s">
        <v>3136</v>
      </c>
    </row>
    <row r="969">
      <c r="A969" s="74">
        <v>44504.0</v>
      </c>
      <c r="B969" s="75" t="s">
        <v>3137</v>
      </c>
    </row>
    <row r="970">
      <c r="A970" s="74">
        <v>44505.0</v>
      </c>
      <c r="B970" s="75" t="s">
        <v>3138</v>
      </c>
    </row>
    <row r="971">
      <c r="A971" s="74">
        <v>44508.0</v>
      </c>
      <c r="B971" s="75" t="s">
        <v>3139</v>
      </c>
    </row>
    <row r="972">
      <c r="A972" s="74">
        <v>44509.0</v>
      </c>
      <c r="B972" s="75" t="s">
        <v>3140</v>
      </c>
    </row>
    <row r="973">
      <c r="A973" s="74">
        <v>44510.0</v>
      </c>
      <c r="B973" s="75" t="s">
        <v>3141</v>
      </c>
    </row>
    <row r="974">
      <c r="A974" s="74">
        <v>44511.0</v>
      </c>
      <c r="B974" s="75" t="s">
        <v>2043</v>
      </c>
    </row>
    <row r="975">
      <c r="A975" s="74">
        <v>44512.0</v>
      </c>
      <c r="B975" s="75" t="s">
        <v>3142</v>
      </c>
    </row>
    <row r="976">
      <c r="A976" s="74">
        <v>44515.0</v>
      </c>
      <c r="B976" s="75" t="s">
        <v>3143</v>
      </c>
    </row>
    <row r="977">
      <c r="A977" s="74">
        <v>44516.0</v>
      </c>
      <c r="B977" s="75" t="s">
        <v>3144</v>
      </c>
    </row>
    <row r="978">
      <c r="A978" s="74">
        <v>44517.0</v>
      </c>
      <c r="B978" s="75" t="s">
        <v>3145</v>
      </c>
    </row>
    <row r="979">
      <c r="A979" s="74">
        <v>44518.0</v>
      </c>
      <c r="B979" s="75" t="s">
        <v>3146</v>
      </c>
    </row>
    <row r="980">
      <c r="A980" s="74">
        <v>44519.0</v>
      </c>
      <c r="B980" s="75" t="s">
        <v>3147</v>
      </c>
    </row>
    <row r="981">
      <c r="A981" s="74">
        <v>44523.0</v>
      </c>
      <c r="B981" s="75" t="s">
        <v>3148</v>
      </c>
    </row>
    <row r="982">
      <c r="A982" s="74">
        <v>44524.0</v>
      </c>
      <c r="B982" s="75" t="s">
        <v>3149</v>
      </c>
    </row>
    <row r="983">
      <c r="A983" s="74">
        <v>44525.0</v>
      </c>
      <c r="B983" s="75" t="s">
        <v>3150</v>
      </c>
    </row>
    <row r="984">
      <c r="A984" s="74">
        <v>44526.0</v>
      </c>
      <c r="B984" s="75" t="s">
        <v>2087</v>
      </c>
    </row>
    <row r="985">
      <c r="A985" s="74">
        <v>44529.0</v>
      </c>
      <c r="B985" s="75" t="s">
        <v>3151</v>
      </c>
    </row>
    <row r="986">
      <c r="A986" s="74">
        <v>44530.0</v>
      </c>
      <c r="B986" s="75" t="s">
        <v>3152</v>
      </c>
    </row>
    <row r="987">
      <c r="A987" s="74">
        <v>44531.0</v>
      </c>
      <c r="B987" s="75" t="s">
        <v>3153</v>
      </c>
    </row>
    <row r="988">
      <c r="A988" s="74">
        <v>44532.0</v>
      </c>
      <c r="B988" s="75" t="s">
        <v>3154</v>
      </c>
    </row>
    <row r="989">
      <c r="A989" s="74">
        <v>44533.0</v>
      </c>
      <c r="B989" s="75" t="s">
        <v>3155</v>
      </c>
    </row>
    <row r="990">
      <c r="A990" s="74">
        <v>44536.0</v>
      </c>
      <c r="B990" s="75" t="s">
        <v>3156</v>
      </c>
    </row>
    <row r="991">
      <c r="A991" s="74">
        <v>44537.0</v>
      </c>
      <c r="B991" s="75" t="s">
        <v>3157</v>
      </c>
    </row>
    <row r="992">
      <c r="A992" s="74">
        <v>44539.0</v>
      </c>
      <c r="B992" s="75" t="s">
        <v>3158</v>
      </c>
    </row>
    <row r="993">
      <c r="A993" s="74">
        <v>44540.0</v>
      </c>
      <c r="B993" s="75" t="s">
        <v>3159</v>
      </c>
    </row>
    <row r="994">
      <c r="A994" s="74">
        <v>44543.0</v>
      </c>
      <c r="B994" s="75" t="s">
        <v>3160</v>
      </c>
    </row>
    <row r="995">
      <c r="A995" s="74">
        <v>44544.0</v>
      </c>
      <c r="B995" s="75" t="s">
        <v>3161</v>
      </c>
    </row>
    <row r="996">
      <c r="A996" s="74">
        <v>44545.0</v>
      </c>
      <c r="B996" s="75" t="s">
        <v>3162</v>
      </c>
    </row>
    <row r="997">
      <c r="A997" s="74">
        <v>44546.0</v>
      </c>
      <c r="B997" s="75" t="s">
        <v>3163</v>
      </c>
    </row>
    <row r="998">
      <c r="A998" s="74">
        <v>44547.0</v>
      </c>
      <c r="B998" s="75" t="s">
        <v>3164</v>
      </c>
    </row>
    <row r="999">
      <c r="A999" s="74">
        <v>44550.0</v>
      </c>
      <c r="B999" s="75" t="s">
        <v>3165</v>
      </c>
    </row>
    <row r="1000">
      <c r="A1000" s="74">
        <v>44551.0</v>
      </c>
      <c r="B1000" s="75" t="s">
        <v>3166</v>
      </c>
    </row>
    <row r="1001">
      <c r="A1001" s="74">
        <v>44557.0</v>
      </c>
      <c r="B1001" s="75" t="s">
        <v>3167</v>
      </c>
    </row>
    <row r="1002">
      <c r="A1002" s="74">
        <v>44558.0</v>
      </c>
      <c r="B1002" s="75" t="s">
        <v>3168</v>
      </c>
    </row>
    <row r="1003">
      <c r="A1003" s="74">
        <v>44559.0</v>
      </c>
      <c r="B1003" s="75" t="s">
        <v>3169</v>
      </c>
    </row>
    <row r="1004">
      <c r="A1004" s="74">
        <v>44560.0</v>
      </c>
      <c r="B1004" s="75" t="s">
        <v>3170</v>
      </c>
    </row>
    <row r="1005">
      <c r="A1005" s="74">
        <v>44564.0</v>
      </c>
      <c r="B1005" s="75" t="s">
        <v>3171</v>
      </c>
    </row>
    <row r="1006">
      <c r="A1006" s="74">
        <v>44565.0</v>
      </c>
      <c r="B1006" s="75" t="s">
        <v>3172</v>
      </c>
    </row>
    <row r="1007">
      <c r="A1007" s="74">
        <v>44566.0</v>
      </c>
      <c r="B1007" s="75" t="s">
        <v>3173</v>
      </c>
    </row>
    <row r="1008">
      <c r="A1008" s="74">
        <v>44567.0</v>
      </c>
      <c r="B1008" s="75" t="s">
        <v>3174</v>
      </c>
    </row>
    <row r="1009">
      <c r="A1009" s="74">
        <v>44568.0</v>
      </c>
      <c r="B1009" s="75" t="s">
        <v>3174</v>
      </c>
    </row>
    <row r="1010">
      <c r="A1010" s="74">
        <v>44571.0</v>
      </c>
      <c r="B1010" s="75" t="s">
        <v>3175</v>
      </c>
    </row>
    <row r="1011">
      <c r="A1011" s="74">
        <v>44572.0</v>
      </c>
      <c r="B1011" s="75" t="s">
        <v>3150</v>
      </c>
    </row>
    <row r="1012">
      <c r="A1012" s="74">
        <v>44573.0</v>
      </c>
      <c r="B1012" s="75" t="s">
        <v>3176</v>
      </c>
    </row>
    <row r="1013">
      <c r="A1013" s="74">
        <v>44574.0</v>
      </c>
      <c r="B1013" s="75" t="s">
        <v>3177</v>
      </c>
    </row>
    <row r="1014">
      <c r="A1014" s="74">
        <v>44575.0</v>
      </c>
      <c r="B1014" s="75" t="s">
        <v>3178</v>
      </c>
    </row>
    <row r="1015">
      <c r="A1015" s="74">
        <v>44578.0</v>
      </c>
      <c r="B1015" s="75" t="s">
        <v>3179</v>
      </c>
    </row>
    <row r="1016">
      <c r="A1016" s="74">
        <v>44579.0</v>
      </c>
      <c r="B1016" s="75" t="s">
        <v>3180</v>
      </c>
    </row>
    <row r="1017">
      <c r="A1017" s="74">
        <v>44580.0</v>
      </c>
      <c r="B1017" s="75" t="s">
        <v>3181</v>
      </c>
    </row>
    <row r="1018">
      <c r="A1018" s="74">
        <v>44581.0</v>
      </c>
      <c r="B1018" s="75" t="s">
        <v>3182</v>
      </c>
    </row>
    <row r="1019">
      <c r="A1019" s="74">
        <v>44582.0</v>
      </c>
      <c r="B1019" s="75" t="s">
        <v>3183</v>
      </c>
    </row>
    <row r="1020">
      <c r="A1020" s="74">
        <v>44585.0</v>
      </c>
      <c r="B1020" s="75" t="s">
        <v>3184</v>
      </c>
    </row>
    <row r="1021">
      <c r="A1021" s="74">
        <v>44586.0</v>
      </c>
      <c r="B1021" s="75" t="s">
        <v>3185</v>
      </c>
    </row>
    <row r="1022">
      <c r="A1022" s="74">
        <v>44587.0</v>
      </c>
      <c r="B1022" s="75" t="s">
        <v>3186</v>
      </c>
    </row>
    <row r="1023">
      <c r="A1023" s="74">
        <v>44588.0</v>
      </c>
      <c r="B1023" s="75" t="s">
        <v>3187</v>
      </c>
    </row>
    <row r="1024">
      <c r="A1024" s="74">
        <v>44589.0</v>
      </c>
      <c r="B1024" s="75" t="s">
        <v>3188</v>
      </c>
    </row>
    <row r="1025">
      <c r="A1025" s="74">
        <v>44592.0</v>
      </c>
      <c r="B1025" s="75" t="s">
        <v>3189</v>
      </c>
    </row>
    <row r="1026">
      <c r="A1026" s="74">
        <v>44593.0</v>
      </c>
      <c r="B1026" s="75" t="s">
        <v>3190</v>
      </c>
    </row>
    <row r="1027">
      <c r="A1027" s="74">
        <v>44594.0</v>
      </c>
      <c r="B1027" s="75" t="s">
        <v>3191</v>
      </c>
    </row>
    <row r="1028">
      <c r="A1028" s="74">
        <v>44595.0</v>
      </c>
      <c r="B1028" s="75" t="s">
        <v>3192</v>
      </c>
    </row>
    <row r="1029">
      <c r="A1029" s="74">
        <v>44596.0</v>
      </c>
      <c r="B1029" s="75" t="s">
        <v>3193</v>
      </c>
    </row>
    <row r="1030">
      <c r="A1030" s="74">
        <v>44599.0</v>
      </c>
      <c r="B1030" s="75" t="s">
        <v>3194</v>
      </c>
    </row>
    <row r="1031">
      <c r="A1031" s="74">
        <v>44600.0</v>
      </c>
      <c r="B1031" s="75" t="s">
        <v>3195</v>
      </c>
    </row>
    <row r="1032">
      <c r="A1032" s="74">
        <v>44601.0</v>
      </c>
      <c r="B1032" s="75" t="s">
        <v>3196</v>
      </c>
    </row>
    <row r="1033">
      <c r="A1033" s="74">
        <v>44602.0</v>
      </c>
      <c r="B1033" s="75" t="s">
        <v>3197</v>
      </c>
    </row>
    <row r="1034">
      <c r="A1034" s="74">
        <v>44603.0</v>
      </c>
      <c r="B1034" s="75" t="s">
        <v>3198</v>
      </c>
    </row>
    <row r="1035">
      <c r="A1035" s="74">
        <v>44606.0</v>
      </c>
      <c r="B1035" s="75" t="s">
        <v>3199</v>
      </c>
    </row>
    <row r="1036">
      <c r="A1036" s="74">
        <v>44607.0</v>
      </c>
      <c r="B1036" s="75" t="s">
        <v>3200</v>
      </c>
    </row>
    <row r="1037">
      <c r="A1037" s="74">
        <v>44608.0</v>
      </c>
      <c r="B1037" s="75" t="s">
        <v>3201</v>
      </c>
    </row>
    <row r="1038">
      <c r="A1038" s="74">
        <v>44609.0</v>
      </c>
      <c r="B1038" s="75" t="s">
        <v>3202</v>
      </c>
    </row>
    <row r="1039">
      <c r="A1039" s="74">
        <v>44610.0</v>
      </c>
      <c r="B1039" s="75" t="s">
        <v>3203</v>
      </c>
    </row>
    <row r="1040">
      <c r="A1040" s="74">
        <v>44613.0</v>
      </c>
      <c r="B1040" s="75" t="s">
        <v>3204</v>
      </c>
    </row>
    <row r="1041">
      <c r="A1041" s="74">
        <v>44614.0</v>
      </c>
      <c r="B1041" s="75" t="s">
        <v>3205</v>
      </c>
    </row>
    <row r="1042">
      <c r="A1042" s="74">
        <v>44615.0</v>
      </c>
      <c r="B1042" s="75" t="s">
        <v>3206</v>
      </c>
    </row>
    <row r="1043">
      <c r="A1043" s="74">
        <v>44616.0</v>
      </c>
      <c r="B1043" s="75" t="s">
        <v>3170</v>
      </c>
    </row>
    <row r="1044">
      <c r="A1044" s="74">
        <v>44617.0</v>
      </c>
      <c r="B1044" s="75" t="s">
        <v>3207</v>
      </c>
    </row>
    <row r="1045">
      <c r="A1045" s="74">
        <v>44622.0</v>
      </c>
      <c r="B1045" s="75" t="s">
        <v>3208</v>
      </c>
    </row>
    <row r="1046">
      <c r="A1046" s="74">
        <v>44623.0</v>
      </c>
      <c r="B1046" s="75" t="s">
        <v>3209</v>
      </c>
    </row>
    <row r="1047">
      <c r="A1047" s="74">
        <v>44624.0</v>
      </c>
      <c r="B1047" s="75" t="s">
        <v>3143</v>
      </c>
    </row>
    <row r="1048">
      <c r="A1048" s="74">
        <v>44627.0</v>
      </c>
      <c r="B1048" s="75" t="s">
        <v>3210</v>
      </c>
    </row>
    <row r="1049">
      <c r="A1049" s="74">
        <v>44631.0</v>
      </c>
      <c r="B1049" s="75" t="s">
        <v>3211</v>
      </c>
    </row>
    <row r="1050">
      <c r="A1050" s="74">
        <v>44634.0</v>
      </c>
      <c r="B1050" s="75" t="s">
        <v>3212</v>
      </c>
    </row>
    <row r="1051">
      <c r="A1051" s="74">
        <v>44635.0</v>
      </c>
      <c r="B1051" s="75" t="s">
        <v>3213</v>
      </c>
    </row>
    <row r="1052">
      <c r="A1052" s="74">
        <v>44636.0</v>
      </c>
      <c r="B1052" s="75" t="s">
        <v>3214</v>
      </c>
    </row>
    <row r="1053">
      <c r="A1053" s="74">
        <v>44637.0</v>
      </c>
      <c r="B1053" s="75" t="s">
        <v>3215</v>
      </c>
    </row>
    <row r="1054">
      <c r="A1054" s="74">
        <v>44638.0</v>
      </c>
      <c r="B1054" s="75" t="s">
        <v>3216</v>
      </c>
    </row>
    <row r="1055">
      <c r="A1055" s="74">
        <v>44641.0</v>
      </c>
      <c r="B1055" s="75" t="s">
        <v>3217</v>
      </c>
    </row>
    <row r="1056">
      <c r="A1056" s="74">
        <v>44642.0</v>
      </c>
      <c r="B1056" s="75" t="s">
        <v>3218</v>
      </c>
    </row>
    <row r="1057">
      <c r="A1057" s="74">
        <v>44643.0</v>
      </c>
      <c r="B1057" s="75" t="s">
        <v>3219</v>
      </c>
    </row>
    <row r="1058">
      <c r="A1058" s="74">
        <v>44645.0</v>
      </c>
      <c r="B1058" s="75" t="s">
        <v>3220</v>
      </c>
    </row>
    <row r="1059">
      <c r="A1059" s="74">
        <v>44648.0</v>
      </c>
      <c r="B1059" s="75" t="s">
        <v>3221</v>
      </c>
    </row>
    <row r="1060">
      <c r="A1060" s="74">
        <v>44649.0</v>
      </c>
      <c r="B1060" s="75" t="s">
        <v>3222</v>
      </c>
    </row>
    <row r="1061">
      <c r="A1061" s="74">
        <v>44650.0</v>
      </c>
      <c r="B1061" s="75" t="s">
        <v>3223</v>
      </c>
    </row>
    <row r="1062">
      <c r="A1062" s="74">
        <v>44651.0</v>
      </c>
      <c r="B1062" s="75" t="s">
        <v>3224</v>
      </c>
    </row>
    <row r="1063">
      <c r="A1063" s="74">
        <v>44652.0</v>
      </c>
      <c r="B1063" s="75" t="s">
        <v>3225</v>
      </c>
    </row>
    <row r="1064">
      <c r="A1064" s="74">
        <v>44655.0</v>
      </c>
      <c r="B1064" s="75" t="s">
        <v>3226</v>
      </c>
    </row>
    <row r="1065">
      <c r="A1065" s="74">
        <v>44656.0</v>
      </c>
      <c r="B1065" s="75" t="s">
        <v>3227</v>
      </c>
    </row>
    <row r="1066">
      <c r="A1066" s="74">
        <v>44657.0</v>
      </c>
      <c r="B1066" s="75" t="s">
        <v>3228</v>
      </c>
    </row>
    <row r="1067">
      <c r="A1067" s="74">
        <v>44658.0</v>
      </c>
      <c r="B1067" s="75" t="s">
        <v>3229</v>
      </c>
    </row>
    <row r="1068">
      <c r="A1068" s="74">
        <v>44659.0</v>
      </c>
      <c r="B1068" s="75" t="s">
        <v>2108</v>
      </c>
    </row>
    <row r="1069">
      <c r="A1069" s="74">
        <v>44662.0</v>
      </c>
      <c r="B1069" s="75" t="s">
        <v>3230</v>
      </c>
    </row>
    <row r="1070">
      <c r="A1070" s="74">
        <v>44663.0</v>
      </c>
      <c r="B1070" s="75" t="s">
        <v>3231</v>
      </c>
    </row>
    <row r="1071">
      <c r="A1071" s="74">
        <v>44664.0</v>
      </c>
      <c r="B1071" s="75" t="s">
        <v>2102</v>
      </c>
    </row>
    <row r="1072">
      <c r="A1072" s="74">
        <v>44669.0</v>
      </c>
      <c r="B1072" s="75" t="s">
        <v>3232</v>
      </c>
    </row>
    <row r="1073">
      <c r="A1073" s="74">
        <v>44670.0</v>
      </c>
      <c r="B1073" s="75" t="s">
        <v>3233</v>
      </c>
    </row>
    <row r="1074">
      <c r="A1074" s="74">
        <v>44671.0</v>
      </c>
      <c r="B1074" s="75" t="s">
        <v>3234</v>
      </c>
    </row>
    <row r="1075">
      <c r="A1075" s="74">
        <v>44672.0</v>
      </c>
      <c r="B1075" s="75" t="s">
        <v>3235</v>
      </c>
    </row>
    <row r="1076">
      <c r="A1076" s="74">
        <v>44673.0</v>
      </c>
      <c r="B1076" s="75" t="s">
        <v>3236</v>
      </c>
    </row>
    <row r="1077">
      <c r="A1077" s="74">
        <v>44676.0</v>
      </c>
      <c r="B1077" s="75" t="s">
        <v>3237</v>
      </c>
    </row>
    <row r="1078">
      <c r="A1078" s="74">
        <v>44677.0</v>
      </c>
      <c r="B1078" s="75" t="s">
        <v>3238</v>
      </c>
    </row>
    <row r="1079">
      <c r="A1079" s="74">
        <v>44678.0</v>
      </c>
      <c r="B1079" s="75" t="s">
        <v>3239</v>
      </c>
    </row>
    <row r="1080">
      <c r="A1080" s="74">
        <v>44679.0</v>
      </c>
      <c r="B1080" s="75" t="s">
        <v>3240</v>
      </c>
    </row>
    <row r="1081">
      <c r="A1081" s="74">
        <v>44680.0</v>
      </c>
      <c r="B1081" s="75" t="s">
        <v>3241</v>
      </c>
    </row>
    <row r="1082">
      <c r="A1082" s="74">
        <v>44683.0</v>
      </c>
      <c r="B1082" s="75" t="s">
        <v>3242</v>
      </c>
    </row>
    <row r="1083">
      <c r="A1083" s="74">
        <v>44684.0</v>
      </c>
      <c r="B1083" s="75" t="s">
        <v>3243</v>
      </c>
    </row>
    <row r="1084">
      <c r="A1084" s="74">
        <v>44685.0</v>
      </c>
      <c r="B1084" s="75" t="s">
        <v>3244</v>
      </c>
    </row>
    <row r="1085">
      <c r="A1085" s="74">
        <v>44686.0</v>
      </c>
      <c r="B1085" s="75" t="s">
        <v>3245</v>
      </c>
    </row>
    <row r="1086">
      <c r="A1086" s="74">
        <v>44687.0</v>
      </c>
      <c r="B1086" s="75" t="s">
        <v>3246</v>
      </c>
    </row>
    <row r="1087">
      <c r="A1087" s="74">
        <v>44690.0</v>
      </c>
      <c r="B1087" s="75" t="s">
        <v>3247</v>
      </c>
    </row>
    <row r="1088">
      <c r="A1088" s="74">
        <v>44691.0</v>
      </c>
      <c r="B1088" s="75" t="s">
        <v>3248</v>
      </c>
    </row>
    <row r="1089">
      <c r="A1089" s="74">
        <v>44692.0</v>
      </c>
      <c r="B1089" s="75" t="s">
        <v>3249</v>
      </c>
    </row>
    <row r="1090">
      <c r="A1090" s="74">
        <v>44693.0</v>
      </c>
      <c r="B1090" s="75" t="s">
        <v>3250</v>
      </c>
    </row>
    <row r="1091">
      <c r="A1091" s="74">
        <v>44694.0</v>
      </c>
      <c r="B1091" s="75" t="s">
        <v>2137</v>
      </c>
    </row>
    <row r="1092">
      <c r="A1092" s="74">
        <v>44697.0</v>
      </c>
      <c r="B1092" s="75" t="s">
        <v>2025</v>
      </c>
    </row>
    <row r="1093">
      <c r="A1093" s="74">
        <v>44698.0</v>
      </c>
      <c r="B1093" s="75" t="s">
        <v>3251</v>
      </c>
    </row>
    <row r="1094">
      <c r="A1094" s="74">
        <v>44700.0</v>
      </c>
      <c r="B1094" s="75" t="s">
        <v>3252</v>
      </c>
    </row>
    <row r="1095">
      <c r="A1095" s="74">
        <v>44701.0</v>
      </c>
      <c r="B1095" s="75" t="s">
        <v>3253</v>
      </c>
    </row>
    <row r="1096">
      <c r="A1096" s="74">
        <v>44704.0</v>
      </c>
      <c r="B1096" s="75" t="s">
        <v>2142</v>
      </c>
    </row>
    <row r="1097">
      <c r="A1097" s="74">
        <v>44705.0</v>
      </c>
      <c r="B1097" s="75" t="s">
        <v>3254</v>
      </c>
    </row>
    <row r="1098">
      <c r="A1098" s="74">
        <v>44707.0</v>
      </c>
      <c r="B1098" s="75" t="s">
        <v>3255</v>
      </c>
    </row>
    <row r="1099">
      <c r="A1099" s="74">
        <v>44708.0</v>
      </c>
      <c r="B1099" s="75" t="s">
        <v>3256</v>
      </c>
    </row>
    <row r="1100">
      <c r="A1100" s="74">
        <v>44711.0</v>
      </c>
      <c r="B1100" s="75" t="s">
        <v>3257</v>
      </c>
    </row>
    <row r="1101">
      <c r="A1101" s="74">
        <v>44712.0</v>
      </c>
      <c r="B1101" s="75" t="s">
        <v>3258</v>
      </c>
    </row>
    <row r="1102">
      <c r="A1102" s="74">
        <v>44713.0</v>
      </c>
      <c r="B1102" s="75" t="s">
        <v>3259</v>
      </c>
    </row>
    <row r="1103">
      <c r="A1103" s="74">
        <v>44714.0</v>
      </c>
      <c r="B1103" s="75" t="s">
        <v>3260</v>
      </c>
    </row>
    <row r="1104">
      <c r="A1104" s="74">
        <v>44715.0</v>
      </c>
      <c r="B1104" s="75" t="s">
        <v>3261</v>
      </c>
    </row>
    <row r="1105">
      <c r="A1105" s="74">
        <v>44718.0</v>
      </c>
      <c r="B1105" s="75" t="s">
        <v>2124</v>
      </c>
    </row>
    <row r="1106">
      <c r="A1106" s="74">
        <v>44719.0</v>
      </c>
      <c r="B1106" s="75" t="s">
        <v>3262</v>
      </c>
    </row>
    <row r="1107">
      <c r="A1107" s="74">
        <v>44720.0</v>
      </c>
      <c r="B1107" s="75" t="s">
        <v>3263</v>
      </c>
    </row>
    <row r="1108">
      <c r="A1108" s="74">
        <v>44721.0</v>
      </c>
      <c r="B1108" s="75" t="s">
        <v>3264</v>
      </c>
    </row>
    <row r="1109">
      <c r="A1109" s="74">
        <v>44722.0</v>
      </c>
      <c r="B1109" s="75" t="s">
        <v>3265</v>
      </c>
    </row>
    <row r="1110">
      <c r="A1110" s="74">
        <v>44725.0</v>
      </c>
      <c r="B1110" s="75" t="s">
        <v>3266</v>
      </c>
    </row>
    <row r="1111">
      <c r="A1111" s="74">
        <v>44726.0</v>
      </c>
      <c r="B1111" s="75" t="s">
        <v>3267</v>
      </c>
    </row>
    <row r="1112">
      <c r="A1112" s="74">
        <v>44727.0</v>
      </c>
      <c r="B1112" s="75" t="s">
        <v>3268</v>
      </c>
    </row>
    <row r="1113">
      <c r="A1113" s="74">
        <v>44728.0</v>
      </c>
      <c r="B1113" s="75" t="s">
        <v>3269</v>
      </c>
    </row>
    <row r="1114">
      <c r="A1114" s="74">
        <v>44733.0</v>
      </c>
      <c r="B1114" s="75" t="s">
        <v>3270</v>
      </c>
    </row>
    <row r="1115">
      <c r="A1115" s="74">
        <v>44734.0</v>
      </c>
      <c r="B1115" s="75" t="s">
        <v>3271</v>
      </c>
    </row>
    <row r="1116">
      <c r="A1116" s="74">
        <v>44735.0</v>
      </c>
      <c r="B1116" s="75" t="s">
        <v>3272</v>
      </c>
    </row>
    <row r="1117">
      <c r="A1117" s="74">
        <v>44736.0</v>
      </c>
      <c r="B1117" s="75" t="s">
        <v>3273</v>
      </c>
    </row>
    <row r="1118">
      <c r="A1118" s="74">
        <v>44739.0</v>
      </c>
      <c r="B1118" s="75" t="s">
        <v>3274</v>
      </c>
    </row>
    <row r="1119">
      <c r="A1119" s="74">
        <v>44740.0</v>
      </c>
      <c r="B1119" s="75" t="s">
        <v>3275</v>
      </c>
    </row>
    <row r="1120">
      <c r="A1120" s="74">
        <v>44741.0</v>
      </c>
      <c r="B1120" s="75" t="s">
        <v>3276</v>
      </c>
    </row>
    <row r="1121">
      <c r="A1121" s="74">
        <v>44742.0</v>
      </c>
      <c r="B1121" s="75" t="s">
        <v>3277</v>
      </c>
    </row>
    <row r="1122">
      <c r="A1122" s="74">
        <v>44743.0</v>
      </c>
      <c r="B1122" s="75" t="s">
        <v>3278</v>
      </c>
    </row>
    <row r="1123">
      <c r="A1123" s="74">
        <v>44746.0</v>
      </c>
      <c r="B1123" s="75" t="s">
        <v>3279</v>
      </c>
    </row>
    <row r="1124">
      <c r="A1124" s="74">
        <v>44747.0</v>
      </c>
      <c r="B1124" s="75" t="s">
        <v>3280</v>
      </c>
    </row>
    <row r="1125">
      <c r="A1125" s="74">
        <v>44748.0</v>
      </c>
      <c r="B1125" s="75" t="s">
        <v>3281</v>
      </c>
    </row>
    <row r="1126">
      <c r="A1126" s="74">
        <v>44749.0</v>
      </c>
      <c r="B1126" s="75" t="s">
        <v>3282</v>
      </c>
    </row>
    <row r="1127">
      <c r="A1127" s="74">
        <v>44750.0</v>
      </c>
      <c r="B1127" s="75" t="s">
        <v>3283</v>
      </c>
    </row>
    <row r="1128">
      <c r="A1128" s="74">
        <v>44753.0</v>
      </c>
      <c r="B1128" s="75" t="s">
        <v>3284</v>
      </c>
    </row>
    <row r="1129">
      <c r="A1129" s="74">
        <v>44754.0</v>
      </c>
      <c r="B1129" s="75" t="s">
        <v>3285</v>
      </c>
    </row>
    <row r="1130">
      <c r="A1130" s="74">
        <v>44755.0</v>
      </c>
      <c r="B1130" s="75" t="s">
        <v>3286</v>
      </c>
    </row>
    <row r="1131">
      <c r="A1131" s="74">
        <v>44756.0</v>
      </c>
      <c r="B1131" s="75" t="s">
        <v>3287</v>
      </c>
    </row>
    <row r="1132">
      <c r="A1132" s="74">
        <v>44757.0</v>
      </c>
      <c r="B1132" s="75" t="s">
        <v>3288</v>
      </c>
    </row>
    <row r="1133">
      <c r="A1133" s="74">
        <v>44760.0</v>
      </c>
      <c r="B1133" s="75" t="s">
        <v>3289</v>
      </c>
    </row>
    <row r="1134">
      <c r="A1134" s="74">
        <v>44761.0</v>
      </c>
      <c r="B1134" s="75" t="s">
        <v>3290</v>
      </c>
    </row>
    <row r="1135">
      <c r="A1135" s="74">
        <v>44762.0</v>
      </c>
      <c r="B1135" s="75" t="s">
        <v>3291</v>
      </c>
    </row>
    <row r="1136">
      <c r="A1136" s="74">
        <v>44763.0</v>
      </c>
      <c r="B1136" s="75" t="s">
        <v>3292</v>
      </c>
    </row>
    <row r="1137">
      <c r="A1137" s="74">
        <v>44764.0</v>
      </c>
      <c r="B1137" s="75" t="s">
        <v>3293</v>
      </c>
    </row>
    <row r="1138">
      <c r="A1138" s="74">
        <v>44767.0</v>
      </c>
      <c r="B1138" s="75" t="s">
        <v>3294</v>
      </c>
    </row>
    <row r="1139">
      <c r="A1139" s="74">
        <v>44768.0</v>
      </c>
      <c r="B1139" s="75" t="s">
        <v>3295</v>
      </c>
    </row>
    <row r="1140">
      <c r="A1140" s="74">
        <v>44769.0</v>
      </c>
      <c r="B1140" s="75" t="s">
        <v>3296</v>
      </c>
    </row>
    <row r="1141">
      <c r="A1141" s="74">
        <v>44770.0</v>
      </c>
      <c r="B1141" s="75" t="s">
        <v>3297</v>
      </c>
    </row>
    <row r="1142">
      <c r="A1142" s="74">
        <v>44771.0</v>
      </c>
      <c r="B1142" s="75" t="s">
        <v>3298</v>
      </c>
    </row>
    <row r="1143">
      <c r="A1143" s="74">
        <v>44774.0</v>
      </c>
      <c r="B1143" s="75" t="s">
        <v>3299</v>
      </c>
    </row>
    <row r="1144">
      <c r="A1144" s="74">
        <v>44775.0</v>
      </c>
      <c r="B1144" s="75" t="s">
        <v>3300</v>
      </c>
    </row>
    <row r="1145">
      <c r="A1145" s="74">
        <v>44776.0</v>
      </c>
      <c r="B1145" s="75" t="s">
        <v>3301</v>
      </c>
    </row>
    <row r="1146">
      <c r="A1146" s="74">
        <v>44777.0</v>
      </c>
      <c r="B1146" s="75" t="s">
        <v>3302</v>
      </c>
    </row>
    <row r="1147">
      <c r="A1147" s="74">
        <v>44778.0</v>
      </c>
      <c r="B1147" s="75" t="s">
        <v>3303</v>
      </c>
    </row>
    <row r="1148">
      <c r="A1148" s="74">
        <v>44781.0</v>
      </c>
      <c r="B1148" s="75" t="s">
        <v>3304</v>
      </c>
    </row>
    <row r="1149">
      <c r="A1149" s="74">
        <v>44782.0</v>
      </c>
      <c r="B1149" s="75" t="s">
        <v>3305</v>
      </c>
    </row>
    <row r="1150">
      <c r="A1150" s="74">
        <v>44783.0</v>
      </c>
      <c r="B1150" s="75" t="s">
        <v>3306</v>
      </c>
    </row>
    <row r="1151">
      <c r="A1151" s="74">
        <v>44784.0</v>
      </c>
      <c r="B1151" s="75" t="s">
        <v>3307</v>
      </c>
    </row>
    <row r="1152">
      <c r="A1152" s="74">
        <v>44785.0</v>
      </c>
      <c r="B1152" s="75" t="s">
        <v>3308</v>
      </c>
    </row>
    <row r="1153">
      <c r="A1153" s="74">
        <v>44789.0</v>
      </c>
      <c r="B1153" s="75" t="s">
        <v>3309</v>
      </c>
    </row>
    <row r="1154">
      <c r="A1154" s="74">
        <v>44790.0</v>
      </c>
      <c r="B1154" s="75" t="s">
        <v>3310</v>
      </c>
    </row>
    <row r="1155">
      <c r="A1155" s="74">
        <v>44791.0</v>
      </c>
      <c r="B1155" s="75" t="s">
        <v>3311</v>
      </c>
    </row>
    <row r="1156">
      <c r="A1156" s="74">
        <v>44792.0</v>
      </c>
      <c r="B1156" s="75" t="s">
        <v>3312</v>
      </c>
    </row>
    <row r="1157">
      <c r="A1157" s="74">
        <v>44795.0</v>
      </c>
      <c r="B1157" s="75" t="s">
        <v>3313</v>
      </c>
    </row>
    <row r="1158">
      <c r="A1158" s="74">
        <v>44796.0</v>
      </c>
      <c r="B1158" s="75" t="s">
        <v>3314</v>
      </c>
    </row>
    <row r="1159">
      <c r="A1159" s="74">
        <v>44797.0</v>
      </c>
      <c r="B1159" s="75" t="s">
        <v>3315</v>
      </c>
    </row>
    <row r="1160">
      <c r="A1160" s="74">
        <v>44798.0</v>
      </c>
      <c r="B1160" s="75" t="s">
        <v>3315</v>
      </c>
    </row>
    <row r="1161">
      <c r="A1161" s="74">
        <v>44799.0</v>
      </c>
      <c r="B1161" s="75" t="s">
        <v>3316</v>
      </c>
    </row>
    <row r="1162">
      <c r="A1162" s="74">
        <v>44802.0</v>
      </c>
      <c r="B1162" s="75" t="s">
        <v>3317</v>
      </c>
    </row>
    <row r="1163">
      <c r="A1163" s="74">
        <v>44803.0</v>
      </c>
      <c r="B1163" s="75" t="s">
        <v>3318</v>
      </c>
    </row>
    <row r="1164">
      <c r="A1164" s="74">
        <v>44804.0</v>
      </c>
      <c r="B1164" s="75" t="s">
        <v>3319</v>
      </c>
    </row>
    <row r="1165">
      <c r="A1165" s="74">
        <v>44805.0</v>
      </c>
      <c r="B1165" s="75" t="s">
        <v>3320</v>
      </c>
    </row>
    <row r="1166">
      <c r="A1166" s="74">
        <v>44806.0</v>
      </c>
      <c r="B1166" s="75" t="s">
        <v>3320</v>
      </c>
    </row>
    <row r="1167">
      <c r="A1167" s="74">
        <v>44809.0</v>
      </c>
      <c r="B1167" s="75" t="s">
        <v>3321</v>
      </c>
    </row>
    <row r="1168">
      <c r="A1168" s="74">
        <v>44810.0</v>
      </c>
      <c r="B1168" s="75" t="s">
        <v>3322</v>
      </c>
    </row>
    <row r="1169">
      <c r="A1169" s="74">
        <v>44811.0</v>
      </c>
      <c r="B1169" s="75" t="s">
        <v>3323</v>
      </c>
    </row>
    <row r="1170">
      <c r="A1170" s="74">
        <v>44812.0</v>
      </c>
      <c r="B1170" s="75" t="s">
        <v>3324</v>
      </c>
    </row>
    <row r="1171">
      <c r="A1171" s="74">
        <v>44813.0</v>
      </c>
      <c r="B1171" s="75" t="s">
        <v>3325</v>
      </c>
    </row>
    <row r="1172">
      <c r="A1172" s="74">
        <v>44816.0</v>
      </c>
      <c r="B1172" s="75" t="s">
        <v>3326</v>
      </c>
    </row>
    <row r="1173">
      <c r="A1173" s="74">
        <v>44817.0</v>
      </c>
      <c r="B1173" s="75" t="s">
        <v>3327</v>
      </c>
    </row>
    <row r="1174">
      <c r="A1174" s="74">
        <v>44818.0</v>
      </c>
      <c r="B1174" s="75" t="s">
        <v>3328</v>
      </c>
    </row>
    <row r="1175">
      <c r="A1175" s="74">
        <v>44819.0</v>
      </c>
      <c r="B1175" s="75" t="s">
        <v>3329</v>
      </c>
    </row>
    <row r="1176">
      <c r="A1176" s="74">
        <v>44820.0</v>
      </c>
      <c r="B1176" s="75" t="s">
        <v>3330</v>
      </c>
    </row>
    <row r="1177">
      <c r="A1177" s="74">
        <v>44823.0</v>
      </c>
      <c r="B1177" s="75" t="s">
        <v>3331</v>
      </c>
    </row>
    <row r="1178">
      <c r="A1178" s="74">
        <v>44824.0</v>
      </c>
      <c r="B1178" s="75" t="s">
        <v>3332</v>
      </c>
    </row>
    <row r="1179">
      <c r="A1179" s="74">
        <v>44825.0</v>
      </c>
      <c r="B1179" s="75" t="s">
        <v>3333</v>
      </c>
    </row>
    <row r="1180">
      <c r="A1180" s="74">
        <v>44826.0</v>
      </c>
      <c r="B1180" s="75" t="s">
        <v>3334</v>
      </c>
    </row>
    <row r="1181">
      <c r="A1181" s="74">
        <v>44827.0</v>
      </c>
      <c r="B1181" s="75" t="s">
        <v>3335</v>
      </c>
    </row>
    <row r="1182">
      <c r="A1182" s="74">
        <v>44830.0</v>
      </c>
      <c r="B1182" s="75" t="s">
        <v>3336</v>
      </c>
    </row>
    <row r="1183">
      <c r="A1183" s="74">
        <v>44831.0</v>
      </c>
      <c r="B1183" s="75" t="s">
        <v>3337</v>
      </c>
    </row>
    <row r="1184">
      <c r="A1184" s="74">
        <v>44832.0</v>
      </c>
      <c r="B1184" s="75" t="s">
        <v>3338</v>
      </c>
    </row>
    <row r="1185">
      <c r="A1185" s="74">
        <v>44833.0</v>
      </c>
      <c r="B1185" s="75" t="s">
        <v>3339</v>
      </c>
    </row>
    <row r="1186">
      <c r="A1186" s="74">
        <v>44834.0</v>
      </c>
      <c r="B1186" s="75" t="s">
        <v>3340</v>
      </c>
    </row>
    <row r="1187">
      <c r="A1187" s="74">
        <v>44837.0</v>
      </c>
      <c r="B1187" s="75" t="s">
        <v>3341</v>
      </c>
    </row>
    <row r="1188">
      <c r="A1188" s="74">
        <v>44838.0</v>
      </c>
      <c r="B1188" s="75" t="s">
        <v>3342</v>
      </c>
    </row>
    <row r="1189">
      <c r="A1189" s="74">
        <v>44839.0</v>
      </c>
      <c r="B1189" s="75" t="s">
        <v>3343</v>
      </c>
    </row>
    <row r="1190">
      <c r="A1190" s="74">
        <v>44840.0</v>
      </c>
      <c r="B1190" s="75" t="s">
        <v>3344</v>
      </c>
    </row>
    <row r="1191">
      <c r="A1191" s="74">
        <v>44845.0</v>
      </c>
      <c r="B1191" s="75" t="s">
        <v>3314</v>
      </c>
    </row>
    <row r="1192">
      <c r="A1192" s="74">
        <v>44846.0</v>
      </c>
      <c r="B1192" s="75" t="s">
        <v>3345</v>
      </c>
    </row>
    <row r="1193">
      <c r="A1193" s="74">
        <v>44847.0</v>
      </c>
      <c r="B1193" s="75" t="s">
        <v>3346</v>
      </c>
    </row>
    <row r="1194">
      <c r="A1194" s="74">
        <v>44848.0</v>
      </c>
      <c r="B1194" s="75" t="s">
        <v>3347</v>
      </c>
    </row>
    <row r="1195">
      <c r="A1195" s="74">
        <v>44851.0</v>
      </c>
      <c r="B1195" s="75" t="s">
        <v>3348</v>
      </c>
    </row>
    <row r="1196">
      <c r="A1196" s="74">
        <v>44852.0</v>
      </c>
      <c r="B1196" s="75" t="s">
        <v>3349</v>
      </c>
    </row>
    <row r="1197">
      <c r="A1197" s="74">
        <v>44853.0</v>
      </c>
      <c r="B1197" s="75" t="s">
        <v>3350</v>
      </c>
    </row>
    <row r="1198">
      <c r="A1198" s="74">
        <v>44854.0</v>
      </c>
      <c r="B1198" s="75" t="s">
        <v>3351</v>
      </c>
    </row>
    <row r="1199">
      <c r="A1199" s="74">
        <v>44855.0</v>
      </c>
      <c r="B1199" s="75" t="s">
        <v>3352</v>
      </c>
    </row>
    <row r="1200">
      <c r="A1200" s="74">
        <v>44858.0</v>
      </c>
      <c r="B1200" s="75" t="s">
        <v>3353</v>
      </c>
    </row>
    <row r="1201">
      <c r="A1201" s="74">
        <v>44859.0</v>
      </c>
      <c r="B1201" s="75" t="s">
        <v>3354</v>
      </c>
    </row>
    <row r="1202">
      <c r="A1202" s="74">
        <v>44860.0</v>
      </c>
      <c r="B1202" s="75" t="s">
        <v>3355</v>
      </c>
    </row>
    <row r="1203">
      <c r="A1203" s="74">
        <v>44861.0</v>
      </c>
      <c r="B1203" s="75" t="s">
        <v>3356</v>
      </c>
    </row>
    <row r="1204">
      <c r="A1204" s="74">
        <v>44862.0</v>
      </c>
      <c r="B1204" s="75" t="s">
        <v>3357</v>
      </c>
    </row>
    <row r="1205">
      <c r="A1205" s="74">
        <v>44865.0</v>
      </c>
      <c r="B1205" s="75" t="s">
        <v>3358</v>
      </c>
    </row>
    <row r="1206">
      <c r="A1206" s="74">
        <v>44866.0</v>
      </c>
      <c r="B1206" s="75" t="s">
        <v>3359</v>
      </c>
    </row>
    <row r="1207">
      <c r="A1207" s="74">
        <v>44867.0</v>
      </c>
      <c r="B1207" s="75" t="s">
        <v>3360</v>
      </c>
    </row>
    <row r="1208">
      <c r="A1208" s="74">
        <v>44868.0</v>
      </c>
      <c r="B1208" s="75" t="s">
        <v>3361</v>
      </c>
    </row>
    <row r="1209">
      <c r="A1209" s="74">
        <v>44869.0</v>
      </c>
      <c r="B1209" s="75" t="s">
        <v>3362</v>
      </c>
    </row>
    <row r="1210">
      <c r="A1210" s="74">
        <v>44872.0</v>
      </c>
      <c r="B1210" s="75" t="s">
        <v>3363</v>
      </c>
    </row>
    <row r="1211">
      <c r="A1211" s="74">
        <v>44873.0</v>
      </c>
      <c r="B1211" s="75" t="s">
        <v>3364</v>
      </c>
    </row>
    <row r="1212">
      <c r="A1212" s="74">
        <v>44874.0</v>
      </c>
      <c r="B1212" s="75" t="s">
        <v>3365</v>
      </c>
    </row>
    <row r="1213">
      <c r="A1213" s="74">
        <v>44875.0</v>
      </c>
      <c r="B1213" s="75" t="s">
        <v>3337</v>
      </c>
    </row>
    <row r="1214">
      <c r="A1214" s="74">
        <v>44876.0</v>
      </c>
      <c r="B1214" s="75" t="s">
        <v>3366</v>
      </c>
    </row>
    <row r="1215">
      <c r="A1215" s="74">
        <v>44879.0</v>
      </c>
      <c r="B1215" s="75" t="s">
        <v>3367</v>
      </c>
    </row>
    <row r="1216">
      <c r="A1216" s="74">
        <v>44880.0</v>
      </c>
      <c r="B1216" s="75" t="s">
        <v>3368</v>
      </c>
    </row>
    <row r="1217">
      <c r="A1217" s="74">
        <v>44881.0</v>
      </c>
      <c r="B1217" s="75" t="s">
        <v>3369</v>
      </c>
    </row>
    <row r="1218">
      <c r="A1218" s="74">
        <v>44882.0</v>
      </c>
      <c r="B1218" s="75" t="s">
        <v>3370</v>
      </c>
    </row>
    <row r="1219">
      <c r="A1219" s="74">
        <v>44883.0</v>
      </c>
      <c r="B1219" s="75" t="s">
        <v>3371</v>
      </c>
    </row>
    <row r="1220">
      <c r="A1220" s="74">
        <v>44887.0</v>
      </c>
      <c r="B1220" s="75" t="s">
        <v>3372</v>
      </c>
    </row>
    <row r="1221">
      <c r="A1221" s="74">
        <v>44888.0</v>
      </c>
      <c r="B1221" s="75" t="s">
        <v>3373</v>
      </c>
    </row>
    <row r="1222">
      <c r="A1222" s="74">
        <v>44889.0</v>
      </c>
      <c r="B1222" s="75" t="s">
        <v>3374</v>
      </c>
    </row>
    <row r="1223">
      <c r="A1223" s="74">
        <v>44890.0</v>
      </c>
      <c r="B1223" s="75" t="s">
        <v>3375</v>
      </c>
    </row>
    <row r="1224">
      <c r="A1224" s="74">
        <v>44893.0</v>
      </c>
      <c r="B1224" s="75" t="s">
        <v>3376</v>
      </c>
    </row>
    <row r="1225">
      <c r="A1225" s="74">
        <v>44894.0</v>
      </c>
      <c r="B1225" s="75" t="s">
        <v>3377</v>
      </c>
    </row>
    <row r="1226">
      <c r="A1226" s="74">
        <v>44895.0</v>
      </c>
      <c r="B1226" s="75" t="s">
        <v>3378</v>
      </c>
    </row>
    <row r="1227">
      <c r="A1227" s="74">
        <v>44896.0</v>
      </c>
      <c r="B1227" s="75" t="s">
        <v>3379</v>
      </c>
    </row>
    <row r="1228">
      <c r="A1228" s="74">
        <v>44897.0</v>
      </c>
      <c r="B1228" s="75" t="s">
        <v>3380</v>
      </c>
    </row>
    <row r="1229">
      <c r="A1229" s="74">
        <v>44900.0</v>
      </c>
      <c r="B1229" s="75" t="s">
        <v>3381</v>
      </c>
    </row>
    <row r="1230">
      <c r="A1230" s="74">
        <v>44901.0</v>
      </c>
      <c r="B1230" s="75" t="s">
        <v>3382</v>
      </c>
    </row>
    <row r="1231">
      <c r="A1231" s="74">
        <v>44902.0</v>
      </c>
      <c r="B1231" s="75" t="s">
        <v>3383</v>
      </c>
    </row>
    <row r="1232">
      <c r="A1232" s="74">
        <v>44907.0</v>
      </c>
      <c r="B1232" s="75" t="s">
        <v>3384</v>
      </c>
    </row>
    <row r="1233">
      <c r="A1233" s="74">
        <v>44908.0</v>
      </c>
      <c r="B1233" s="75" t="s">
        <v>3385</v>
      </c>
    </row>
    <row r="1234">
      <c r="A1234" s="74">
        <v>44909.0</v>
      </c>
      <c r="B1234" s="75" t="s">
        <v>3386</v>
      </c>
    </row>
    <row r="1235">
      <c r="A1235" s="74">
        <v>44910.0</v>
      </c>
      <c r="B1235" s="75" t="s">
        <v>3387</v>
      </c>
    </row>
    <row r="1236">
      <c r="A1236" s="74">
        <v>44911.0</v>
      </c>
      <c r="B1236" s="75" t="s">
        <v>3387</v>
      </c>
    </row>
    <row r="1237">
      <c r="A1237" s="74">
        <v>44914.0</v>
      </c>
      <c r="B1237" s="75" t="s">
        <v>3388</v>
      </c>
    </row>
    <row r="1238">
      <c r="A1238" s="74">
        <v>44915.0</v>
      </c>
      <c r="B1238" s="75" t="s">
        <v>3389</v>
      </c>
    </row>
    <row r="1239">
      <c r="A1239" s="74">
        <v>44916.0</v>
      </c>
      <c r="B1239" s="75" t="s">
        <v>3390</v>
      </c>
    </row>
    <row r="1240">
      <c r="A1240" s="74">
        <v>44917.0</v>
      </c>
      <c r="B1240" s="75" t="s">
        <v>3391</v>
      </c>
    </row>
    <row r="1241">
      <c r="A1241" s="74">
        <v>44918.0</v>
      </c>
      <c r="B1241" s="75" t="s">
        <v>3392</v>
      </c>
    </row>
    <row r="1242">
      <c r="A1242" s="74">
        <v>44921.0</v>
      </c>
      <c r="B1242" s="75" t="s">
        <v>3393</v>
      </c>
    </row>
    <row r="1243">
      <c r="A1243" s="74">
        <v>44922.0</v>
      </c>
      <c r="B1243" s="75" t="s">
        <v>3394</v>
      </c>
    </row>
    <row r="1244">
      <c r="A1244" s="74">
        <v>44923.0</v>
      </c>
      <c r="B1244" s="75" t="s">
        <v>3395</v>
      </c>
    </row>
    <row r="1245">
      <c r="A1245" s="74">
        <v>44924.0</v>
      </c>
      <c r="B1245" s="75" t="s">
        <v>3396</v>
      </c>
    </row>
    <row r="1246">
      <c r="A1246" s="74">
        <v>44925.0</v>
      </c>
      <c r="B1246" s="75" t="s">
        <v>3397</v>
      </c>
    </row>
    <row r="1247">
      <c r="A1247" s="74">
        <v>44928.0</v>
      </c>
      <c r="B1247" s="75" t="s">
        <v>3398</v>
      </c>
    </row>
    <row r="1248">
      <c r="A1248" s="74">
        <v>44929.0</v>
      </c>
      <c r="B1248" s="75" t="s">
        <v>3399</v>
      </c>
    </row>
    <row r="1249">
      <c r="A1249" s="74">
        <v>44930.0</v>
      </c>
      <c r="B1249" s="75" t="s">
        <v>3400</v>
      </c>
    </row>
    <row r="1250">
      <c r="A1250" s="74">
        <v>44931.0</v>
      </c>
      <c r="B1250" s="75" t="s">
        <v>2268</v>
      </c>
    </row>
    <row r="1251">
      <c r="A1251" s="74">
        <v>44932.0</v>
      </c>
      <c r="B1251" s="75" t="s">
        <v>3401</v>
      </c>
    </row>
    <row r="1252">
      <c r="A1252" s="74">
        <v>44935.0</v>
      </c>
      <c r="B1252" s="75" t="s">
        <v>3402</v>
      </c>
    </row>
    <row r="1253">
      <c r="A1253" s="74">
        <v>44936.0</v>
      </c>
      <c r="B1253" s="75" t="s">
        <v>3403</v>
      </c>
    </row>
    <row r="1254">
      <c r="A1254" s="74">
        <v>44937.0</v>
      </c>
      <c r="B1254" s="75" t="s">
        <v>3404</v>
      </c>
    </row>
    <row r="1255">
      <c r="A1255" s="74">
        <v>44938.0</v>
      </c>
      <c r="B1255" s="75" t="s">
        <v>3405</v>
      </c>
    </row>
    <row r="1256">
      <c r="A1256" s="74">
        <v>44939.0</v>
      </c>
      <c r="B1256" s="75" t="s">
        <v>3406</v>
      </c>
    </row>
    <row r="1257">
      <c r="A1257" s="74">
        <v>44942.0</v>
      </c>
      <c r="B1257" s="75" t="s">
        <v>3407</v>
      </c>
    </row>
    <row r="1258">
      <c r="A1258" s="74">
        <v>44943.0</v>
      </c>
      <c r="B1258" s="75" t="s">
        <v>3408</v>
      </c>
    </row>
    <row r="1259">
      <c r="A1259" s="74">
        <v>44944.0</v>
      </c>
      <c r="B1259" s="75" t="s">
        <v>3409</v>
      </c>
    </row>
    <row r="1260">
      <c r="A1260" s="74">
        <v>44945.0</v>
      </c>
      <c r="B1260" s="75" t="s">
        <v>3410</v>
      </c>
    </row>
    <row r="1261">
      <c r="A1261" s="74">
        <v>44946.0</v>
      </c>
      <c r="B1261" s="75" t="s">
        <v>3411</v>
      </c>
    </row>
    <row r="1262">
      <c r="A1262" s="74">
        <v>44949.0</v>
      </c>
      <c r="B1262" s="75" t="s">
        <v>3412</v>
      </c>
    </row>
    <row r="1263">
      <c r="A1263" s="74">
        <v>44950.0</v>
      </c>
      <c r="B1263" s="75" t="s">
        <v>3413</v>
      </c>
    </row>
    <row r="1264">
      <c r="A1264" s="74">
        <v>44951.0</v>
      </c>
      <c r="B1264" s="75" t="s">
        <v>3414</v>
      </c>
    </row>
    <row r="1265">
      <c r="A1265" s="74">
        <v>44952.0</v>
      </c>
      <c r="B1265" s="75" t="s">
        <v>3415</v>
      </c>
    </row>
    <row r="1266">
      <c r="A1266" s="74">
        <v>44953.0</v>
      </c>
      <c r="B1266" s="75" t="s">
        <v>3416</v>
      </c>
    </row>
    <row r="1267">
      <c r="A1267" s="74">
        <v>44956.0</v>
      </c>
      <c r="B1267" s="75" t="s">
        <v>3417</v>
      </c>
    </row>
    <row r="1268">
      <c r="A1268" s="74">
        <v>44957.0</v>
      </c>
      <c r="B1268" s="75" t="s">
        <v>3418</v>
      </c>
    </row>
    <row r="1269">
      <c r="A1269" s="74">
        <v>44958.0</v>
      </c>
      <c r="B1269" s="75" t="s">
        <v>3419</v>
      </c>
    </row>
    <row r="1270">
      <c r="A1270" s="74">
        <v>44959.0</v>
      </c>
      <c r="B1270" s="75" t="s">
        <v>3420</v>
      </c>
    </row>
    <row r="1271">
      <c r="A1271" s="74">
        <v>44960.0</v>
      </c>
      <c r="B1271" s="75" t="s">
        <v>3421</v>
      </c>
    </row>
    <row r="1272">
      <c r="A1272" s="74">
        <v>44963.0</v>
      </c>
      <c r="B1272" s="75" t="s">
        <v>3422</v>
      </c>
    </row>
    <row r="1273">
      <c r="A1273" s="74">
        <v>44964.0</v>
      </c>
      <c r="B1273" s="75" t="s">
        <v>3423</v>
      </c>
    </row>
    <row r="1274">
      <c r="A1274" s="74">
        <v>44965.0</v>
      </c>
      <c r="B1274" s="75" t="s">
        <v>3424</v>
      </c>
    </row>
    <row r="1275">
      <c r="A1275" s="74">
        <v>44966.0</v>
      </c>
      <c r="B1275" s="75" t="s">
        <v>3425</v>
      </c>
    </row>
    <row r="1276">
      <c r="A1276" s="74">
        <v>44967.0</v>
      </c>
      <c r="B1276" s="75" t="s">
        <v>3426</v>
      </c>
    </row>
    <row r="1277">
      <c r="A1277" s="74">
        <v>44970.0</v>
      </c>
      <c r="B1277" s="75" t="s">
        <v>3427</v>
      </c>
    </row>
    <row r="1278">
      <c r="A1278" s="74">
        <v>44971.0</v>
      </c>
      <c r="B1278" s="75" t="s">
        <v>3428</v>
      </c>
    </row>
    <row r="1279">
      <c r="A1279" s="74">
        <v>44972.0</v>
      </c>
      <c r="B1279" s="75" t="s">
        <v>3429</v>
      </c>
    </row>
    <row r="1280">
      <c r="A1280" s="74">
        <v>44973.0</v>
      </c>
      <c r="B1280" s="75" t="s">
        <v>3430</v>
      </c>
    </row>
    <row r="1281">
      <c r="A1281" s="74">
        <v>44974.0</v>
      </c>
      <c r="B1281" s="75" t="s">
        <v>3431</v>
      </c>
    </row>
    <row r="1282">
      <c r="A1282" s="74">
        <v>44979.0</v>
      </c>
      <c r="B1282" s="75" t="s">
        <v>3432</v>
      </c>
    </row>
    <row r="1283">
      <c r="A1283" s="74">
        <v>44980.0</v>
      </c>
      <c r="B1283" s="75" t="s">
        <v>3433</v>
      </c>
    </row>
    <row r="1284">
      <c r="A1284" s="74">
        <v>44981.0</v>
      </c>
      <c r="B1284" s="75" t="s">
        <v>3434</v>
      </c>
    </row>
    <row r="1285">
      <c r="A1285" s="74">
        <v>44984.0</v>
      </c>
      <c r="B1285" s="75" t="s">
        <v>3435</v>
      </c>
    </row>
    <row r="1286">
      <c r="A1286" s="74">
        <v>44985.0</v>
      </c>
      <c r="B1286" s="75" t="s">
        <v>3436</v>
      </c>
    </row>
    <row r="1287">
      <c r="A1287" s="74">
        <v>44986.0</v>
      </c>
      <c r="B1287" s="75" t="s">
        <v>3437</v>
      </c>
    </row>
    <row r="1288">
      <c r="A1288" s="74">
        <v>44987.0</v>
      </c>
      <c r="B1288" s="75" t="s">
        <v>3438</v>
      </c>
    </row>
    <row r="1289">
      <c r="A1289" s="74">
        <v>44988.0</v>
      </c>
      <c r="B1289" s="75" t="s">
        <v>3439</v>
      </c>
    </row>
    <row r="1290">
      <c r="A1290" s="74">
        <v>44991.0</v>
      </c>
      <c r="B1290" s="75" t="s">
        <v>3440</v>
      </c>
    </row>
    <row r="1291">
      <c r="A1291" s="74">
        <v>44992.0</v>
      </c>
      <c r="B1291" s="75" t="s">
        <v>3441</v>
      </c>
    </row>
    <row r="1292">
      <c r="A1292" s="74">
        <v>44993.0</v>
      </c>
      <c r="B1292" s="75" t="s">
        <v>3442</v>
      </c>
    </row>
    <row r="1293">
      <c r="A1293" s="74">
        <v>44994.0</v>
      </c>
      <c r="B1293" s="75" t="s">
        <v>3443</v>
      </c>
    </row>
    <row r="1294">
      <c r="A1294" s="74">
        <v>44995.0</v>
      </c>
      <c r="B1294" s="75" t="s">
        <v>3444</v>
      </c>
    </row>
    <row r="1295">
      <c r="A1295" s="74">
        <v>44998.0</v>
      </c>
      <c r="B1295" s="75" t="s">
        <v>3445</v>
      </c>
    </row>
    <row r="1296">
      <c r="A1296" s="74">
        <v>44999.0</v>
      </c>
      <c r="B1296" s="75" t="s">
        <v>3446</v>
      </c>
    </row>
    <row r="1297">
      <c r="A1297" s="74">
        <v>45000.0</v>
      </c>
      <c r="B1297" s="75" t="s">
        <v>3447</v>
      </c>
    </row>
    <row r="1298">
      <c r="A1298" s="74">
        <v>45001.0</v>
      </c>
      <c r="B1298" s="75" t="s">
        <v>3448</v>
      </c>
    </row>
    <row r="1299">
      <c r="A1299" s="74">
        <v>45002.0</v>
      </c>
      <c r="B1299" s="75" t="s">
        <v>3449</v>
      </c>
    </row>
    <row r="1300">
      <c r="A1300" s="74">
        <v>45005.0</v>
      </c>
      <c r="B1300" s="75" t="s">
        <v>3450</v>
      </c>
    </row>
    <row r="1301">
      <c r="A1301" s="74">
        <v>45006.0</v>
      </c>
      <c r="B1301" s="75" t="s">
        <v>3451</v>
      </c>
    </row>
    <row r="1302">
      <c r="A1302" s="74">
        <v>45007.0</v>
      </c>
      <c r="B1302" s="75" t="s">
        <v>3452</v>
      </c>
    </row>
    <row r="1303">
      <c r="A1303" s="74">
        <v>45008.0</v>
      </c>
      <c r="B1303" s="75" t="s">
        <v>3453</v>
      </c>
    </row>
    <row r="1304">
      <c r="A1304" s="74">
        <v>45012.0</v>
      </c>
      <c r="B1304" s="75" t="s">
        <v>3454</v>
      </c>
    </row>
    <row r="1305">
      <c r="A1305" s="74">
        <v>45013.0</v>
      </c>
      <c r="B1305" s="75" t="s">
        <v>3455</v>
      </c>
    </row>
    <row r="1306">
      <c r="A1306" s="74">
        <v>45014.0</v>
      </c>
      <c r="B1306" s="75" t="s">
        <v>3456</v>
      </c>
    </row>
    <row r="1307">
      <c r="A1307" s="74">
        <v>45015.0</v>
      </c>
      <c r="B1307" s="75" t="s">
        <v>3457</v>
      </c>
    </row>
    <row r="1308">
      <c r="A1308" s="74">
        <v>45016.0</v>
      </c>
      <c r="B1308" s="75" t="s">
        <v>3458</v>
      </c>
    </row>
    <row r="1309">
      <c r="A1309" s="74">
        <v>45019.0</v>
      </c>
      <c r="B1309" s="75" t="s">
        <v>3459</v>
      </c>
    </row>
    <row r="1310">
      <c r="A1310" s="74">
        <v>45020.0</v>
      </c>
      <c r="B1310" s="75" t="s">
        <v>3460</v>
      </c>
    </row>
    <row r="1311">
      <c r="A1311" s="74">
        <v>45021.0</v>
      </c>
      <c r="B1311" s="75" t="s">
        <v>3461</v>
      </c>
    </row>
    <row r="1312">
      <c r="A1312" s="74">
        <v>45026.0</v>
      </c>
      <c r="B1312" s="75" t="s">
        <v>3462</v>
      </c>
    </row>
    <row r="1313">
      <c r="A1313" s="74">
        <v>45027.0</v>
      </c>
      <c r="B1313" s="75" t="s">
        <v>3463</v>
      </c>
    </row>
    <row r="1314">
      <c r="A1314" s="74">
        <v>45028.0</v>
      </c>
      <c r="B1314" s="75" t="s">
        <v>3464</v>
      </c>
    </row>
    <row r="1315">
      <c r="A1315" s="74">
        <v>45029.0</v>
      </c>
      <c r="B1315" s="75" t="s">
        <v>3465</v>
      </c>
    </row>
    <row r="1316">
      <c r="A1316" s="74">
        <v>45030.0</v>
      </c>
      <c r="B1316" s="75" t="s">
        <v>3466</v>
      </c>
    </row>
    <row r="1317">
      <c r="A1317" s="74">
        <v>45033.0</v>
      </c>
      <c r="B1317" s="75" t="s">
        <v>3467</v>
      </c>
    </row>
    <row r="1318">
      <c r="A1318" s="74">
        <v>45034.0</v>
      </c>
      <c r="B1318" s="75" t="s">
        <v>3468</v>
      </c>
    </row>
    <row r="1319">
      <c r="A1319" s="74">
        <v>45035.0</v>
      </c>
      <c r="B1319" s="75" t="s">
        <v>3469</v>
      </c>
    </row>
    <row r="1320">
      <c r="A1320" s="74">
        <v>45036.0</v>
      </c>
      <c r="B1320" s="75" t="s">
        <v>3470</v>
      </c>
    </row>
    <row r="1321">
      <c r="A1321" s="74">
        <v>45037.0</v>
      </c>
      <c r="B1321" s="75" t="s">
        <v>3471</v>
      </c>
    </row>
    <row r="1322">
      <c r="A1322" s="74">
        <v>45040.0</v>
      </c>
      <c r="B1322" s="75" t="s">
        <v>3472</v>
      </c>
    </row>
    <row r="1323">
      <c r="A1323" s="74">
        <v>45041.0</v>
      </c>
      <c r="B1323" s="75" t="s">
        <v>3473</v>
      </c>
    </row>
    <row r="1324">
      <c r="A1324" s="74">
        <v>45042.0</v>
      </c>
      <c r="B1324" s="75" t="s">
        <v>3474</v>
      </c>
    </row>
    <row r="1325">
      <c r="A1325" s="74">
        <v>45043.0</v>
      </c>
      <c r="B1325" s="75" t="s">
        <v>3475</v>
      </c>
    </row>
    <row r="1326">
      <c r="A1326" s="74">
        <v>45044.0</v>
      </c>
      <c r="B1326" s="75" t="s">
        <v>3476</v>
      </c>
    </row>
    <row r="1327">
      <c r="A1327" s="74">
        <v>45048.0</v>
      </c>
      <c r="B1327" s="75" t="s">
        <v>3477</v>
      </c>
    </row>
    <row r="1328">
      <c r="A1328" s="74">
        <v>45049.0</v>
      </c>
      <c r="B1328" s="75" t="s">
        <v>3478</v>
      </c>
    </row>
    <row r="1329">
      <c r="A1329" s="74">
        <v>45050.0</v>
      </c>
      <c r="B1329" s="75" t="s">
        <v>3479</v>
      </c>
    </row>
    <row r="1330">
      <c r="A1330" s="74">
        <v>45051.0</v>
      </c>
      <c r="B1330" s="75" t="s">
        <v>3480</v>
      </c>
    </row>
    <row r="1331">
      <c r="A1331" s="74">
        <v>45054.0</v>
      </c>
      <c r="B1331" s="75" t="s">
        <v>3481</v>
      </c>
    </row>
    <row r="1332">
      <c r="A1332" s="74">
        <v>45055.0</v>
      </c>
      <c r="B1332" s="75" t="s">
        <v>3482</v>
      </c>
    </row>
    <row r="1333">
      <c r="A1333" s="74">
        <v>45056.0</v>
      </c>
      <c r="B1333" s="75" t="s">
        <v>3483</v>
      </c>
    </row>
    <row r="1334">
      <c r="A1334" s="74">
        <v>45057.0</v>
      </c>
      <c r="B1334" s="75" t="s">
        <v>3484</v>
      </c>
    </row>
    <row r="1335">
      <c r="A1335" s="74">
        <v>45058.0</v>
      </c>
      <c r="B1335" s="75" t="s">
        <v>3485</v>
      </c>
    </row>
    <row r="1336">
      <c r="A1336" s="74">
        <v>45061.0</v>
      </c>
      <c r="B1336" s="75" t="s">
        <v>3486</v>
      </c>
    </row>
    <row r="1337">
      <c r="A1337" s="74">
        <v>45062.0</v>
      </c>
      <c r="B1337" s="75" t="s">
        <v>3487</v>
      </c>
    </row>
    <row r="1338">
      <c r="A1338" s="74">
        <v>45063.0</v>
      </c>
      <c r="B1338" s="75" t="s">
        <v>3488</v>
      </c>
    </row>
    <row r="1339">
      <c r="A1339" s="74">
        <v>45064.0</v>
      </c>
      <c r="B1339" s="75" t="s">
        <v>3489</v>
      </c>
    </row>
    <row r="1340">
      <c r="A1340" s="74">
        <v>45065.0</v>
      </c>
      <c r="B1340" s="75" t="s">
        <v>3490</v>
      </c>
    </row>
    <row r="1341">
      <c r="A1341" s="74">
        <v>45068.0</v>
      </c>
      <c r="B1341" s="75" t="s">
        <v>3491</v>
      </c>
    </row>
    <row r="1342">
      <c r="A1342" s="74">
        <v>45069.0</v>
      </c>
      <c r="B1342" s="75" t="s">
        <v>3492</v>
      </c>
    </row>
    <row r="1343">
      <c r="A1343" s="74">
        <v>45070.0</v>
      </c>
      <c r="B1343" s="75" t="s">
        <v>3493</v>
      </c>
    </row>
    <row r="1344">
      <c r="A1344" s="74">
        <v>45075.0</v>
      </c>
      <c r="B1344" s="75" t="s">
        <v>3494</v>
      </c>
    </row>
    <row r="1345">
      <c r="A1345" s="74">
        <v>45076.0</v>
      </c>
      <c r="B1345" s="75" t="s">
        <v>3495</v>
      </c>
    </row>
    <row r="1346">
      <c r="A1346" s="74">
        <v>45077.0</v>
      </c>
      <c r="B1346" s="75" t="s">
        <v>3496</v>
      </c>
    </row>
    <row r="1347">
      <c r="A1347" s="74">
        <v>45078.0</v>
      </c>
      <c r="B1347" s="75" t="s">
        <v>3497</v>
      </c>
    </row>
    <row r="1348">
      <c r="A1348" s="74">
        <v>45079.0</v>
      </c>
      <c r="B1348" s="75" t="s">
        <v>3498</v>
      </c>
    </row>
    <row r="1349">
      <c r="A1349" s="74">
        <v>45082.0</v>
      </c>
      <c r="B1349" s="75" t="s">
        <v>3499</v>
      </c>
    </row>
    <row r="1350">
      <c r="A1350" s="74">
        <v>45083.0</v>
      </c>
      <c r="B1350" s="75" t="s">
        <v>3500</v>
      </c>
    </row>
    <row r="1351">
      <c r="A1351" s="74">
        <v>45084.0</v>
      </c>
      <c r="B1351" s="75" t="s">
        <v>3501</v>
      </c>
    </row>
    <row r="1352">
      <c r="A1352" s="74">
        <v>45085.0</v>
      </c>
      <c r="B1352" s="75" t="s">
        <v>3502</v>
      </c>
    </row>
    <row r="1353">
      <c r="A1353" s="74">
        <v>45086.0</v>
      </c>
      <c r="B1353" s="75" t="s">
        <v>3489</v>
      </c>
    </row>
    <row r="1354">
      <c r="A1354" s="74">
        <v>45089.0</v>
      </c>
      <c r="B1354" s="75" t="s">
        <v>3503</v>
      </c>
    </row>
    <row r="1355">
      <c r="A1355" s="74">
        <v>45090.0</v>
      </c>
      <c r="B1355" s="75" t="s">
        <v>3504</v>
      </c>
    </row>
    <row r="1356">
      <c r="A1356" s="74">
        <v>45091.0</v>
      </c>
      <c r="B1356" s="75" t="s">
        <v>3505</v>
      </c>
    </row>
    <row r="1357">
      <c r="A1357" s="74">
        <v>45092.0</v>
      </c>
      <c r="B1357" s="75" t="s">
        <v>3506</v>
      </c>
    </row>
    <row r="1358">
      <c r="A1358" s="74">
        <v>45093.0</v>
      </c>
      <c r="B1358" s="75" t="s">
        <v>3507</v>
      </c>
    </row>
    <row r="1359">
      <c r="A1359" s="74">
        <v>45098.0</v>
      </c>
      <c r="B1359" s="75" t="s">
        <v>3508</v>
      </c>
    </row>
    <row r="1360">
      <c r="A1360" s="74">
        <v>45099.0</v>
      </c>
      <c r="B1360" s="75" t="s">
        <v>3509</v>
      </c>
    </row>
    <row r="1361">
      <c r="A1361" s="74">
        <v>45100.0</v>
      </c>
      <c r="B1361" s="75" t="s">
        <v>3510</v>
      </c>
    </row>
    <row r="1362">
      <c r="A1362" s="74">
        <v>45103.0</v>
      </c>
      <c r="B1362" s="75" t="s">
        <v>3511</v>
      </c>
    </row>
    <row r="1363">
      <c r="A1363" s="74">
        <v>45104.0</v>
      </c>
      <c r="B1363" s="75" t="s">
        <v>3512</v>
      </c>
    </row>
    <row r="1364">
      <c r="A1364" s="74">
        <v>45105.0</v>
      </c>
      <c r="B1364" s="75" t="s">
        <v>3513</v>
      </c>
    </row>
    <row r="1365">
      <c r="A1365" s="74">
        <v>45106.0</v>
      </c>
      <c r="B1365" s="75" t="s">
        <v>3514</v>
      </c>
    </row>
    <row r="1366">
      <c r="A1366" s="74">
        <v>45107.0</v>
      </c>
      <c r="B1366" s="75" t="s">
        <v>3515</v>
      </c>
    </row>
    <row r="1367">
      <c r="A1367" s="74">
        <v>45110.0</v>
      </c>
      <c r="B1367" s="75" t="s">
        <v>3516</v>
      </c>
    </row>
    <row r="1368">
      <c r="A1368" s="74">
        <v>45111.0</v>
      </c>
      <c r="B1368" s="75" t="s">
        <v>3517</v>
      </c>
    </row>
    <row r="1369">
      <c r="A1369" s="74">
        <v>45112.0</v>
      </c>
      <c r="B1369" s="75" t="s">
        <v>3518</v>
      </c>
    </row>
    <row r="1370">
      <c r="A1370" s="74">
        <v>45113.0</v>
      </c>
      <c r="B1370" s="75" t="s">
        <v>3519</v>
      </c>
    </row>
    <row r="1371">
      <c r="A1371" s="74">
        <v>45114.0</v>
      </c>
      <c r="B1371" s="75" t="s">
        <v>3520</v>
      </c>
    </row>
    <row r="1372">
      <c r="A1372" s="74">
        <v>45117.0</v>
      </c>
      <c r="B1372" s="75" t="s">
        <v>3521</v>
      </c>
    </row>
    <row r="1373">
      <c r="A1373" s="74">
        <v>45118.0</v>
      </c>
      <c r="B1373" s="75" t="s">
        <v>3522</v>
      </c>
    </row>
    <row r="1374">
      <c r="A1374" s="74">
        <v>45119.0</v>
      </c>
      <c r="B1374" s="75" t="s">
        <v>3523</v>
      </c>
    </row>
    <row r="1375">
      <c r="A1375" s="74">
        <v>45120.0</v>
      </c>
      <c r="B1375" s="75" t="s">
        <v>3524</v>
      </c>
    </row>
    <row r="1376">
      <c r="A1376" s="74">
        <v>45121.0</v>
      </c>
      <c r="B1376" s="75" t="s">
        <v>3525</v>
      </c>
    </row>
    <row r="1377">
      <c r="A1377" s="74">
        <v>45124.0</v>
      </c>
      <c r="B1377" s="75" t="s">
        <v>3526</v>
      </c>
    </row>
    <row r="1378">
      <c r="A1378" s="74">
        <v>45125.0</v>
      </c>
      <c r="B1378" s="75" t="s">
        <v>3527</v>
      </c>
    </row>
    <row r="1379">
      <c r="A1379" s="74">
        <v>45126.0</v>
      </c>
      <c r="B1379" s="75" t="s">
        <v>3528</v>
      </c>
    </row>
    <row r="1380">
      <c r="A1380" s="74">
        <v>45127.0</v>
      </c>
      <c r="B1380" s="75" t="s">
        <v>3529</v>
      </c>
    </row>
    <row r="1381">
      <c r="A1381" s="74">
        <v>45128.0</v>
      </c>
      <c r="B1381" s="75" t="s">
        <v>2383</v>
      </c>
    </row>
    <row r="1382">
      <c r="A1382" s="74">
        <v>45131.0</v>
      </c>
      <c r="B1382" s="75" t="s">
        <v>3530</v>
      </c>
    </row>
    <row r="1383">
      <c r="A1383" s="74">
        <v>45132.0</v>
      </c>
      <c r="B1383" s="75" t="s">
        <v>3531</v>
      </c>
    </row>
    <row r="1384">
      <c r="A1384" s="74">
        <v>45133.0</v>
      </c>
      <c r="B1384" s="75" t="s">
        <v>3532</v>
      </c>
    </row>
    <row r="1385">
      <c r="A1385" s="74">
        <v>45134.0</v>
      </c>
      <c r="B1385" s="75" t="s">
        <v>3533</v>
      </c>
    </row>
    <row r="1386">
      <c r="A1386" s="74">
        <v>45135.0</v>
      </c>
      <c r="B1386" s="75" t="s">
        <v>3534</v>
      </c>
    </row>
    <row r="1387">
      <c r="A1387" s="74">
        <v>45138.0</v>
      </c>
      <c r="B1387" s="75" t="s">
        <v>3535</v>
      </c>
    </row>
    <row r="1388">
      <c r="A1388" s="74">
        <v>45139.0</v>
      </c>
      <c r="B1388" s="75" t="s">
        <v>3536</v>
      </c>
    </row>
    <row r="1389">
      <c r="A1389" s="74">
        <v>45140.0</v>
      </c>
      <c r="B1389" s="75" t="s">
        <v>3537</v>
      </c>
    </row>
    <row r="1390">
      <c r="A1390" s="74">
        <v>45141.0</v>
      </c>
      <c r="B1390" s="75" t="s">
        <v>2406</v>
      </c>
    </row>
    <row r="1391">
      <c r="A1391" s="74">
        <v>45142.0</v>
      </c>
      <c r="B1391" s="75" t="s">
        <v>3538</v>
      </c>
    </row>
    <row r="1392">
      <c r="A1392" s="74">
        <v>45145.0</v>
      </c>
      <c r="B1392" s="75" t="s">
        <v>3539</v>
      </c>
    </row>
    <row r="1393">
      <c r="A1393" s="74">
        <v>45146.0</v>
      </c>
      <c r="B1393" s="75" t="s">
        <v>3540</v>
      </c>
    </row>
    <row r="1394">
      <c r="A1394" s="74">
        <v>45147.0</v>
      </c>
      <c r="B1394" s="75" t="s">
        <v>3541</v>
      </c>
    </row>
    <row r="1395">
      <c r="A1395" s="74">
        <v>45148.0</v>
      </c>
      <c r="B1395" s="75" t="s">
        <v>3542</v>
      </c>
    </row>
    <row r="1396">
      <c r="A1396" s="74">
        <v>45149.0</v>
      </c>
      <c r="B1396" s="75" t="s">
        <v>3543</v>
      </c>
    </row>
    <row r="1397">
      <c r="A1397" s="74">
        <v>45152.0</v>
      </c>
      <c r="B1397" s="75" t="s">
        <v>3544</v>
      </c>
    </row>
    <row r="1398">
      <c r="A1398" s="74">
        <v>45153.0</v>
      </c>
      <c r="B1398" s="75" t="s">
        <v>3545</v>
      </c>
    </row>
    <row r="1399">
      <c r="A1399" s="74">
        <v>45154.0</v>
      </c>
      <c r="B1399" s="75" t="s">
        <v>3546</v>
      </c>
    </row>
    <row r="1400">
      <c r="A1400" s="74">
        <v>45155.0</v>
      </c>
      <c r="B1400" s="75" t="s">
        <v>3547</v>
      </c>
    </row>
    <row r="1401">
      <c r="A1401" s="74">
        <v>45156.0</v>
      </c>
      <c r="B1401" s="75" t="s">
        <v>3548</v>
      </c>
    </row>
    <row r="1402">
      <c r="A1402" s="74">
        <v>45160.0</v>
      </c>
      <c r="B1402" s="75" t="s">
        <v>3549</v>
      </c>
    </row>
    <row r="1403">
      <c r="A1403" s="74">
        <v>45161.0</v>
      </c>
      <c r="B1403" s="75" t="s">
        <v>3550</v>
      </c>
    </row>
    <row r="1404">
      <c r="A1404" s="74">
        <v>45162.0</v>
      </c>
      <c r="B1404" s="75" t="s">
        <v>3551</v>
      </c>
    </row>
    <row r="1405">
      <c r="A1405" s="74">
        <v>45163.0</v>
      </c>
      <c r="B1405" s="75" t="s">
        <v>3552</v>
      </c>
    </row>
    <row r="1406">
      <c r="A1406" s="74">
        <v>45166.0</v>
      </c>
      <c r="B1406" s="75" t="s">
        <v>3553</v>
      </c>
    </row>
    <row r="1407">
      <c r="A1407" s="74">
        <v>45167.0</v>
      </c>
      <c r="B1407" s="75" t="s">
        <v>3554</v>
      </c>
    </row>
    <row r="1408">
      <c r="A1408" s="74">
        <v>45168.0</v>
      </c>
      <c r="B1408" s="75" t="s">
        <v>3555</v>
      </c>
    </row>
    <row r="1409">
      <c r="A1409" s="74">
        <v>45169.0</v>
      </c>
      <c r="B1409" s="75" t="s">
        <v>3556</v>
      </c>
    </row>
    <row r="1410">
      <c r="A1410" s="74">
        <v>45170.0</v>
      </c>
      <c r="B1410" s="75" t="s">
        <v>3557</v>
      </c>
    </row>
    <row r="1411">
      <c r="A1411" s="74">
        <v>45173.0</v>
      </c>
      <c r="B1411" s="75" t="s">
        <v>3558</v>
      </c>
    </row>
    <row r="1412">
      <c r="A1412" s="74">
        <v>45174.0</v>
      </c>
      <c r="B1412" s="75" t="s">
        <v>3559</v>
      </c>
    </row>
    <row r="1413">
      <c r="A1413" s="74">
        <v>45175.0</v>
      </c>
      <c r="B1413" s="75" t="s">
        <v>3560</v>
      </c>
    </row>
    <row r="1414">
      <c r="A1414" s="74">
        <v>45176.0</v>
      </c>
      <c r="B1414" s="75" t="s">
        <v>3561</v>
      </c>
    </row>
    <row r="1415">
      <c r="A1415" s="74">
        <v>45177.0</v>
      </c>
      <c r="B1415" s="75" t="s">
        <v>3562</v>
      </c>
    </row>
    <row r="1416">
      <c r="A1416" s="74">
        <v>45180.0</v>
      </c>
      <c r="B1416" s="75" t="s">
        <v>3563</v>
      </c>
    </row>
    <row r="1417">
      <c r="A1417" s="74">
        <v>45181.0</v>
      </c>
      <c r="B1417" s="75" t="s">
        <v>3564</v>
      </c>
    </row>
    <row r="1418">
      <c r="A1418" s="74">
        <v>45182.0</v>
      </c>
      <c r="B1418" s="75" t="s">
        <v>3565</v>
      </c>
    </row>
    <row r="1419">
      <c r="A1419" s="74">
        <v>45183.0</v>
      </c>
      <c r="B1419" s="75" t="s">
        <v>3566</v>
      </c>
    </row>
    <row r="1420">
      <c r="A1420" s="74">
        <v>45184.0</v>
      </c>
      <c r="B1420" s="75" t="s">
        <v>3567</v>
      </c>
    </row>
    <row r="1421">
      <c r="A1421" s="74">
        <v>45187.0</v>
      </c>
      <c r="B1421" s="75" t="s">
        <v>3568</v>
      </c>
    </row>
    <row r="1422">
      <c r="A1422" s="74">
        <v>45188.0</v>
      </c>
      <c r="B1422" s="75" t="s">
        <v>3569</v>
      </c>
    </row>
    <row r="1423">
      <c r="A1423" s="74">
        <v>45189.0</v>
      </c>
      <c r="B1423" s="75" t="s">
        <v>3570</v>
      </c>
    </row>
    <row r="1424">
      <c r="A1424" s="74">
        <v>45190.0</v>
      </c>
      <c r="B1424" s="75" t="s">
        <v>3571</v>
      </c>
    </row>
    <row r="1425">
      <c r="A1425" s="74">
        <v>45191.0</v>
      </c>
      <c r="B1425" s="75" t="s">
        <v>3572</v>
      </c>
    </row>
    <row r="1426">
      <c r="A1426" s="74">
        <v>45194.0</v>
      </c>
      <c r="B1426" s="75" t="s">
        <v>3573</v>
      </c>
    </row>
    <row r="1427">
      <c r="A1427" s="74">
        <v>45195.0</v>
      </c>
      <c r="B1427" s="75" t="s">
        <v>3574</v>
      </c>
    </row>
    <row r="1428">
      <c r="A1428" s="74">
        <v>45196.0</v>
      </c>
      <c r="B1428" s="75" t="s">
        <v>3575</v>
      </c>
    </row>
    <row r="1429">
      <c r="A1429" s="74">
        <v>45197.0</v>
      </c>
      <c r="B1429" s="75" t="s">
        <v>3576</v>
      </c>
    </row>
    <row r="1430">
      <c r="A1430" s="74">
        <v>45198.0</v>
      </c>
      <c r="B1430" s="75" t="s">
        <v>3577</v>
      </c>
    </row>
    <row r="1431">
      <c r="A1431" s="74">
        <v>45201.0</v>
      </c>
      <c r="B1431" s="75" t="s">
        <v>3578</v>
      </c>
    </row>
    <row r="1432">
      <c r="A1432" s="74">
        <v>45202.0</v>
      </c>
      <c r="B1432" s="75" t="s">
        <v>3579</v>
      </c>
    </row>
    <row r="1433">
      <c r="A1433" s="74">
        <v>45203.0</v>
      </c>
      <c r="B1433" s="75" t="s">
        <v>3580</v>
      </c>
    </row>
    <row r="1434">
      <c r="A1434" s="74">
        <v>45204.0</v>
      </c>
      <c r="B1434" s="75" t="s">
        <v>3581</v>
      </c>
    </row>
    <row r="1435">
      <c r="A1435" s="74">
        <v>45205.0</v>
      </c>
      <c r="B1435" s="75" t="s">
        <v>3582</v>
      </c>
    </row>
    <row r="1436">
      <c r="A1436" s="74">
        <v>45208.0</v>
      </c>
      <c r="B1436" s="75" t="s">
        <v>3583</v>
      </c>
    </row>
    <row r="1437">
      <c r="A1437" s="74">
        <v>45209.0</v>
      </c>
      <c r="B1437" s="75" t="s">
        <v>3584</v>
      </c>
    </row>
    <row r="1438">
      <c r="A1438" s="74">
        <v>45210.0</v>
      </c>
      <c r="B1438" s="75" t="s">
        <v>3585</v>
      </c>
    </row>
    <row r="1439">
      <c r="A1439" s="74">
        <v>45211.0</v>
      </c>
      <c r="B1439" s="75" t="s">
        <v>3586</v>
      </c>
    </row>
    <row r="1440">
      <c r="A1440" s="74">
        <v>45216.0</v>
      </c>
      <c r="B1440" s="75" t="s">
        <v>3587</v>
      </c>
    </row>
    <row r="1441">
      <c r="A1441" s="74">
        <v>45217.0</v>
      </c>
      <c r="B1441" s="75" t="s">
        <v>3588</v>
      </c>
    </row>
    <row r="1442">
      <c r="A1442" s="74">
        <v>45218.0</v>
      </c>
      <c r="B1442" s="75" t="s">
        <v>3589</v>
      </c>
    </row>
    <row r="1443">
      <c r="A1443" s="74">
        <v>45219.0</v>
      </c>
      <c r="B1443" s="75" t="s">
        <v>3590</v>
      </c>
    </row>
    <row r="1444">
      <c r="A1444" s="74">
        <v>45222.0</v>
      </c>
      <c r="B1444" s="75" t="s">
        <v>3591</v>
      </c>
    </row>
    <row r="1445">
      <c r="A1445" s="74">
        <v>45223.0</v>
      </c>
      <c r="B1445" s="75" t="s">
        <v>3592</v>
      </c>
    </row>
    <row r="1446">
      <c r="A1446" s="74">
        <v>45224.0</v>
      </c>
      <c r="B1446" s="75" t="s">
        <v>3593</v>
      </c>
    </row>
    <row r="1447">
      <c r="A1447" s="74">
        <v>45225.0</v>
      </c>
      <c r="B1447" s="75" t="s">
        <v>3594</v>
      </c>
    </row>
    <row r="1448">
      <c r="A1448" s="74">
        <v>45226.0</v>
      </c>
      <c r="B1448" s="75" t="s">
        <v>3595</v>
      </c>
    </row>
    <row r="1449">
      <c r="A1449" s="74">
        <v>45229.0</v>
      </c>
      <c r="B1449" s="75" t="s">
        <v>3596</v>
      </c>
    </row>
    <row r="1450">
      <c r="A1450" s="74">
        <v>45230.0</v>
      </c>
      <c r="B1450" s="75" t="s">
        <v>3597</v>
      </c>
    </row>
    <row r="1451">
      <c r="A1451" s="74">
        <v>45231.0</v>
      </c>
      <c r="B1451" s="75" t="s">
        <v>3598</v>
      </c>
    </row>
    <row r="1452">
      <c r="A1452" s="74">
        <v>45232.0</v>
      </c>
      <c r="B1452" s="75" t="s">
        <v>3599</v>
      </c>
    </row>
    <row r="1453">
      <c r="A1453" s="74">
        <v>45233.0</v>
      </c>
      <c r="B1453" s="75" t="s">
        <v>3600</v>
      </c>
    </row>
    <row r="1454">
      <c r="A1454" s="74">
        <v>45237.0</v>
      </c>
      <c r="B1454" s="75" t="s">
        <v>3601</v>
      </c>
    </row>
    <row r="1455">
      <c r="A1455" s="74">
        <v>45238.0</v>
      </c>
      <c r="B1455" s="75" t="s">
        <v>3602</v>
      </c>
    </row>
    <row r="1456">
      <c r="A1456" s="74">
        <v>45239.0</v>
      </c>
      <c r="B1456" s="75" t="s">
        <v>3603</v>
      </c>
    </row>
    <row r="1457">
      <c r="A1457" s="74">
        <v>45240.0</v>
      </c>
      <c r="B1457" s="75" t="s">
        <v>3604</v>
      </c>
    </row>
    <row r="1458">
      <c r="A1458" s="74">
        <v>45243.0</v>
      </c>
      <c r="B1458" s="75" t="s">
        <v>3605</v>
      </c>
    </row>
    <row r="1459">
      <c r="A1459" s="74">
        <v>45244.0</v>
      </c>
      <c r="B1459" s="75" t="s">
        <v>3606</v>
      </c>
    </row>
    <row r="1460">
      <c r="A1460" s="74">
        <v>45245.0</v>
      </c>
      <c r="B1460" s="75" t="s">
        <v>3607</v>
      </c>
    </row>
    <row r="1461">
      <c r="A1461" s="74">
        <v>45246.0</v>
      </c>
      <c r="B1461" s="75" t="s">
        <v>3608</v>
      </c>
    </row>
    <row r="1462">
      <c r="A1462" s="74">
        <v>45247.0</v>
      </c>
      <c r="B1462" s="75" t="s">
        <v>3609</v>
      </c>
    </row>
    <row r="1463">
      <c r="A1463" s="74">
        <v>45251.0</v>
      </c>
      <c r="B1463" s="75" t="s">
        <v>3610</v>
      </c>
    </row>
    <row r="1464">
      <c r="A1464" s="66">
        <v>43367.0</v>
      </c>
      <c r="B1464" s="75" t="s">
        <v>1259</v>
      </c>
    </row>
    <row r="1465">
      <c r="A1465" s="66">
        <v>43364.0</v>
      </c>
      <c r="B1465" s="75" t="s">
        <v>1258</v>
      </c>
    </row>
    <row r="1466">
      <c r="A1466" s="66">
        <v>43363.0</v>
      </c>
      <c r="B1466" s="75" t="s">
        <v>1246</v>
      </c>
    </row>
    <row r="1467">
      <c r="A1467" s="66">
        <v>43362.0</v>
      </c>
      <c r="B1467" s="75" t="s">
        <v>1257</v>
      </c>
    </row>
    <row r="1468">
      <c r="A1468" s="66">
        <v>43361.0</v>
      </c>
      <c r="B1468" s="75" t="s">
        <v>1256</v>
      </c>
    </row>
    <row r="1469">
      <c r="A1469" s="66">
        <v>43360.0</v>
      </c>
      <c r="B1469" s="75" t="s">
        <v>1255</v>
      </c>
    </row>
    <row r="1470">
      <c r="A1470" s="66">
        <v>43357.0</v>
      </c>
      <c r="B1470" s="75" t="s">
        <v>1254</v>
      </c>
    </row>
    <row r="1471">
      <c r="A1471" s="66">
        <v>43356.0</v>
      </c>
      <c r="B1471" s="75" t="s">
        <v>1253</v>
      </c>
    </row>
    <row r="1472">
      <c r="A1472" s="66">
        <v>43355.0</v>
      </c>
      <c r="B1472" s="75" t="s">
        <v>1252</v>
      </c>
    </row>
    <row r="1473">
      <c r="A1473" s="66">
        <v>43354.0</v>
      </c>
      <c r="B1473" s="75" t="s">
        <v>1251</v>
      </c>
    </row>
    <row r="1474">
      <c r="A1474" s="66">
        <v>43353.0</v>
      </c>
      <c r="B1474" s="75" t="s">
        <v>1250</v>
      </c>
    </row>
    <row r="1475">
      <c r="A1475" s="66">
        <v>43350.0</v>
      </c>
      <c r="B1475" s="75" t="s">
        <v>1249</v>
      </c>
    </row>
    <row r="1476">
      <c r="A1476" s="66">
        <v>43349.0</v>
      </c>
      <c r="B1476" s="75" t="s">
        <v>1249</v>
      </c>
    </row>
    <row r="1477">
      <c r="A1477" s="66">
        <v>43348.0</v>
      </c>
      <c r="B1477" s="75" t="s">
        <v>1248</v>
      </c>
    </row>
    <row r="1478">
      <c r="A1478" s="66">
        <v>43347.0</v>
      </c>
      <c r="B1478" s="75" t="s">
        <v>1247</v>
      </c>
    </row>
    <row r="1479">
      <c r="A1479" s="66">
        <v>43343.0</v>
      </c>
      <c r="B1479" s="75" t="s">
        <v>1246</v>
      </c>
    </row>
    <row r="1480">
      <c r="A1480" s="66">
        <v>43342.0</v>
      </c>
      <c r="B1480" s="75" t="s">
        <v>1245</v>
      </c>
    </row>
    <row r="1481">
      <c r="A1481" s="66">
        <v>43341.0</v>
      </c>
      <c r="B1481" s="75" t="s">
        <v>1244</v>
      </c>
    </row>
    <row r="1482">
      <c r="A1482" s="66">
        <v>43340.0</v>
      </c>
      <c r="B1482" s="75" t="s">
        <v>1243</v>
      </c>
    </row>
    <row r="1483">
      <c r="A1483" s="66">
        <v>43339.0</v>
      </c>
      <c r="B1483" s="75" t="s">
        <v>1242</v>
      </c>
    </row>
    <row r="1484">
      <c r="A1484" s="66">
        <v>43336.0</v>
      </c>
      <c r="B1484" s="75" t="s">
        <v>1241</v>
      </c>
    </row>
    <row r="1485">
      <c r="A1485" s="66">
        <v>43335.0</v>
      </c>
      <c r="B1485" s="75" t="s">
        <v>1240</v>
      </c>
    </row>
    <row r="1486">
      <c r="A1486" s="66">
        <v>43334.0</v>
      </c>
      <c r="B1486" s="75" t="s">
        <v>1239</v>
      </c>
    </row>
    <row r="1487">
      <c r="A1487" s="66">
        <v>43333.0</v>
      </c>
      <c r="B1487" s="75" t="s">
        <v>1238</v>
      </c>
    </row>
    <row r="1488">
      <c r="A1488" s="66">
        <v>43329.0</v>
      </c>
      <c r="B1488" s="75" t="s">
        <v>1237</v>
      </c>
    </row>
    <row r="1489">
      <c r="A1489" s="66">
        <v>43328.0</v>
      </c>
      <c r="B1489" s="75" t="s">
        <v>1236</v>
      </c>
    </row>
    <row r="1490">
      <c r="A1490" s="66">
        <v>43327.0</v>
      </c>
      <c r="B1490" s="75" t="s">
        <v>1235</v>
      </c>
    </row>
    <row r="1491">
      <c r="A1491" s="66">
        <v>43326.0</v>
      </c>
      <c r="B1491" s="75" t="s">
        <v>1234</v>
      </c>
    </row>
    <row r="1492">
      <c r="A1492" s="66">
        <v>43325.0</v>
      </c>
      <c r="B1492" s="75" t="s">
        <v>1233</v>
      </c>
    </row>
    <row r="1493">
      <c r="A1493" s="66">
        <v>43322.0</v>
      </c>
      <c r="B1493" s="75" t="s">
        <v>1232</v>
      </c>
    </row>
    <row r="1494">
      <c r="A1494" s="66">
        <v>43321.0</v>
      </c>
      <c r="B1494" s="75" t="s">
        <v>1231</v>
      </c>
    </row>
    <row r="1495">
      <c r="A1495" s="66">
        <v>43320.0</v>
      </c>
      <c r="B1495" s="75" t="s">
        <v>1216</v>
      </c>
    </row>
    <row r="1496">
      <c r="A1496" s="66">
        <v>43319.0</v>
      </c>
      <c r="B1496" s="75" t="s">
        <v>1217</v>
      </c>
    </row>
    <row r="1497">
      <c r="A1497" s="66">
        <v>43318.0</v>
      </c>
      <c r="B1497" s="75" t="s">
        <v>1230</v>
      </c>
    </row>
    <row r="1498">
      <c r="A1498" s="66">
        <v>43315.0</v>
      </c>
      <c r="B1498" s="75" t="s">
        <v>1215</v>
      </c>
    </row>
    <row r="1499">
      <c r="A1499" s="66">
        <v>43314.0</v>
      </c>
      <c r="B1499" s="75" t="s">
        <v>1229</v>
      </c>
    </row>
    <row r="1500">
      <c r="A1500" s="66">
        <v>43313.0</v>
      </c>
      <c r="B1500" s="75" t="s">
        <v>1228</v>
      </c>
    </row>
    <row r="1501">
      <c r="A1501" s="66">
        <v>43312.0</v>
      </c>
      <c r="B1501" s="75" t="s">
        <v>1227</v>
      </c>
    </row>
    <row r="1502">
      <c r="A1502" s="66">
        <v>43311.0</v>
      </c>
      <c r="B1502" s="75" t="s">
        <v>1226</v>
      </c>
    </row>
    <row r="1503">
      <c r="A1503" s="66">
        <v>43308.0</v>
      </c>
      <c r="B1503" s="75" t="s">
        <v>1225</v>
      </c>
    </row>
    <row r="1504">
      <c r="A1504" s="66">
        <v>43307.0</v>
      </c>
      <c r="B1504" s="75" t="s">
        <v>1224</v>
      </c>
    </row>
    <row r="1505">
      <c r="A1505" s="66">
        <v>43306.0</v>
      </c>
      <c r="B1505" s="75" t="s">
        <v>1223</v>
      </c>
    </row>
    <row r="1506">
      <c r="A1506" s="66">
        <v>43305.0</v>
      </c>
      <c r="B1506" s="75" t="s">
        <v>1222</v>
      </c>
    </row>
    <row r="1507">
      <c r="A1507" s="66">
        <v>43304.0</v>
      </c>
      <c r="B1507" s="75" t="s">
        <v>1221</v>
      </c>
    </row>
    <row r="1508">
      <c r="A1508" s="66">
        <v>43301.0</v>
      </c>
      <c r="B1508" s="75" t="s">
        <v>1220</v>
      </c>
    </row>
    <row r="1509">
      <c r="A1509" s="66">
        <v>43300.0</v>
      </c>
      <c r="B1509" s="75" t="s">
        <v>1219</v>
      </c>
    </row>
    <row r="1510">
      <c r="A1510" s="66">
        <v>43299.0</v>
      </c>
      <c r="B1510" s="75" t="s">
        <v>1218</v>
      </c>
    </row>
    <row r="1511">
      <c r="A1511" s="66">
        <v>43298.0</v>
      </c>
      <c r="B1511" s="75" t="s">
        <v>1217</v>
      </c>
    </row>
    <row r="1512">
      <c r="A1512" s="66">
        <v>43297.0</v>
      </c>
      <c r="B1512" s="75" t="s">
        <v>1216</v>
      </c>
    </row>
    <row r="1513">
      <c r="A1513" s="66">
        <v>43294.0</v>
      </c>
      <c r="B1513" s="75" t="s">
        <v>1216</v>
      </c>
    </row>
    <row r="1514">
      <c r="A1514" s="66">
        <v>43293.0</v>
      </c>
      <c r="B1514" s="75" t="s">
        <v>1215</v>
      </c>
    </row>
    <row r="1515">
      <c r="A1515" s="66">
        <v>43292.0</v>
      </c>
      <c r="B1515" s="75" t="s">
        <v>1209</v>
      </c>
    </row>
    <row r="1516">
      <c r="A1516" s="66">
        <v>43291.0</v>
      </c>
      <c r="B1516" s="75" t="s">
        <v>1214</v>
      </c>
    </row>
    <row r="1517">
      <c r="A1517" s="66">
        <v>43287.0</v>
      </c>
      <c r="B1517" s="75" t="s">
        <v>1213</v>
      </c>
    </row>
    <row r="1518">
      <c r="A1518" s="66">
        <v>43286.0</v>
      </c>
      <c r="B1518" s="75" t="s">
        <v>1212</v>
      </c>
    </row>
    <row r="1519">
      <c r="A1519" s="66">
        <v>43284.0</v>
      </c>
      <c r="B1519" s="75" t="s">
        <v>1211</v>
      </c>
    </row>
    <row r="1520">
      <c r="A1520" s="66">
        <v>43283.0</v>
      </c>
      <c r="B1520" s="75" t="s">
        <v>1210</v>
      </c>
    </row>
    <row r="1521">
      <c r="A1521" s="66">
        <v>43280.0</v>
      </c>
      <c r="B1521" s="75" t="s">
        <v>1205</v>
      </c>
    </row>
    <row r="1522">
      <c r="A1522" s="66">
        <v>43279.0</v>
      </c>
      <c r="B1522" s="75" t="s">
        <v>1209</v>
      </c>
    </row>
    <row r="1523">
      <c r="A1523" s="66">
        <v>43278.0</v>
      </c>
      <c r="B1523" s="75" t="s">
        <v>1209</v>
      </c>
    </row>
    <row r="1524">
      <c r="A1524" s="66">
        <v>43277.0</v>
      </c>
      <c r="B1524" s="75" t="s">
        <v>1208</v>
      </c>
    </row>
    <row r="1525">
      <c r="A1525" s="66">
        <v>43276.0</v>
      </c>
      <c r="B1525" s="75" t="s">
        <v>1207</v>
      </c>
    </row>
    <row r="1526">
      <c r="A1526" s="66">
        <v>43273.0</v>
      </c>
      <c r="B1526" s="75" t="s">
        <v>1206</v>
      </c>
    </row>
    <row r="1527">
      <c r="A1527" s="66">
        <v>43272.0</v>
      </c>
      <c r="B1527" s="75" t="s">
        <v>1205</v>
      </c>
    </row>
    <row r="1528">
      <c r="A1528" s="66">
        <v>43270.0</v>
      </c>
      <c r="B1528" s="75" t="s">
        <v>1204</v>
      </c>
    </row>
    <row r="1529">
      <c r="A1529" s="66">
        <v>43269.0</v>
      </c>
      <c r="B1529" s="75" t="s">
        <v>1203</v>
      </c>
    </row>
    <row r="1530">
      <c r="A1530" s="66">
        <v>43266.0</v>
      </c>
      <c r="B1530" s="75" t="s">
        <v>1202</v>
      </c>
    </row>
    <row r="1531">
      <c r="A1531" s="66">
        <v>43265.0</v>
      </c>
      <c r="B1531" s="75" t="s">
        <v>1201</v>
      </c>
    </row>
    <row r="1532">
      <c r="A1532" s="66">
        <v>43264.0</v>
      </c>
      <c r="B1532" s="75" t="s">
        <v>1200</v>
      </c>
    </row>
    <row r="1533">
      <c r="A1533" s="66">
        <v>43263.0</v>
      </c>
      <c r="B1533" s="75" t="s">
        <v>1199</v>
      </c>
    </row>
    <row r="1534">
      <c r="A1534" s="66">
        <v>43262.0</v>
      </c>
      <c r="B1534" s="75" t="s">
        <v>1198</v>
      </c>
    </row>
    <row r="1535">
      <c r="A1535" s="66">
        <v>43259.0</v>
      </c>
      <c r="B1535" s="75" t="s">
        <v>1197</v>
      </c>
    </row>
    <row r="1536">
      <c r="A1536" s="66">
        <v>43258.0</v>
      </c>
      <c r="B1536" s="75" t="s">
        <v>1196</v>
      </c>
    </row>
    <row r="1537">
      <c r="A1537" s="66">
        <v>43257.0</v>
      </c>
      <c r="B1537" s="75" t="s">
        <v>1195</v>
      </c>
    </row>
    <row r="1538">
      <c r="A1538" s="66">
        <v>43256.0</v>
      </c>
      <c r="B1538" s="75" t="s">
        <v>1194</v>
      </c>
    </row>
    <row r="1539">
      <c r="A1539" s="66">
        <v>43255.0</v>
      </c>
      <c r="B1539" s="75" t="s">
        <v>1193</v>
      </c>
    </row>
    <row r="1540">
      <c r="A1540" s="66">
        <v>43252.0</v>
      </c>
      <c r="B1540" s="75" t="s">
        <v>1192</v>
      </c>
    </row>
    <row r="1541">
      <c r="A1541" s="66">
        <v>43251.0</v>
      </c>
      <c r="B1541" s="75" t="s">
        <v>1191</v>
      </c>
    </row>
    <row r="1542">
      <c r="A1542" s="66">
        <v>43250.0</v>
      </c>
      <c r="B1542" s="75" t="s">
        <v>1190</v>
      </c>
    </row>
    <row r="1543">
      <c r="A1543" s="66">
        <v>43249.0</v>
      </c>
      <c r="B1543" s="75" t="s">
        <v>1189</v>
      </c>
    </row>
    <row r="1544">
      <c r="A1544" s="66">
        <v>43244.0</v>
      </c>
      <c r="B1544" s="75" t="s">
        <v>1188</v>
      </c>
    </row>
    <row r="1545">
      <c r="A1545" s="66">
        <v>43243.0</v>
      </c>
      <c r="B1545" s="75" t="s">
        <v>1187</v>
      </c>
    </row>
    <row r="1546">
      <c r="A1546" s="66">
        <v>43242.0</v>
      </c>
      <c r="B1546" s="75" t="s">
        <v>1186</v>
      </c>
    </row>
    <row r="1547">
      <c r="A1547" s="66">
        <v>43241.0</v>
      </c>
      <c r="B1547" s="75" t="s">
        <v>1185</v>
      </c>
    </row>
    <row r="1548">
      <c r="A1548" s="66">
        <v>43238.0</v>
      </c>
      <c r="B1548" s="75" t="s">
        <v>1185</v>
      </c>
    </row>
    <row r="1549">
      <c r="A1549" s="66">
        <v>43237.0</v>
      </c>
      <c r="B1549" s="75" t="s">
        <v>1185</v>
      </c>
    </row>
    <row r="1550">
      <c r="A1550" s="66">
        <v>43236.0</v>
      </c>
      <c r="B1550" s="75" t="s">
        <v>1184</v>
      </c>
    </row>
    <row r="1551">
      <c r="A1551" s="66">
        <v>43235.0</v>
      </c>
      <c r="B1551" s="75" t="s">
        <v>1183</v>
      </c>
    </row>
    <row r="1552">
      <c r="A1552" s="66">
        <v>43234.0</v>
      </c>
      <c r="B1552" s="75" t="s">
        <v>1182</v>
      </c>
    </row>
    <row r="1553">
      <c r="A1553" s="66">
        <v>43231.0</v>
      </c>
      <c r="B1553" s="75" t="s">
        <v>1181</v>
      </c>
    </row>
    <row r="1554">
      <c r="A1554" s="66">
        <v>43230.0</v>
      </c>
      <c r="B1554" s="75" t="s">
        <v>1180</v>
      </c>
    </row>
    <row r="1555">
      <c r="A1555" s="66">
        <v>43229.0</v>
      </c>
      <c r="B1555" s="75" t="s">
        <v>1179</v>
      </c>
    </row>
    <row r="1556">
      <c r="A1556" s="66">
        <v>43228.0</v>
      </c>
      <c r="B1556" s="75" t="s">
        <v>1179</v>
      </c>
    </row>
    <row r="1557">
      <c r="A1557" s="66">
        <v>43227.0</v>
      </c>
      <c r="B1557" s="75" t="s">
        <v>1178</v>
      </c>
    </row>
    <row r="1558">
      <c r="A1558" s="66">
        <v>43224.0</v>
      </c>
      <c r="B1558" s="75" t="s">
        <v>1177</v>
      </c>
    </row>
    <row r="1559">
      <c r="A1559" s="66">
        <v>43223.0</v>
      </c>
      <c r="B1559" s="75" t="s">
        <v>1176</v>
      </c>
    </row>
    <row r="1560">
      <c r="A1560" s="66">
        <v>43222.0</v>
      </c>
      <c r="B1560" s="75" t="s">
        <v>1175</v>
      </c>
    </row>
    <row r="1561">
      <c r="A1561" s="66">
        <v>43217.0</v>
      </c>
      <c r="B1561" s="75" t="s">
        <v>1174</v>
      </c>
    </row>
    <row r="1562">
      <c r="A1562" s="66">
        <v>43216.0</v>
      </c>
      <c r="B1562" s="75" t="s">
        <v>1162</v>
      </c>
    </row>
    <row r="1563">
      <c r="A1563" s="66">
        <v>43215.0</v>
      </c>
      <c r="B1563" s="75" t="s">
        <v>1163</v>
      </c>
    </row>
    <row r="1564">
      <c r="A1564" s="66">
        <v>43214.0</v>
      </c>
      <c r="B1564" s="75" t="s">
        <v>1173</v>
      </c>
    </row>
    <row r="1565">
      <c r="A1565" s="66">
        <v>43213.0</v>
      </c>
      <c r="B1565" s="75" t="s">
        <v>1172</v>
      </c>
    </row>
    <row r="1566">
      <c r="A1566" s="66">
        <v>43210.0</v>
      </c>
      <c r="B1566" s="75" t="s">
        <v>1163</v>
      </c>
    </row>
    <row r="1567">
      <c r="A1567" s="66">
        <v>43209.0</v>
      </c>
      <c r="B1567" s="75" t="s">
        <v>1171</v>
      </c>
    </row>
    <row r="1568">
      <c r="A1568" s="66">
        <v>43208.0</v>
      </c>
      <c r="B1568" s="75" t="s">
        <v>1167</v>
      </c>
    </row>
    <row r="1569">
      <c r="A1569" s="66">
        <v>43207.0</v>
      </c>
      <c r="B1569" s="75" t="s">
        <v>1169</v>
      </c>
    </row>
    <row r="1570">
      <c r="A1570" s="66">
        <v>43206.0</v>
      </c>
      <c r="B1570" s="75" t="s">
        <v>1170</v>
      </c>
    </row>
    <row r="1571">
      <c r="A1571" s="66">
        <v>43203.0</v>
      </c>
      <c r="B1571" s="75" t="s">
        <v>1167</v>
      </c>
    </row>
    <row r="1572">
      <c r="A1572" s="66">
        <v>43202.0</v>
      </c>
      <c r="B1572" s="75" t="s">
        <v>1167</v>
      </c>
    </row>
    <row r="1573">
      <c r="A1573" s="66">
        <v>43201.0</v>
      </c>
      <c r="B1573" s="75" t="s">
        <v>1168</v>
      </c>
    </row>
    <row r="1574">
      <c r="A1574" s="66">
        <v>43200.0</v>
      </c>
      <c r="B1574" s="75" t="s">
        <v>1166</v>
      </c>
    </row>
    <row r="1575">
      <c r="A1575" s="66">
        <v>43199.0</v>
      </c>
      <c r="B1575" s="75" t="s">
        <v>1161</v>
      </c>
    </row>
    <row r="1576">
      <c r="A1576" s="66">
        <v>43196.0</v>
      </c>
      <c r="B1576" s="75" t="s">
        <v>1162</v>
      </c>
    </row>
    <row r="1577">
      <c r="A1577" s="66">
        <v>43195.0</v>
      </c>
      <c r="B1577" s="75" t="s">
        <v>1170</v>
      </c>
    </row>
    <row r="1578">
      <c r="A1578" s="66">
        <v>43194.0</v>
      </c>
      <c r="B1578" s="75" t="s">
        <v>1169</v>
      </c>
    </row>
    <row r="1579">
      <c r="A1579" s="66">
        <v>43193.0</v>
      </c>
      <c r="B1579" s="75" t="s">
        <v>1168</v>
      </c>
    </row>
    <row r="1580">
      <c r="A1580" s="66">
        <v>43187.0</v>
      </c>
      <c r="B1580" s="75" t="s">
        <v>1146</v>
      </c>
    </row>
    <row r="1581">
      <c r="A1581" s="66">
        <v>43186.0</v>
      </c>
      <c r="B1581" s="75" t="s">
        <v>1167</v>
      </c>
    </row>
    <row r="1582">
      <c r="A1582" s="66">
        <v>43185.0</v>
      </c>
      <c r="B1582" s="75" t="s">
        <v>1160</v>
      </c>
    </row>
    <row r="1583">
      <c r="A1583" s="66">
        <v>43182.0</v>
      </c>
      <c r="B1583" s="75" t="s">
        <v>1166</v>
      </c>
    </row>
    <row r="1584">
      <c r="A1584" s="66">
        <v>43181.0</v>
      </c>
      <c r="B1584" s="75" t="s">
        <v>1160</v>
      </c>
    </row>
    <row r="1585">
      <c r="A1585" s="66">
        <v>43180.0</v>
      </c>
      <c r="B1585" s="75" t="s">
        <v>1165</v>
      </c>
    </row>
    <row r="1586">
      <c r="A1586" s="66">
        <v>43179.0</v>
      </c>
      <c r="B1586" s="75" t="s">
        <v>1164</v>
      </c>
    </row>
    <row r="1587">
      <c r="A1587" s="66">
        <v>43178.0</v>
      </c>
      <c r="B1587" s="75" t="s">
        <v>1163</v>
      </c>
    </row>
    <row r="1588">
      <c r="A1588" s="66">
        <v>43175.0</v>
      </c>
      <c r="B1588" s="75" t="s">
        <v>1160</v>
      </c>
    </row>
    <row r="1589">
      <c r="A1589" s="66">
        <v>43174.0</v>
      </c>
      <c r="B1589" s="75" t="s">
        <v>1162</v>
      </c>
    </row>
    <row r="1590">
      <c r="A1590" s="66">
        <v>43173.0</v>
      </c>
      <c r="B1590" s="75" t="s">
        <v>1161</v>
      </c>
    </row>
    <row r="1591">
      <c r="A1591" s="66">
        <v>43172.0</v>
      </c>
      <c r="B1591" s="75" t="s">
        <v>1160</v>
      </c>
    </row>
    <row r="1592">
      <c r="A1592" s="66">
        <v>43171.0</v>
      </c>
      <c r="B1592" s="75" t="s">
        <v>1151</v>
      </c>
    </row>
    <row r="1593">
      <c r="A1593" s="66">
        <v>43168.0</v>
      </c>
      <c r="B1593" s="75" t="s">
        <v>1159</v>
      </c>
    </row>
    <row r="1594">
      <c r="A1594" s="66">
        <v>43167.0</v>
      </c>
      <c r="B1594" s="75" t="s">
        <v>1158</v>
      </c>
    </row>
    <row r="1595">
      <c r="A1595" s="66">
        <v>43166.0</v>
      </c>
      <c r="B1595" s="75" t="s">
        <v>1157</v>
      </c>
    </row>
    <row r="1596">
      <c r="A1596" s="66">
        <v>43165.0</v>
      </c>
      <c r="B1596" s="75" t="s">
        <v>1156</v>
      </c>
    </row>
    <row r="1597">
      <c r="A1597" s="66">
        <v>43164.0</v>
      </c>
      <c r="B1597" s="75" t="s">
        <v>1155</v>
      </c>
    </row>
    <row r="1598">
      <c r="A1598" s="66">
        <v>43161.0</v>
      </c>
      <c r="B1598" s="75" t="s">
        <v>1154</v>
      </c>
    </row>
    <row r="1599">
      <c r="A1599" s="66">
        <v>43160.0</v>
      </c>
      <c r="B1599" s="75" t="s">
        <v>1153</v>
      </c>
    </row>
    <row r="1600">
      <c r="A1600" s="66">
        <v>43159.0</v>
      </c>
      <c r="B1600" s="75" t="s">
        <v>1152</v>
      </c>
    </row>
    <row r="1601">
      <c r="A1601" s="66">
        <v>43158.0</v>
      </c>
      <c r="B1601" s="75" t="s">
        <v>1151</v>
      </c>
    </row>
    <row r="1602">
      <c r="A1602" s="66">
        <v>43157.0</v>
      </c>
      <c r="B1602" s="75" t="s">
        <v>1145</v>
      </c>
    </row>
    <row r="1603">
      <c r="A1603" s="66">
        <v>43154.0</v>
      </c>
      <c r="B1603" s="75" t="s">
        <v>1150</v>
      </c>
    </row>
    <row r="1604">
      <c r="A1604" s="66">
        <v>43153.0</v>
      </c>
      <c r="B1604" s="75" t="s">
        <v>1149</v>
      </c>
    </row>
    <row r="1605">
      <c r="A1605" s="66">
        <v>43152.0</v>
      </c>
      <c r="B1605" s="75" t="s">
        <v>1148</v>
      </c>
    </row>
    <row r="1606">
      <c r="A1606" s="66">
        <v>43151.0</v>
      </c>
      <c r="B1606" s="75" t="s">
        <v>1147</v>
      </c>
    </row>
    <row r="1607">
      <c r="A1607" s="66">
        <v>43147.0</v>
      </c>
      <c r="B1607" s="75" t="s">
        <v>1145</v>
      </c>
    </row>
    <row r="1608">
      <c r="A1608" s="66">
        <v>43146.0</v>
      </c>
      <c r="B1608" s="75" t="s">
        <v>1146</v>
      </c>
    </row>
    <row r="1609">
      <c r="A1609" s="66">
        <v>43145.0</v>
      </c>
      <c r="B1609" s="75" t="s">
        <v>1145</v>
      </c>
    </row>
    <row r="1610">
      <c r="A1610" s="66">
        <v>43140.0</v>
      </c>
      <c r="B1610" s="75" t="s">
        <v>1144</v>
      </c>
    </row>
    <row r="1611">
      <c r="A1611" s="66">
        <v>43139.0</v>
      </c>
      <c r="B1611" s="75" t="s">
        <v>1139</v>
      </c>
    </row>
    <row r="1612">
      <c r="A1612" s="66">
        <v>43138.0</v>
      </c>
      <c r="B1612" s="75" t="s">
        <v>1143</v>
      </c>
    </row>
    <row r="1613">
      <c r="A1613" s="66">
        <v>43137.0</v>
      </c>
      <c r="B1613" s="75" t="s">
        <v>1142</v>
      </c>
    </row>
    <row r="1614">
      <c r="A1614" s="66">
        <v>43136.0</v>
      </c>
      <c r="B1614" s="75" t="s">
        <v>1141</v>
      </c>
    </row>
    <row r="1615">
      <c r="A1615" s="66">
        <v>43133.0</v>
      </c>
      <c r="B1615" s="75" t="s">
        <v>1140</v>
      </c>
    </row>
    <row r="1616">
      <c r="A1616" s="66">
        <v>43132.0</v>
      </c>
      <c r="B1616" s="75" t="s">
        <v>1139</v>
      </c>
    </row>
    <row r="1617">
      <c r="A1617" s="66">
        <v>43131.0</v>
      </c>
      <c r="B1617" s="75" t="s">
        <v>1138</v>
      </c>
    </row>
    <row r="1618">
      <c r="A1618" s="66">
        <v>43130.0</v>
      </c>
      <c r="B1618" s="75" t="s">
        <v>1137</v>
      </c>
    </row>
    <row r="1619">
      <c r="A1619" s="66">
        <v>43129.0</v>
      </c>
      <c r="B1619" s="75" t="s">
        <v>1137</v>
      </c>
    </row>
    <row r="1620">
      <c r="A1620" s="66">
        <v>43126.0</v>
      </c>
      <c r="B1620" s="75" t="s">
        <v>1136</v>
      </c>
    </row>
    <row r="1621">
      <c r="A1621" s="66">
        <v>43125.0</v>
      </c>
      <c r="B1621" s="75" t="s">
        <v>1136</v>
      </c>
    </row>
    <row r="1622">
      <c r="A1622" s="66">
        <v>43124.0</v>
      </c>
      <c r="B1622" s="75" t="s">
        <v>1135</v>
      </c>
    </row>
    <row r="1623">
      <c r="A1623" s="66">
        <v>43123.0</v>
      </c>
      <c r="B1623" s="75" t="s">
        <v>1134</v>
      </c>
    </row>
    <row r="1624">
      <c r="A1624" s="66">
        <v>43122.0</v>
      </c>
      <c r="B1624" s="75" t="s">
        <v>1133</v>
      </c>
    </row>
    <row r="1625">
      <c r="A1625" s="66">
        <v>43119.0</v>
      </c>
      <c r="B1625" s="75" t="s">
        <v>1132</v>
      </c>
    </row>
    <row r="1626">
      <c r="A1626" s="66">
        <v>43118.0</v>
      </c>
      <c r="B1626" s="75" t="s">
        <v>1131</v>
      </c>
    </row>
    <row r="1627">
      <c r="A1627" s="66">
        <v>43117.0</v>
      </c>
      <c r="B1627" s="75" t="s">
        <v>1130</v>
      </c>
    </row>
    <row r="1628">
      <c r="A1628" s="66">
        <v>43116.0</v>
      </c>
      <c r="B1628" s="75" t="s">
        <v>1129</v>
      </c>
    </row>
    <row r="1629">
      <c r="A1629" s="66">
        <v>43112.0</v>
      </c>
      <c r="B1629" s="75" t="s">
        <v>1128</v>
      </c>
    </row>
    <row r="1630">
      <c r="A1630" s="66">
        <v>43111.0</v>
      </c>
      <c r="B1630" s="75" t="s">
        <v>1127</v>
      </c>
    </row>
    <row r="1631">
      <c r="A1631" s="66">
        <v>43110.0</v>
      </c>
      <c r="B1631" s="75" t="s">
        <v>1126</v>
      </c>
    </row>
    <row r="1632">
      <c r="A1632" s="66">
        <v>43109.0</v>
      </c>
      <c r="B1632" s="75" t="s">
        <v>1125</v>
      </c>
    </row>
    <row r="1633">
      <c r="A1633" s="66">
        <v>43108.0</v>
      </c>
      <c r="B1633" s="75" t="s">
        <v>1124</v>
      </c>
    </row>
    <row r="1634">
      <c r="A1634" s="66">
        <v>43105.0</v>
      </c>
      <c r="B1634" s="75" t="s">
        <v>1123</v>
      </c>
    </row>
    <row r="1635">
      <c r="A1635" s="66">
        <v>43104.0</v>
      </c>
      <c r="B1635" s="75" t="s">
        <v>1122</v>
      </c>
    </row>
    <row r="1636">
      <c r="A1636" s="66">
        <v>43103.0</v>
      </c>
      <c r="B1636" s="75" t="s">
        <v>1119</v>
      </c>
    </row>
    <row r="1637">
      <c r="A1637" s="66">
        <v>43102.0</v>
      </c>
      <c r="B1637" s="75" t="s">
        <v>1121</v>
      </c>
    </row>
    <row r="1638">
      <c r="A1638" s="66">
        <v>43098.0</v>
      </c>
      <c r="B1638" s="75" t="s">
        <v>1120</v>
      </c>
    </row>
    <row r="1639">
      <c r="A1639" s="66">
        <v>43097.0</v>
      </c>
      <c r="B1639" s="75" t="s">
        <v>1119</v>
      </c>
    </row>
    <row r="1640">
      <c r="A1640" s="66">
        <v>43096.0</v>
      </c>
      <c r="B1640" s="75" t="s">
        <v>1118</v>
      </c>
    </row>
    <row r="1641">
      <c r="A1641" s="66">
        <v>43095.0</v>
      </c>
      <c r="B1641" s="75" t="s">
        <v>1117</v>
      </c>
    </row>
    <row r="1642">
      <c r="A1642" s="66">
        <v>43091.0</v>
      </c>
      <c r="B1642" s="75" t="s">
        <v>1116</v>
      </c>
    </row>
    <row r="1643">
      <c r="A1643" s="66">
        <v>43090.0</v>
      </c>
      <c r="B1643" s="75" t="s">
        <v>1073</v>
      </c>
    </row>
    <row r="1644">
      <c r="A1644" s="66">
        <v>43089.0</v>
      </c>
      <c r="B1644" s="75" t="s">
        <v>1115</v>
      </c>
    </row>
    <row r="1645">
      <c r="A1645" s="66">
        <v>43088.0</v>
      </c>
      <c r="B1645" s="75" t="s">
        <v>1114</v>
      </c>
    </row>
    <row r="1646">
      <c r="A1646" s="66">
        <v>43087.0</v>
      </c>
      <c r="B1646" s="75" t="s">
        <v>1068</v>
      </c>
    </row>
    <row r="1647">
      <c r="A1647" s="66">
        <v>43084.0</v>
      </c>
      <c r="B1647" s="75" t="s">
        <v>1106</v>
      </c>
    </row>
    <row r="1648">
      <c r="A1648" s="66">
        <v>43083.0</v>
      </c>
      <c r="B1648" s="75" t="s">
        <v>1101</v>
      </c>
    </row>
    <row r="1649">
      <c r="A1649" s="66">
        <v>43082.0</v>
      </c>
      <c r="B1649" s="75" t="s">
        <v>1112</v>
      </c>
    </row>
    <row r="1650">
      <c r="A1650" s="66">
        <v>43081.0</v>
      </c>
      <c r="B1650" s="75" t="s">
        <v>1112</v>
      </c>
    </row>
    <row r="1651">
      <c r="A1651" s="66">
        <v>43080.0</v>
      </c>
      <c r="B1651" s="75" t="s">
        <v>1061</v>
      </c>
    </row>
    <row r="1652">
      <c r="A1652" s="66">
        <v>43076.0</v>
      </c>
      <c r="B1652" s="75" t="s">
        <v>1113</v>
      </c>
    </row>
    <row r="1653">
      <c r="A1653" s="66">
        <v>43075.0</v>
      </c>
      <c r="B1653" s="75" t="s">
        <v>1085</v>
      </c>
    </row>
    <row r="1654">
      <c r="A1654" s="66">
        <v>43074.0</v>
      </c>
      <c r="B1654" s="75" t="s">
        <v>1080</v>
      </c>
    </row>
    <row r="1655">
      <c r="A1655" s="66">
        <v>43073.0</v>
      </c>
      <c r="B1655" s="75" t="s">
        <v>1112</v>
      </c>
    </row>
    <row r="1656">
      <c r="A1656" s="66">
        <v>43070.0</v>
      </c>
      <c r="B1656" s="75" t="s">
        <v>1111</v>
      </c>
    </row>
    <row r="1657">
      <c r="A1657" s="66">
        <v>43069.0</v>
      </c>
      <c r="B1657" s="75" t="s">
        <v>1110</v>
      </c>
    </row>
    <row r="1658">
      <c r="A1658" s="66">
        <v>43068.0</v>
      </c>
      <c r="B1658" s="75" t="s">
        <v>1110</v>
      </c>
    </row>
    <row r="1659">
      <c r="A1659" s="66">
        <v>43067.0</v>
      </c>
      <c r="B1659" s="75" t="s">
        <v>1098</v>
      </c>
    </row>
    <row r="1660">
      <c r="A1660" s="66">
        <v>43066.0</v>
      </c>
      <c r="B1660" s="75" t="s">
        <v>1083</v>
      </c>
    </row>
    <row r="1661">
      <c r="A1661" s="66">
        <v>43063.0</v>
      </c>
      <c r="B1661" s="75" t="s">
        <v>1109</v>
      </c>
    </row>
    <row r="1662">
      <c r="A1662" s="66">
        <v>43061.0</v>
      </c>
      <c r="B1662" s="75" t="s">
        <v>1093</v>
      </c>
    </row>
    <row r="1663">
      <c r="A1663" s="66">
        <v>43060.0</v>
      </c>
      <c r="B1663" s="75" t="s">
        <v>1069</v>
      </c>
    </row>
    <row r="1664">
      <c r="A1664" s="66">
        <v>43056.0</v>
      </c>
      <c r="B1664" s="75" t="s">
        <v>1108</v>
      </c>
    </row>
    <row r="1665">
      <c r="A1665" s="66">
        <v>43055.0</v>
      </c>
      <c r="B1665" s="75" t="s">
        <v>1093</v>
      </c>
    </row>
    <row r="1666">
      <c r="A1666" s="66">
        <v>43054.0</v>
      </c>
      <c r="B1666" s="75" t="s">
        <v>1099</v>
      </c>
    </row>
    <row r="1667">
      <c r="A1667" s="66">
        <v>43053.0</v>
      </c>
      <c r="B1667" s="75" t="s">
        <v>1065</v>
      </c>
    </row>
    <row r="1668">
      <c r="A1668" s="66">
        <v>43052.0</v>
      </c>
      <c r="B1668" s="75" t="s">
        <v>1084</v>
      </c>
    </row>
    <row r="1669">
      <c r="A1669" s="66">
        <v>43049.0</v>
      </c>
      <c r="B1669" s="75" t="s">
        <v>1100</v>
      </c>
    </row>
    <row r="1670">
      <c r="A1670" s="66">
        <v>43048.0</v>
      </c>
      <c r="B1670" s="75" t="s">
        <v>1097</v>
      </c>
    </row>
    <row r="1671">
      <c r="A1671" s="66">
        <v>43047.0</v>
      </c>
      <c r="B1671" s="75" t="s">
        <v>1094</v>
      </c>
    </row>
    <row r="1672">
      <c r="A1672" s="66">
        <v>43046.0</v>
      </c>
      <c r="B1672" s="75" t="s">
        <v>1107</v>
      </c>
    </row>
    <row r="1673">
      <c r="A1673" s="66">
        <v>43042.0</v>
      </c>
      <c r="B1673" s="75" t="s">
        <v>1106</v>
      </c>
    </row>
    <row r="1674">
      <c r="A1674" s="66">
        <v>43041.0</v>
      </c>
      <c r="B1674" s="75" t="s">
        <v>1094</v>
      </c>
    </row>
    <row r="1675">
      <c r="A1675" s="66">
        <v>43040.0</v>
      </c>
      <c r="B1675" s="75" t="s">
        <v>1105</v>
      </c>
    </row>
    <row r="1676">
      <c r="A1676" s="66">
        <v>43039.0</v>
      </c>
      <c r="B1676" s="75" t="s">
        <v>1103</v>
      </c>
    </row>
    <row r="1677">
      <c r="A1677" s="66">
        <v>43038.0</v>
      </c>
      <c r="B1677" s="75" t="s">
        <v>1104</v>
      </c>
    </row>
    <row r="1678">
      <c r="A1678" s="66">
        <v>43035.0</v>
      </c>
      <c r="B1678" s="75" t="s">
        <v>1103</v>
      </c>
    </row>
    <row r="1679">
      <c r="A1679" s="66">
        <v>43034.0</v>
      </c>
      <c r="B1679" s="75" t="s">
        <v>1096</v>
      </c>
    </row>
    <row r="1680">
      <c r="A1680" s="66">
        <v>43033.0</v>
      </c>
      <c r="B1680" s="75" t="s">
        <v>1102</v>
      </c>
    </row>
    <row r="1681">
      <c r="A1681" s="66">
        <v>43032.0</v>
      </c>
      <c r="B1681" s="75" t="s">
        <v>1100</v>
      </c>
    </row>
    <row r="1682">
      <c r="A1682" s="66">
        <v>43031.0</v>
      </c>
      <c r="B1682" s="75" t="s">
        <v>1100</v>
      </c>
    </row>
    <row r="1683">
      <c r="A1683" s="66">
        <v>43028.0</v>
      </c>
      <c r="B1683" s="75" t="s">
        <v>1096</v>
      </c>
    </row>
    <row r="1684">
      <c r="A1684" s="66">
        <v>43027.0</v>
      </c>
      <c r="B1684" s="75" t="s">
        <v>1101</v>
      </c>
    </row>
    <row r="1685">
      <c r="A1685" s="66">
        <v>43026.0</v>
      </c>
      <c r="B1685" s="75" t="s">
        <v>1100</v>
      </c>
    </row>
    <row r="1686">
      <c r="A1686" s="66">
        <v>43025.0</v>
      </c>
      <c r="B1686" s="75" t="s">
        <v>1062</v>
      </c>
    </row>
    <row r="1687">
      <c r="A1687" s="66">
        <v>43021.0</v>
      </c>
      <c r="B1687" s="75" t="s">
        <v>1099</v>
      </c>
    </row>
    <row r="1688">
      <c r="A1688" s="66">
        <v>43020.0</v>
      </c>
      <c r="B1688" s="75" t="s">
        <v>1065</v>
      </c>
    </row>
    <row r="1689">
      <c r="A1689" s="66">
        <v>43019.0</v>
      </c>
      <c r="B1689" s="75" t="s">
        <v>1099</v>
      </c>
    </row>
    <row r="1690">
      <c r="A1690" s="66">
        <v>43018.0</v>
      </c>
      <c r="B1690" s="75" t="s">
        <v>1062</v>
      </c>
    </row>
    <row r="1691">
      <c r="A1691" s="66">
        <v>43017.0</v>
      </c>
      <c r="B1691" s="75" t="s">
        <v>1083</v>
      </c>
    </row>
    <row r="1692">
      <c r="A1692" s="66">
        <v>43014.0</v>
      </c>
      <c r="B1692" s="75" t="s">
        <v>1098</v>
      </c>
    </row>
    <row r="1693">
      <c r="A1693" s="66">
        <v>43013.0</v>
      </c>
      <c r="B1693" s="75" t="s">
        <v>1098</v>
      </c>
    </row>
    <row r="1694">
      <c r="A1694" s="66">
        <v>43012.0</v>
      </c>
      <c r="B1694" s="75" t="s">
        <v>1097</v>
      </c>
    </row>
    <row r="1695">
      <c r="A1695" s="66">
        <v>43011.0</v>
      </c>
      <c r="B1695" s="75" t="s">
        <v>1096</v>
      </c>
    </row>
    <row r="1696">
      <c r="A1696" s="66">
        <v>43010.0</v>
      </c>
      <c r="B1696" s="75" t="s">
        <v>1095</v>
      </c>
    </row>
    <row r="1697">
      <c r="A1697" s="66">
        <v>43007.0</v>
      </c>
      <c r="B1697" s="75" t="s">
        <v>1094</v>
      </c>
    </row>
    <row r="1698">
      <c r="A1698" s="66">
        <v>43006.0</v>
      </c>
      <c r="B1698" s="75" t="s">
        <v>1093</v>
      </c>
    </row>
    <row r="1699">
      <c r="A1699" s="66">
        <v>43005.0</v>
      </c>
      <c r="B1699" s="75" t="s">
        <v>1092</v>
      </c>
    </row>
    <row r="1700">
      <c r="A1700" s="66">
        <v>43004.0</v>
      </c>
      <c r="B1700" s="75" t="s">
        <v>1062</v>
      </c>
    </row>
    <row r="1701">
      <c r="A1701" s="66">
        <v>43003.0</v>
      </c>
      <c r="B1701" s="75" t="s">
        <v>1082</v>
      </c>
    </row>
    <row r="1702">
      <c r="A1702" s="66">
        <v>43000.0</v>
      </c>
      <c r="B1702" s="75" t="s">
        <v>1091</v>
      </c>
    </row>
    <row r="1703">
      <c r="A1703" s="66">
        <v>42999.0</v>
      </c>
      <c r="B1703" s="75" t="s">
        <v>1076</v>
      </c>
    </row>
    <row r="1704">
      <c r="A1704" s="66">
        <v>42998.0</v>
      </c>
      <c r="B1704" s="75" t="s">
        <v>1090</v>
      </c>
    </row>
    <row r="1705">
      <c r="A1705" s="66">
        <v>42997.0</v>
      </c>
      <c r="B1705" s="75" t="s">
        <v>1090</v>
      </c>
    </row>
    <row r="1706">
      <c r="A1706" s="66">
        <v>42996.0</v>
      </c>
      <c r="B1706" s="75" t="s">
        <v>1089</v>
      </c>
    </row>
    <row r="1707">
      <c r="A1707" s="66">
        <v>42993.0</v>
      </c>
      <c r="B1707" s="75" t="s">
        <v>1055</v>
      </c>
    </row>
    <row r="1708">
      <c r="A1708" s="66">
        <v>42992.0</v>
      </c>
      <c r="B1708" s="75" t="s">
        <v>1075</v>
      </c>
    </row>
    <row r="1709">
      <c r="A1709" s="66">
        <v>42991.0</v>
      </c>
      <c r="B1709" s="75" t="s">
        <v>1088</v>
      </c>
    </row>
    <row r="1710">
      <c r="A1710" s="66">
        <v>42990.0</v>
      </c>
      <c r="B1710" s="75" t="s">
        <v>1087</v>
      </c>
    </row>
    <row r="1711">
      <c r="A1711" s="66">
        <v>42989.0</v>
      </c>
      <c r="B1711" s="75" t="s">
        <v>1060</v>
      </c>
    </row>
    <row r="1712">
      <c r="A1712" s="66">
        <v>42986.0</v>
      </c>
      <c r="B1712" s="75" t="s">
        <v>1079</v>
      </c>
    </row>
    <row r="1713">
      <c r="A1713" s="66">
        <v>42985.0</v>
      </c>
      <c r="B1713" s="75" t="s">
        <v>1086</v>
      </c>
    </row>
    <row r="1714">
      <c r="A1714" s="66">
        <v>42984.0</v>
      </c>
      <c r="B1714" s="75" t="s">
        <v>1085</v>
      </c>
    </row>
    <row r="1715">
      <c r="A1715" s="66">
        <v>42983.0</v>
      </c>
      <c r="B1715" s="75" t="s">
        <v>1061</v>
      </c>
    </row>
    <row r="1716">
      <c r="A1716" s="66">
        <v>42979.0</v>
      </c>
      <c r="B1716" s="75" t="s">
        <v>1084</v>
      </c>
    </row>
    <row r="1717">
      <c r="A1717" s="66">
        <v>42978.0</v>
      </c>
      <c r="B1717" s="75" t="s">
        <v>1083</v>
      </c>
    </row>
    <row r="1718">
      <c r="A1718" s="66">
        <v>42977.0</v>
      </c>
      <c r="B1718" s="75" t="s">
        <v>1082</v>
      </c>
    </row>
    <row r="1719">
      <c r="A1719" s="66">
        <v>42976.0</v>
      </c>
      <c r="B1719" s="75" t="s">
        <v>1079</v>
      </c>
    </row>
    <row r="1720">
      <c r="A1720" s="66">
        <v>42975.0</v>
      </c>
      <c r="B1720" s="75" t="s">
        <v>1081</v>
      </c>
    </row>
    <row r="1721">
      <c r="A1721" s="66">
        <v>42972.0</v>
      </c>
      <c r="B1721" s="75" t="s">
        <v>1081</v>
      </c>
    </row>
    <row r="1722">
      <c r="A1722" s="66">
        <v>42971.0</v>
      </c>
      <c r="B1722" s="75" t="s">
        <v>1080</v>
      </c>
    </row>
    <row r="1723">
      <c r="A1723" s="66">
        <v>42970.0</v>
      </c>
      <c r="B1723" s="75" t="s">
        <v>1079</v>
      </c>
    </row>
    <row r="1724">
      <c r="A1724" s="66">
        <v>42969.0</v>
      </c>
      <c r="B1724" s="75" t="s">
        <v>1078</v>
      </c>
    </row>
    <row r="1725">
      <c r="A1725" s="66">
        <v>42965.0</v>
      </c>
      <c r="B1725" s="75" t="s">
        <v>1077</v>
      </c>
    </row>
    <row r="1726">
      <c r="A1726" s="66">
        <v>42964.0</v>
      </c>
      <c r="B1726" s="75" t="s">
        <v>1076</v>
      </c>
    </row>
    <row r="1727">
      <c r="A1727" s="66">
        <v>42963.0</v>
      </c>
      <c r="B1727" s="75" t="s">
        <v>1075</v>
      </c>
    </row>
    <row r="1728">
      <c r="A1728" s="66">
        <v>42962.0</v>
      </c>
      <c r="B1728" s="75" t="s">
        <v>1059</v>
      </c>
    </row>
    <row r="1729">
      <c r="A1729" s="66">
        <v>42961.0</v>
      </c>
      <c r="B1729" s="75" t="s">
        <v>1074</v>
      </c>
    </row>
    <row r="1730">
      <c r="A1730" s="66">
        <v>42958.0</v>
      </c>
      <c r="B1730" s="75" t="s">
        <v>1073</v>
      </c>
    </row>
    <row r="1731">
      <c r="A1731" s="66">
        <v>42957.0</v>
      </c>
      <c r="B1731" s="75" t="s">
        <v>1066</v>
      </c>
    </row>
    <row r="1732">
      <c r="A1732" s="66">
        <v>42956.0</v>
      </c>
      <c r="B1732" s="75" t="s">
        <v>1072</v>
      </c>
    </row>
    <row r="1733">
      <c r="A1733" s="66">
        <v>42955.0</v>
      </c>
      <c r="B1733" s="75" t="s">
        <v>1071</v>
      </c>
    </row>
    <row r="1734">
      <c r="A1734" s="66">
        <v>42954.0</v>
      </c>
      <c r="B1734" s="75" t="s">
        <v>1070</v>
      </c>
    </row>
    <row r="1735">
      <c r="A1735" s="66">
        <v>42951.0</v>
      </c>
      <c r="B1735" s="75" t="s">
        <v>1068</v>
      </c>
    </row>
    <row r="1736">
      <c r="A1736" s="66">
        <v>42950.0</v>
      </c>
      <c r="B1736" s="75" t="s">
        <v>1069</v>
      </c>
    </row>
    <row r="1737">
      <c r="A1737" s="66">
        <v>42949.0</v>
      </c>
      <c r="B1737" s="75" t="s">
        <v>1068</v>
      </c>
    </row>
    <row r="1738">
      <c r="A1738" s="66">
        <v>42948.0</v>
      </c>
      <c r="B1738" s="75" t="s">
        <v>1068</v>
      </c>
    </row>
    <row r="1739">
      <c r="A1739" s="66">
        <v>42947.0</v>
      </c>
      <c r="B1739" s="75" t="s">
        <v>1067</v>
      </c>
    </row>
    <row r="1740">
      <c r="A1740" s="66">
        <v>42944.0</v>
      </c>
      <c r="B1740" s="75" t="s">
        <v>1066</v>
      </c>
    </row>
    <row r="1741">
      <c r="A1741" s="66">
        <v>42943.0</v>
      </c>
      <c r="B1741" s="75" t="s">
        <v>1065</v>
      </c>
    </row>
    <row r="1742">
      <c r="A1742" s="66">
        <v>42942.0</v>
      </c>
      <c r="B1742" s="75" t="s">
        <v>1064</v>
      </c>
    </row>
    <row r="1743">
      <c r="A1743" s="66">
        <v>42941.0</v>
      </c>
      <c r="B1743" s="75" t="s">
        <v>1063</v>
      </c>
    </row>
    <row r="1744">
      <c r="A1744" s="66">
        <v>42940.0</v>
      </c>
      <c r="B1744" s="75" t="s">
        <v>1062</v>
      </c>
    </row>
    <row r="1745">
      <c r="A1745" s="66">
        <v>42937.0</v>
      </c>
      <c r="B1745" s="75" t="s">
        <v>1061</v>
      </c>
    </row>
    <row r="1746">
      <c r="A1746" s="66">
        <v>42936.0</v>
      </c>
      <c r="B1746" s="75" t="s">
        <v>1060</v>
      </c>
    </row>
    <row r="1747">
      <c r="A1747" s="66">
        <v>42935.0</v>
      </c>
      <c r="B1747" s="75" t="s">
        <v>1059</v>
      </c>
    </row>
    <row r="1748">
      <c r="A1748" s="66">
        <v>42934.0</v>
      </c>
      <c r="B1748" s="75" t="s">
        <v>1058</v>
      </c>
    </row>
    <row r="1749">
      <c r="A1749" s="66">
        <v>42933.0</v>
      </c>
      <c r="B1749" s="75" t="s">
        <v>1053</v>
      </c>
    </row>
    <row r="1750">
      <c r="A1750" s="66">
        <v>42930.0</v>
      </c>
      <c r="B1750" s="75" t="s">
        <v>1052</v>
      </c>
    </row>
    <row r="1751">
      <c r="A1751" s="66">
        <v>42929.0</v>
      </c>
      <c r="B1751" s="75" t="s">
        <v>1057</v>
      </c>
    </row>
    <row r="1752">
      <c r="A1752" s="66">
        <v>42928.0</v>
      </c>
      <c r="B1752" s="75" t="s">
        <v>1056</v>
      </c>
    </row>
    <row r="1753">
      <c r="A1753" s="66">
        <v>42927.0</v>
      </c>
      <c r="B1753" s="75" t="s">
        <v>1055</v>
      </c>
    </row>
    <row r="1754">
      <c r="A1754" s="66">
        <v>42926.0</v>
      </c>
      <c r="B1754" s="75" t="s">
        <v>1054</v>
      </c>
    </row>
    <row r="1755">
      <c r="A1755" s="66">
        <v>42923.0</v>
      </c>
      <c r="B1755" s="75" t="s">
        <v>1053</v>
      </c>
    </row>
    <row r="1756">
      <c r="A1756" s="66">
        <v>42922.0</v>
      </c>
      <c r="B1756" s="75" t="s">
        <v>1052</v>
      </c>
    </row>
    <row r="1757">
      <c r="A1757" s="66">
        <v>42921.0</v>
      </c>
      <c r="B1757" s="75" t="s">
        <v>1051</v>
      </c>
    </row>
    <row r="1758">
      <c r="A1758" s="66">
        <v>42919.0</v>
      </c>
      <c r="B1758" s="75" t="s">
        <v>1050</v>
      </c>
    </row>
    <row r="1759">
      <c r="A1759" s="66">
        <v>42916.0</v>
      </c>
      <c r="B1759" s="75" t="s">
        <v>1049</v>
      </c>
    </row>
    <row r="1760">
      <c r="A1760" s="66">
        <v>42915.0</v>
      </c>
      <c r="B1760" s="75" t="s">
        <v>1048</v>
      </c>
    </row>
    <row r="1761">
      <c r="A1761" s="66">
        <v>42914.0</v>
      </c>
      <c r="B1761" s="75" t="s">
        <v>1047</v>
      </c>
    </row>
    <row r="1762">
      <c r="A1762" s="66">
        <v>42913.0</v>
      </c>
      <c r="B1762" s="75" t="s">
        <v>1046</v>
      </c>
    </row>
    <row r="1763">
      <c r="A1763" s="66">
        <v>42912.0</v>
      </c>
      <c r="B1763" s="75" t="s">
        <v>1045</v>
      </c>
    </row>
    <row r="1764">
      <c r="A1764" s="66">
        <v>42909.0</v>
      </c>
      <c r="B1764" s="75" t="s">
        <v>1041</v>
      </c>
    </row>
    <row r="1765">
      <c r="A1765" s="66">
        <v>42908.0</v>
      </c>
      <c r="B1765" s="75" t="s">
        <v>1044</v>
      </c>
    </row>
    <row r="1766">
      <c r="A1766" s="66">
        <v>42907.0</v>
      </c>
      <c r="B1766" s="75" t="s">
        <v>1043</v>
      </c>
    </row>
    <row r="1767">
      <c r="A1767" s="66">
        <v>42905.0</v>
      </c>
      <c r="B1767" s="75" t="s">
        <v>1006</v>
      </c>
    </row>
    <row r="1768">
      <c r="A1768" s="66">
        <v>42902.0</v>
      </c>
      <c r="B1768" s="75" t="s">
        <v>1017</v>
      </c>
    </row>
    <row r="1769">
      <c r="A1769" s="66">
        <v>42901.0</v>
      </c>
      <c r="B1769" s="75" t="s">
        <v>1042</v>
      </c>
    </row>
    <row r="1770">
      <c r="A1770" s="66">
        <v>42900.0</v>
      </c>
      <c r="B1770" s="75" t="s">
        <v>1013</v>
      </c>
    </row>
    <row r="1771">
      <c r="A1771" s="66">
        <v>42899.0</v>
      </c>
      <c r="B1771" s="75" t="s">
        <v>936</v>
      </c>
    </row>
    <row r="1772">
      <c r="A1772" s="66">
        <v>42898.0</v>
      </c>
      <c r="B1772" s="75" t="s">
        <v>936</v>
      </c>
    </row>
    <row r="1773">
      <c r="A1773" s="66">
        <v>42895.0</v>
      </c>
      <c r="B1773" s="75" t="s">
        <v>1022</v>
      </c>
    </row>
    <row r="1774">
      <c r="A1774" s="66">
        <v>42894.0</v>
      </c>
      <c r="B1774" s="75" t="s">
        <v>1039</v>
      </c>
    </row>
    <row r="1775">
      <c r="A1775" s="66">
        <v>42893.0</v>
      </c>
      <c r="B1775" s="75" t="s">
        <v>1041</v>
      </c>
    </row>
    <row r="1776">
      <c r="A1776" s="66">
        <v>42892.0</v>
      </c>
      <c r="B1776" s="75" t="s">
        <v>1040</v>
      </c>
    </row>
    <row r="1777">
      <c r="A1777" s="66">
        <v>42891.0</v>
      </c>
      <c r="B1777" s="75" t="s">
        <v>1040</v>
      </c>
    </row>
    <row r="1778">
      <c r="A1778" s="66">
        <v>42888.0</v>
      </c>
      <c r="B1778" s="75" t="s">
        <v>1039</v>
      </c>
    </row>
    <row r="1779">
      <c r="A1779" s="66">
        <v>42887.0</v>
      </c>
      <c r="B1779" s="75" t="s">
        <v>1037</v>
      </c>
    </row>
    <row r="1780">
      <c r="A1780" s="66">
        <v>42886.0</v>
      </c>
      <c r="B1780" s="75" t="s">
        <v>1038</v>
      </c>
    </row>
    <row r="1781">
      <c r="A1781" s="66">
        <v>42885.0</v>
      </c>
      <c r="B1781" s="75" t="s">
        <v>1009</v>
      </c>
    </row>
    <row r="1782">
      <c r="A1782" s="66">
        <v>42881.0</v>
      </c>
      <c r="B1782" s="75" t="s">
        <v>1038</v>
      </c>
    </row>
    <row r="1783">
      <c r="A1783" s="66">
        <v>42879.0</v>
      </c>
      <c r="B1783" s="75" t="s">
        <v>1037</v>
      </c>
    </row>
    <row r="1784">
      <c r="A1784" s="66">
        <v>42878.0</v>
      </c>
      <c r="B1784" s="75" t="s">
        <v>1036</v>
      </c>
    </row>
    <row r="1785">
      <c r="A1785" s="66">
        <v>42877.0</v>
      </c>
      <c r="B1785" s="75" t="s">
        <v>1021</v>
      </c>
    </row>
    <row r="1786">
      <c r="A1786" s="66">
        <v>42874.0</v>
      </c>
      <c r="B1786" s="75" t="s">
        <v>936</v>
      </c>
    </row>
    <row r="1787">
      <c r="A1787" s="66">
        <v>42873.0</v>
      </c>
      <c r="B1787" s="75" t="s">
        <v>1032</v>
      </c>
    </row>
    <row r="1788">
      <c r="A1788" s="66">
        <v>42872.0</v>
      </c>
      <c r="B1788" s="75" t="s">
        <v>1026</v>
      </c>
    </row>
    <row r="1789">
      <c r="A1789" s="66">
        <v>42871.0</v>
      </c>
      <c r="B1789" s="75" t="s">
        <v>1029</v>
      </c>
    </row>
    <row r="1790">
      <c r="A1790" s="66">
        <v>42870.0</v>
      </c>
      <c r="B1790" s="75" t="s">
        <v>1000</v>
      </c>
    </row>
    <row r="1791">
      <c r="A1791" s="66">
        <v>42867.0</v>
      </c>
      <c r="B1791" s="75" t="s">
        <v>1033</v>
      </c>
    </row>
    <row r="1792">
      <c r="A1792" s="66">
        <v>42866.0</v>
      </c>
      <c r="B1792" s="75" t="s">
        <v>1033</v>
      </c>
    </row>
    <row r="1793">
      <c r="A1793" s="66">
        <v>42865.0</v>
      </c>
      <c r="B1793" s="75" t="s">
        <v>1027</v>
      </c>
    </row>
    <row r="1794">
      <c r="A1794" s="66">
        <v>42864.0</v>
      </c>
      <c r="B1794" s="75" t="s">
        <v>940</v>
      </c>
    </row>
    <row r="1795">
      <c r="A1795" s="66">
        <v>42863.0</v>
      </c>
      <c r="B1795" s="75" t="s">
        <v>943</v>
      </c>
    </row>
    <row r="1796">
      <c r="A1796" s="66">
        <v>42860.0</v>
      </c>
      <c r="B1796" s="75" t="s">
        <v>988</v>
      </c>
    </row>
    <row r="1797">
      <c r="A1797" s="66">
        <v>42859.0</v>
      </c>
      <c r="B1797" s="75" t="s">
        <v>910</v>
      </c>
    </row>
    <row r="1798">
      <c r="A1798" s="66">
        <v>42858.0</v>
      </c>
      <c r="B1798" s="75" t="s">
        <v>931</v>
      </c>
    </row>
    <row r="1799">
      <c r="A1799" s="66">
        <v>42857.0</v>
      </c>
      <c r="B1799" s="75" t="s">
        <v>934</v>
      </c>
    </row>
    <row r="1800">
      <c r="A1800" s="66">
        <v>42853.0</v>
      </c>
      <c r="B1800" s="75" t="s">
        <v>941</v>
      </c>
    </row>
    <row r="1801">
      <c r="A1801" s="66">
        <v>42852.0</v>
      </c>
      <c r="B1801" s="75" t="s">
        <v>1034</v>
      </c>
    </row>
    <row r="1802">
      <c r="A1802" s="66">
        <v>42851.0</v>
      </c>
      <c r="B1802" s="75" t="s">
        <v>1035</v>
      </c>
    </row>
    <row r="1803">
      <c r="A1803" s="66">
        <v>42850.0</v>
      </c>
      <c r="B1803" s="75" t="s">
        <v>994</v>
      </c>
    </row>
    <row r="1804">
      <c r="A1804" s="66">
        <v>42849.0</v>
      </c>
      <c r="B1804" s="75" t="s">
        <v>1000</v>
      </c>
    </row>
    <row r="1805">
      <c r="A1805" s="66">
        <v>42846.0</v>
      </c>
      <c r="B1805" s="75" t="s">
        <v>994</v>
      </c>
    </row>
    <row r="1806">
      <c r="A1806" s="66">
        <v>42845.0</v>
      </c>
      <c r="B1806" s="75" t="s">
        <v>938</v>
      </c>
    </row>
    <row r="1807">
      <c r="A1807" s="66">
        <v>42844.0</v>
      </c>
      <c r="B1807" s="75" t="s">
        <v>997</v>
      </c>
    </row>
    <row r="1808">
      <c r="A1808" s="66">
        <v>42843.0</v>
      </c>
      <c r="B1808" s="75" t="s">
        <v>941</v>
      </c>
    </row>
    <row r="1809">
      <c r="A1809" s="66">
        <v>42842.0</v>
      </c>
      <c r="B1809" s="75" t="s">
        <v>941</v>
      </c>
    </row>
    <row r="1810">
      <c r="A1810" s="66">
        <v>42837.0</v>
      </c>
      <c r="B1810" s="75" t="s">
        <v>941</v>
      </c>
    </row>
    <row r="1811">
      <c r="A1811" s="66">
        <v>42836.0</v>
      </c>
      <c r="B1811" s="75" t="s">
        <v>1035</v>
      </c>
    </row>
    <row r="1812">
      <c r="A1812" s="66">
        <v>42835.0</v>
      </c>
      <c r="B1812" s="75" t="s">
        <v>940</v>
      </c>
    </row>
    <row r="1813">
      <c r="A1813" s="66">
        <v>42832.0</v>
      </c>
      <c r="B1813" s="75" t="s">
        <v>1034</v>
      </c>
    </row>
    <row r="1814">
      <c r="A1814" s="66">
        <v>42831.0</v>
      </c>
      <c r="B1814" s="75" t="s">
        <v>941</v>
      </c>
    </row>
    <row r="1815">
      <c r="A1815" s="66">
        <v>42830.0</v>
      </c>
      <c r="B1815" s="75" t="s">
        <v>939</v>
      </c>
    </row>
    <row r="1816">
      <c r="A1816" s="66">
        <v>42829.0</v>
      </c>
      <c r="B1816" s="75" t="s">
        <v>939</v>
      </c>
    </row>
    <row r="1817">
      <c r="A1817" s="66">
        <v>42828.0</v>
      </c>
      <c r="B1817" s="75" t="s">
        <v>1034</v>
      </c>
    </row>
    <row r="1818">
      <c r="A1818" s="66">
        <v>42825.0</v>
      </c>
      <c r="B1818" s="75" t="s">
        <v>939</v>
      </c>
    </row>
    <row r="1819">
      <c r="A1819" s="66">
        <v>42824.0</v>
      </c>
      <c r="B1819" s="75" t="s">
        <v>1033</v>
      </c>
    </row>
    <row r="1820">
      <c r="A1820" s="66">
        <v>42823.0</v>
      </c>
      <c r="B1820" s="75" t="s">
        <v>1029</v>
      </c>
    </row>
    <row r="1821">
      <c r="A1821" s="66">
        <v>42822.0</v>
      </c>
      <c r="B1821" s="75" t="s">
        <v>1026</v>
      </c>
    </row>
    <row r="1822">
      <c r="A1822" s="66">
        <v>42821.0</v>
      </c>
      <c r="B1822" s="75" t="s">
        <v>996</v>
      </c>
    </row>
    <row r="1823">
      <c r="A1823" s="66">
        <v>42817.0</v>
      </c>
      <c r="B1823" s="75" t="s">
        <v>998</v>
      </c>
    </row>
    <row r="1824">
      <c r="A1824" s="66">
        <v>42816.0</v>
      </c>
      <c r="B1824" s="75" t="s">
        <v>1026</v>
      </c>
    </row>
    <row r="1825">
      <c r="A1825" s="66">
        <v>42815.0</v>
      </c>
      <c r="B1825" s="75" t="s">
        <v>1032</v>
      </c>
    </row>
    <row r="1826">
      <c r="A1826" s="66">
        <v>42814.0</v>
      </c>
      <c r="B1826" s="75" t="s">
        <v>935</v>
      </c>
    </row>
    <row r="1827">
      <c r="A1827" s="66">
        <v>42811.0</v>
      </c>
      <c r="B1827" s="75" t="s">
        <v>1029</v>
      </c>
    </row>
    <row r="1828">
      <c r="A1828" s="66">
        <v>42810.0</v>
      </c>
      <c r="B1828" s="75" t="s">
        <v>1026</v>
      </c>
    </row>
    <row r="1829">
      <c r="A1829" s="66">
        <v>42809.0</v>
      </c>
      <c r="B1829" s="75" t="s">
        <v>1027</v>
      </c>
    </row>
    <row r="1830">
      <c r="A1830" s="66">
        <v>42808.0</v>
      </c>
      <c r="B1830" s="75" t="s">
        <v>1000</v>
      </c>
    </row>
    <row r="1831">
      <c r="A1831" s="66">
        <v>42807.0</v>
      </c>
      <c r="B1831" s="75" t="s">
        <v>935</v>
      </c>
    </row>
    <row r="1832">
      <c r="A1832" s="66">
        <v>42804.0</v>
      </c>
      <c r="B1832" s="75" t="s">
        <v>998</v>
      </c>
    </row>
    <row r="1833">
      <c r="A1833" s="66">
        <v>42803.0</v>
      </c>
      <c r="B1833" s="75" t="s">
        <v>1031</v>
      </c>
    </row>
    <row r="1834">
      <c r="A1834" s="66">
        <v>42802.0</v>
      </c>
      <c r="B1834" s="75" t="s">
        <v>1030</v>
      </c>
    </row>
    <row r="1835">
      <c r="A1835" s="66">
        <v>42801.0</v>
      </c>
      <c r="B1835" s="75" t="s">
        <v>1000</v>
      </c>
    </row>
    <row r="1836">
      <c r="A1836" s="66">
        <v>42800.0</v>
      </c>
      <c r="B1836" s="75" t="s">
        <v>1001</v>
      </c>
    </row>
    <row r="1837">
      <c r="A1837" s="66">
        <v>42797.0</v>
      </c>
      <c r="B1837" s="75" t="s">
        <v>1000</v>
      </c>
    </row>
    <row r="1838">
      <c r="A1838" s="66">
        <v>42796.0</v>
      </c>
      <c r="B1838" s="75" t="s">
        <v>1000</v>
      </c>
    </row>
    <row r="1839">
      <c r="A1839" s="66">
        <v>42795.0</v>
      </c>
      <c r="B1839" s="75" t="s">
        <v>1029</v>
      </c>
    </row>
    <row r="1840">
      <c r="A1840" s="66">
        <v>42790.0</v>
      </c>
      <c r="B1840" s="75" t="s">
        <v>998</v>
      </c>
    </row>
    <row r="1841">
      <c r="A1841" s="66">
        <v>42789.0</v>
      </c>
      <c r="B1841" s="75" t="s">
        <v>1028</v>
      </c>
    </row>
    <row r="1842">
      <c r="A1842" s="66">
        <v>42788.0</v>
      </c>
      <c r="B1842" s="75" t="s">
        <v>1028</v>
      </c>
    </row>
    <row r="1843">
      <c r="A1843" s="66">
        <v>42787.0</v>
      </c>
      <c r="B1843" s="75" t="s">
        <v>1015</v>
      </c>
    </row>
    <row r="1844">
      <c r="A1844" s="66">
        <v>42783.0</v>
      </c>
      <c r="B1844" s="75" t="s">
        <v>939</v>
      </c>
    </row>
    <row r="1845">
      <c r="A1845" s="66">
        <v>42782.0</v>
      </c>
      <c r="B1845" s="75" t="s">
        <v>941</v>
      </c>
    </row>
    <row r="1846">
      <c r="A1846" s="66">
        <v>42781.0</v>
      </c>
      <c r="B1846" s="75" t="s">
        <v>1027</v>
      </c>
    </row>
    <row r="1847">
      <c r="A1847" s="66">
        <v>42780.0</v>
      </c>
      <c r="B1847" s="75" t="s">
        <v>935</v>
      </c>
    </row>
    <row r="1848">
      <c r="A1848" s="66">
        <v>42779.0</v>
      </c>
      <c r="B1848" s="75" t="s">
        <v>999</v>
      </c>
    </row>
    <row r="1849">
      <c r="A1849" s="66">
        <v>42776.0</v>
      </c>
      <c r="B1849" s="75" t="s">
        <v>1026</v>
      </c>
    </row>
    <row r="1850">
      <c r="A1850" s="66">
        <v>42775.0</v>
      </c>
      <c r="B1850" s="75" t="s">
        <v>1015</v>
      </c>
    </row>
    <row r="1851">
      <c r="A1851" s="66">
        <v>42774.0</v>
      </c>
      <c r="B1851" s="75" t="s">
        <v>1025</v>
      </c>
    </row>
    <row r="1852">
      <c r="A1852" s="66">
        <v>42773.0</v>
      </c>
      <c r="B1852" s="75" t="s">
        <v>1002</v>
      </c>
    </row>
    <row r="1853">
      <c r="A1853" s="66">
        <v>42772.0</v>
      </c>
      <c r="B1853" s="75" t="s">
        <v>1015</v>
      </c>
    </row>
    <row r="1854">
      <c r="A1854" s="66">
        <v>42769.0</v>
      </c>
      <c r="B1854" s="75" t="s">
        <v>1020</v>
      </c>
    </row>
    <row r="1855">
      <c r="A1855" s="66">
        <v>42768.0</v>
      </c>
      <c r="B1855" s="75" t="s">
        <v>1024</v>
      </c>
    </row>
    <row r="1856">
      <c r="A1856" s="66">
        <v>42767.0</v>
      </c>
      <c r="B1856" s="75" t="s">
        <v>1003</v>
      </c>
    </row>
    <row r="1857">
      <c r="A1857" s="66">
        <v>42766.0</v>
      </c>
      <c r="B1857" s="75" t="s">
        <v>1012</v>
      </c>
    </row>
    <row r="1858">
      <c r="A1858" s="66">
        <v>42765.0</v>
      </c>
      <c r="B1858" s="75" t="s">
        <v>1012</v>
      </c>
    </row>
    <row r="1859">
      <c r="A1859" s="66">
        <v>42762.0</v>
      </c>
      <c r="B1859" s="75" t="s">
        <v>1017</v>
      </c>
    </row>
    <row r="1860">
      <c r="A1860" s="66">
        <v>42761.0</v>
      </c>
      <c r="B1860" s="75" t="s">
        <v>1017</v>
      </c>
    </row>
    <row r="1861">
      <c r="A1861" s="66">
        <v>42760.0</v>
      </c>
      <c r="B1861" s="75" t="s">
        <v>1003</v>
      </c>
    </row>
    <row r="1862">
      <c r="A1862" s="66">
        <v>42759.0</v>
      </c>
      <c r="B1862" s="75" t="s">
        <v>1023</v>
      </c>
    </row>
    <row r="1863">
      <c r="A1863" s="66">
        <v>42758.0</v>
      </c>
      <c r="B1863" s="75" t="s">
        <v>1022</v>
      </c>
    </row>
    <row r="1864">
      <c r="A1864" s="66">
        <v>42755.0</v>
      </c>
      <c r="B1864" s="75" t="s">
        <v>1003</v>
      </c>
    </row>
    <row r="1865">
      <c r="A1865" s="66">
        <v>42754.0</v>
      </c>
      <c r="B1865" s="75" t="s">
        <v>1017</v>
      </c>
    </row>
    <row r="1866">
      <c r="A1866" s="66">
        <v>42753.0</v>
      </c>
      <c r="B1866" s="75" t="s">
        <v>1005</v>
      </c>
    </row>
    <row r="1867">
      <c r="A1867" s="66">
        <v>42752.0</v>
      </c>
      <c r="B1867" s="75" t="s">
        <v>1021</v>
      </c>
    </row>
    <row r="1868">
      <c r="A1868" s="66">
        <v>42748.0</v>
      </c>
      <c r="B1868" s="75" t="s">
        <v>1020</v>
      </c>
    </row>
    <row r="1869">
      <c r="A1869" s="66">
        <v>42747.0</v>
      </c>
      <c r="B1869" s="75" t="s">
        <v>1019</v>
      </c>
    </row>
    <row r="1870">
      <c r="A1870" s="66">
        <v>42746.0</v>
      </c>
      <c r="B1870" s="75" t="s">
        <v>1018</v>
      </c>
    </row>
    <row r="1871">
      <c r="A1871" s="66">
        <v>42745.0</v>
      </c>
      <c r="B1871" s="75" t="s">
        <v>1017</v>
      </c>
    </row>
    <row r="1872">
      <c r="A1872" s="66">
        <v>42744.0</v>
      </c>
      <c r="B1872" s="75" t="s">
        <v>1016</v>
      </c>
    </row>
    <row r="1873">
      <c r="A1873" s="66">
        <v>42741.0</v>
      </c>
      <c r="B1873" s="75" t="s">
        <v>1010</v>
      </c>
    </row>
    <row r="1874">
      <c r="A1874" s="66">
        <v>42740.0</v>
      </c>
      <c r="B1874" s="75" t="s">
        <v>937</v>
      </c>
    </row>
    <row r="1875">
      <c r="A1875" s="66">
        <v>42739.0</v>
      </c>
      <c r="B1875" s="75" t="s">
        <v>1005</v>
      </c>
    </row>
    <row r="1876">
      <c r="A1876" s="66">
        <v>42738.0</v>
      </c>
      <c r="B1876" s="75" t="s">
        <v>1009</v>
      </c>
    </row>
    <row r="1877">
      <c r="A1877" s="66">
        <v>42733.0</v>
      </c>
      <c r="B1877" s="75" t="s">
        <v>1013</v>
      </c>
    </row>
    <row r="1878">
      <c r="A1878" s="66">
        <v>42732.0</v>
      </c>
      <c r="B1878" s="75" t="s">
        <v>1015</v>
      </c>
    </row>
    <row r="1879">
      <c r="A1879" s="66">
        <v>42731.0</v>
      </c>
      <c r="B1879" s="75" t="s">
        <v>1014</v>
      </c>
    </row>
    <row r="1880">
      <c r="A1880" s="66">
        <v>42727.0</v>
      </c>
      <c r="B1880" s="75" t="s">
        <v>1013</v>
      </c>
    </row>
    <row r="1881">
      <c r="A1881" s="66">
        <v>42726.0</v>
      </c>
      <c r="B1881" s="75" t="s">
        <v>1012</v>
      </c>
    </row>
    <row r="1882">
      <c r="A1882" s="66">
        <v>42725.0</v>
      </c>
      <c r="B1882" s="75" t="s">
        <v>1003</v>
      </c>
    </row>
    <row r="1883">
      <c r="A1883" s="66">
        <v>42724.0</v>
      </c>
      <c r="B1883" s="75" t="s">
        <v>1007</v>
      </c>
    </row>
    <row r="1884">
      <c r="A1884" s="66">
        <v>42723.0</v>
      </c>
      <c r="B1884" s="75" t="s">
        <v>1009</v>
      </c>
    </row>
    <row r="1885">
      <c r="A1885" s="66">
        <v>42720.0</v>
      </c>
      <c r="B1885" s="75" t="s">
        <v>1011</v>
      </c>
    </row>
    <row r="1886">
      <c r="A1886" s="66">
        <v>42719.0</v>
      </c>
      <c r="B1886" s="75" t="s">
        <v>1010</v>
      </c>
    </row>
    <row r="1887">
      <c r="A1887" s="66">
        <v>42718.0</v>
      </c>
      <c r="B1887" s="75" t="s">
        <v>1009</v>
      </c>
    </row>
    <row r="1888">
      <c r="A1888" s="66">
        <v>42717.0</v>
      </c>
      <c r="B1888" s="75" t="s">
        <v>1008</v>
      </c>
    </row>
    <row r="1889">
      <c r="A1889" s="66">
        <v>42716.0</v>
      </c>
      <c r="B1889" s="75" t="s">
        <v>1006</v>
      </c>
    </row>
    <row r="1890">
      <c r="A1890" s="66">
        <v>42711.0</v>
      </c>
      <c r="B1890" s="75" t="s">
        <v>1007</v>
      </c>
    </row>
    <row r="1891">
      <c r="A1891" s="66">
        <v>42710.0</v>
      </c>
      <c r="B1891" s="75" t="s">
        <v>1006</v>
      </c>
    </row>
    <row r="1892">
      <c r="A1892" s="66">
        <v>42709.0</v>
      </c>
      <c r="B1892" s="75" t="s">
        <v>1005</v>
      </c>
    </row>
    <row r="1893">
      <c r="A1893" s="66">
        <v>42706.0</v>
      </c>
      <c r="B1893" s="75" t="s">
        <v>1004</v>
      </c>
    </row>
    <row r="1894">
      <c r="A1894" s="66">
        <v>42705.0</v>
      </c>
      <c r="B1894" s="75" t="s">
        <v>1003</v>
      </c>
    </row>
    <row r="1895">
      <c r="A1895" s="66">
        <v>42704.0</v>
      </c>
      <c r="B1895" s="75" t="s">
        <v>1002</v>
      </c>
    </row>
    <row r="1896">
      <c r="A1896" s="66">
        <v>42703.0</v>
      </c>
      <c r="B1896" s="75" t="s">
        <v>997</v>
      </c>
    </row>
    <row r="1897">
      <c r="A1897" s="66">
        <v>42697.0</v>
      </c>
      <c r="B1897" s="75" t="s">
        <v>1001</v>
      </c>
    </row>
    <row r="1898">
      <c r="A1898" s="66">
        <v>42696.0</v>
      </c>
      <c r="B1898" s="75" t="s">
        <v>1000</v>
      </c>
    </row>
    <row r="1899">
      <c r="A1899" s="66">
        <v>42695.0</v>
      </c>
      <c r="B1899" s="75" t="s">
        <v>999</v>
      </c>
    </row>
    <row r="1900">
      <c r="A1900" s="66">
        <v>42692.0</v>
      </c>
      <c r="B1900" s="75" t="s">
        <v>998</v>
      </c>
    </row>
    <row r="1901">
      <c r="A1901" s="66">
        <v>42691.0</v>
      </c>
      <c r="B1901" s="75" t="s">
        <v>997</v>
      </c>
    </row>
    <row r="1902">
      <c r="A1902" s="66">
        <v>42690.0</v>
      </c>
      <c r="B1902" s="75" t="s">
        <v>996</v>
      </c>
    </row>
    <row r="1903">
      <c r="A1903" s="66">
        <v>42689.0</v>
      </c>
      <c r="B1903" s="75" t="s">
        <v>995</v>
      </c>
    </row>
    <row r="1904">
      <c r="A1904" s="66">
        <v>42688.0</v>
      </c>
      <c r="B1904" s="75" t="s">
        <v>994</v>
      </c>
    </row>
    <row r="1905">
      <c r="A1905" s="66">
        <v>42685.0</v>
      </c>
      <c r="B1905" s="75" t="s">
        <v>975</v>
      </c>
    </row>
    <row r="1906">
      <c r="A1906" s="66">
        <v>42684.0</v>
      </c>
      <c r="B1906" s="75" t="s">
        <v>993</v>
      </c>
    </row>
    <row r="1907">
      <c r="A1907" s="66">
        <v>42683.0</v>
      </c>
      <c r="B1907" s="75" t="s">
        <v>983</v>
      </c>
    </row>
    <row r="1908">
      <c r="A1908" s="66">
        <v>42682.0</v>
      </c>
      <c r="B1908" s="75" t="s">
        <v>972</v>
      </c>
    </row>
    <row r="1909">
      <c r="A1909" s="66">
        <v>42681.0</v>
      </c>
      <c r="B1909" s="75" t="s">
        <v>908</v>
      </c>
    </row>
    <row r="1910">
      <c r="A1910" s="66">
        <v>42678.0</v>
      </c>
      <c r="B1910" s="75" t="s">
        <v>909</v>
      </c>
    </row>
    <row r="1911">
      <c r="A1911" s="66">
        <v>42677.0</v>
      </c>
      <c r="B1911" s="75" t="s">
        <v>992</v>
      </c>
    </row>
    <row r="1912">
      <c r="A1912" s="66">
        <v>42676.0</v>
      </c>
      <c r="B1912" s="75" t="s">
        <v>972</v>
      </c>
    </row>
    <row r="1913">
      <c r="A1913" s="66">
        <v>42675.0</v>
      </c>
      <c r="B1913" s="75" t="s">
        <v>987</v>
      </c>
    </row>
    <row r="1914">
      <c r="A1914" s="66">
        <v>42674.0</v>
      </c>
      <c r="B1914" s="75" t="s">
        <v>991</v>
      </c>
    </row>
    <row r="1915">
      <c r="A1915" s="66">
        <v>42671.0</v>
      </c>
      <c r="B1915" s="75" t="s">
        <v>986</v>
      </c>
    </row>
    <row r="1916">
      <c r="A1916" s="66">
        <v>42670.0</v>
      </c>
      <c r="B1916" s="75" t="s">
        <v>985</v>
      </c>
    </row>
    <row r="1917">
      <c r="A1917" s="66">
        <v>42669.0</v>
      </c>
      <c r="B1917" s="75" t="s">
        <v>985</v>
      </c>
    </row>
    <row r="1918">
      <c r="A1918" s="66">
        <v>42668.0</v>
      </c>
      <c r="B1918" s="75" t="s">
        <v>749</v>
      </c>
    </row>
    <row r="1919">
      <c r="A1919" s="66">
        <v>42667.0</v>
      </c>
      <c r="B1919" s="75" t="s">
        <v>967</v>
      </c>
    </row>
    <row r="1920">
      <c r="A1920" s="66">
        <v>42664.0</v>
      </c>
      <c r="B1920" s="75" t="s">
        <v>985</v>
      </c>
    </row>
    <row r="1921">
      <c r="A1921" s="66">
        <v>42663.0</v>
      </c>
      <c r="B1921" s="75" t="s">
        <v>930</v>
      </c>
    </row>
    <row r="1922">
      <c r="A1922" s="66">
        <v>42662.0</v>
      </c>
      <c r="B1922" s="75" t="s">
        <v>990</v>
      </c>
    </row>
    <row r="1923">
      <c r="A1923" s="66">
        <v>42661.0</v>
      </c>
      <c r="B1923" s="75" t="s">
        <v>990</v>
      </c>
    </row>
    <row r="1924">
      <c r="A1924" s="66">
        <v>42660.0</v>
      </c>
      <c r="B1924" s="75" t="s">
        <v>972</v>
      </c>
    </row>
    <row r="1925">
      <c r="A1925" s="66">
        <v>42657.0</v>
      </c>
      <c r="B1925" s="75" t="s">
        <v>989</v>
      </c>
    </row>
    <row r="1926">
      <c r="A1926" s="66">
        <v>42656.0</v>
      </c>
      <c r="B1926" s="75" t="s">
        <v>749</v>
      </c>
    </row>
    <row r="1927">
      <c r="A1927" s="66">
        <v>42655.0</v>
      </c>
      <c r="B1927" s="75" t="s">
        <v>985</v>
      </c>
    </row>
    <row r="1928">
      <c r="A1928" s="66">
        <v>42654.0</v>
      </c>
      <c r="B1928" s="75" t="s">
        <v>930</v>
      </c>
    </row>
    <row r="1929">
      <c r="A1929" s="66">
        <v>42650.0</v>
      </c>
      <c r="B1929" s="75" t="s">
        <v>985</v>
      </c>
    </row>
    <row r="1930">
      <c r="A1930" s="66">
        <v>42649.0</v>
      </c>
      <c r="B1930" s="75" t="s">
        <v>986</v>
      </c>
    </row>
    <row r="1931">
      <c r="A1931" s="66">
        <v>42648.0</v>
      </c>
      <c r="B1931" s="75" t="s">
        <v>986</v>
      </c>
    </row>
    <row r="1932">
      <c r="A1932" s="66">
        <v>42647.0</v>
      </c>
      <c r="B1932" s="75" t="s">
        <v>967</v>
      </c>
    </row>
    <row r="1933">
      <c r="A1933" s="66">
        <v>42646.0</v>
      </c>
      <c r="B1933" s="75" t="s">
        <v>930</v>
      </c>
    </row>
    <row r="1934">
      <c r="A1934" s="66">
        <v>42643.0</v>
      </c>
      <c r="B1934" s="75" t="s">
        <v>988</v>
      </c>
    </row>
    <row r="1935">
      <c r="A1935" s="66">
        <v>42642.0</v>
      </c>
      <c r="B1935" s="75" t="s">
        <v>942</v>
      </c>
    </row>
    <row r="1936">
      <c r="A1936" s="66">
        <v>42641.0</v>
      </c>
      <c r="B1936" s="75" t="s">
        <v>910</v>
      </c>
    </row>
    <row r="1937">
      <c r="A1937" s="66">
        <v>42640.0</v>
      </c>
      <c r="B1937" s="75" t="s">
        <v>967</v>
      </c>
    </row>
    <row r="1938">
      <c r="A1938" s="66">
        <v>42639.0</v>
      </c>
      <c r="B1938" s="75" t="s">
        <v>749</v>
      </c>
    </row>
    <row r="1939">
      <c r="A1939" s="66">
        <v>42636.0</v>
      </c>
      <c r="B1939" s="75" t="s">
        <v>987</v>
      </c>
    </row>
    <row r="1940">
      <c r="A1940" s="66">
        <v>42635.0</v>
      </c>
      <c r="B1940" s="75" t="s">
        <v>986</v>
      </c>
    </row>
    <row r="1941">
      <c r="A1941" s="66">
        <v>42634.0</v>
      </c>
      <c r="B1941" s="75" t="s">
        <v>986</v>
      </c>
    </row>
    <row r="1942">
      <c r="A1942" s="66">
        <v>42633.0</v>
      </c>
      <c r="B1942" s="75" t="s">
        <v>985</v>
      </c>
    </row>
    <row r="1943">
      <c r="A1943" s="66">
        <v>42632.0</v>
      </c>
      <c r="B1943" s="75" t="s">
        <v>909</v>
      </c>
    </row>
    <row r="1944">
      <c r="A1944" s="66">
        <v>42629.0</v>
      </c>
      <c r="B1944" s="75" t="s">
        <v>975</v>
      </c>
    </row>
    <row r="1945">
      <c r="A1945" s="66">
        <v>42628.0</v>
      </c>
      <c r="B1945" s="75" t="s">
        <v>975</v>
      </c>
    </row>
    <row r="1946">
      <c r="A1946" s="66">
        <v>42627.0</v>
      </c>
      <c r="B1946" s="75" t="s">
        <v>973</v>
      </c>
    </row>
    <row r="1947">
      <c r="A1947" s="66">
        <v>42626.0</v>
      </c>
      <c r="B1947" s="75" t="s">
        <v>980</v>
      </c>
    </row>
    <row r="1948">
      <c r="A1948" s="66">
        <v>42625.0</v>
      </c>
      <c r="B1948" s="75" t="s">
        <v>984</v>
      </c>
    </row>
    <row r="1949">
      <c r="A1949" s="66">
        <v>42622.0</v>
      </c>
      <c r="B1949" s="75" t="s">
        <v>980</v>
      </c>
    </row>
    <row r="1950">
      <c r="A1950" s="66">
        <v>42621.0</v>
      </c>
      <c r="B1950" s="75" t="s">
        <v>908</v>
      </c>
    </row>
    <row r="1951">
      <c r="A1951" s="66">
        <v>42620.0</v>
      </c>
      <c r="B1951" s="75" t="s">
        <v>977</v>
      </c>
    </row>
    <row r="1952">
      <c r="A1952" s="66">
        <v>42619.0</v>
      </c>
      <c r="B1952" s="75" t="s">
        <v>973</v>
      </c>
    </row>
    <row r="1953">
      <c r="A1953" s="66">
        <v>42615.0</v>
      </c>
      <c r="B1953" s="75" t="s">
        <v>927</v>
      </c>
    </row>
    <row r="1954">
      <c r="A1954" s="66">
        <v>42614.0</v>
      </c>
      <c r="B1954" s="75" t="s">
        <v>982</v>
      </c>
    </row>
    <row r="1955">
      <c r="A1955" s="66">
        <v>42613.0</v>
      </c>
      <c r="B1955" s="75" t="s">
        <v>975</v>
      </c>
    </row>
    <row r="1956">
      <c r="A1956" s="66">
        <v>42612.0</v>
      </c>
      <c r="B1956" s="75" t="s">
        <v>749</v>
      </c>
    </row>
    <row r="1957">
      <c r="A1957" s="66">
        <v>42611.0</v>
      </c>
      <c r="B1957" s="75" t="s">
        <v>983</v>
      </c>
    </row>
    <row r="1958">
      <c r="A1958" s="66">
        <v>42608.0</v>
      </c>
      <c r="B1958" s="75" t="s">
        <v>982</v>
      </c>
    </row>
    <row r="1959">
      <c r="A1959" s="66">
        <v>42607.0</v>
      </c>
      <c r="B1959" s="75" t="s">
        <v>748</v>
      </c>
    </row>
    <row r="1960">
      <c r="A1960" s="66">
        <v>42606.0</v>
      </c>
      <c r="B1960" s="75" t="s">
        <v>981</v>
      </c>
    </row>
    <row r="1961">
      <c r="A1961" s="66">
        <v>42605.0</v>
      </c>
      <c r="B1961" s="75" t="s">
        <v>911</v>
      </c>
    </row>
    <row r="1962">
      <c r="A1962" s="66">
        <v>42604.0</v>
      </c>
      <c r="B1962" s="75" t="s">
        <v>978</v>
      </c>
    </row>
    <row r="1963">
      <c r="A1963" s="66">
        <v>42601.0</v>
      </c>
      <c r="B1963" s="75" t="s">
        <v>927</v>
      </c>
    </row>
    <row r="1964">
      <c r="A1964" s="66">
        <v>42600.0</v>
      </c>
      <c r="B1964" s="75" t="s">
        <v>969</v>
      </c>
    </row>
    <row r="1965">
      <c r="A1965" s="66">
        <v>42599.0</v>
      </c>
      <c r="B1965" s="75" t="s">
        <v>947</v>
      </c>
    </row>
    <row r="1966">
      <c r="A1966" s="66">
        <v>42598.0</v>
      </c>
      <c r="B1966" s="75" t="s">
        <v>898</v>
      </c>
    </row>
    <row r="1967">
      <c r="A1967" s="66">
        <v>42594.0</v>
      </c>
      <c r="B1967" s="75" t="s">
        <v>898</v>
      </c>
    </row>
    <row r="1968">
      <c r="A1968" s="66">
        <v>42593.0</v>
      </c>
      <c r="B1968" s="75" t="s">
        <v>926</v>
      </c>
    </row>
    <row r="1969">
      <c r="A1969" s="66">
        <v>42592.0</v>
      </c>
      <c r="B1969" s="75" t="s">
        <v>926</v>
      </c>
    </row>
    <row r="1970">
      <c r="A1970" s="66">
        <v>42591.0</v>
      </c>
      <c r="B1970" s="75" t="s">
        <v>926</v>
      </c>
    </row>
    <row r="1971">
      <c r="A1971" s="66">
        <v>42590.0</v>
      </c>
      <c r="B1971" s="75" t="s">
        <v>964</v>
      </c>
    </row>
    <row r="1972">
      <c r="A1972" s="66">
        <v>42587.0</v>
      </c>
      <c r="B1972" s="75" t="s">
        <v>980</v>
      </c>
    </row>
    <row r="1973">
      <c r="A1973" s="66">
        <v>42586.0</v>
      </c>
      <c r="B1973" s="75" t="s">
        <v>979</v>
      </c>
    </row>
    <row r="1974">
      <c r="A1974" s="66">
        <v>42585.0</v>
      </c>
      <c r="B1974" s="75" t="s">
        <v>978</v>
      </c>
    </row>
    <row r="1975">
      <c r="A1975" s="66">
        <v>42584.0</v>
      </c>
      <c r="B1975" s="75" t="s">
        <v>970</v>
      </c>
    </row>
    <row r="1976">
      <c r="A1976" s="66">
        <v>42583.0</v>
      </c>
      <c r="B1976" s="75" t="s">
        <v>977</v>
      </c>
    </row>
    <row r="1977">
      <c r="A1977" s="66">
        <v>42580.0</v>
      </c>
      <c r="B1977" s="75" t="s">
        <v>976</v>
      </c>
    </row>
    <row r="1978">
      <c r="A1978" s="66">
        <v>42579.0</v>
      </c>
      <c r="B1978" s="75" t="s">
        <v>975</v>
      </c>
    </row>
    <row r="1979">
      <c r="A1979" s="66">
        <v>42578.0</v>
      </c>
      <c r="B1979" s="75" t="s">
        <v>970</v>
      </c>
    </row>
    <row r="1980">
      <c r="A1980" s="66">
        <v>42577.0</v>
      </c>
      <c r="B1980" s="75" t="s">
        <v>974</v>
      </c>
    </row>
    <row r="1981">
      <c r="A1981" s="66">
        <v>42576.0</v>
      </c>
      <c r="B1981" s="75" t="s">
        <v>973</v>
      </c>
    </row>
    <row r="1982">
      <c r="A1982" s="66">
        <v>42573.0</v>
      </c>
      <c r="B1982" s="75" t="s">
        <v>972</v>
      </c>
    </row>
    <row r="1983">
      <c r="A1983" s="66">
        <v>42572.0</v>
      </c>
      <c r="B1983" s="75" t="s">
        <v>928</v>
      </c>
    </row>
    <row r="1984">
      <c r="A1984" s="66">
        <v>42571.0</v>
      </c>
      <c r="B1984" s="75" t="s">
        <v>909</v>
      </c>
    </row>
    <row r="1985">
      <c r="A1985" s="66">
        <v>42570.0</v>
      </c>
      <c r="B1985" s="75" t="s">
        <v>971</v>
      </c>
    </row>
    <row r="1986">
      <c r="A1986" s="66">
        <v>42569.0</v>
      </c>
      <c r="B1986" s="75" t="s">
        <v>970</v>
      </c>
    </row>
    <row r="1987">
      <c r="A1987" s="66">
        <v>42566.0</v>
      </c>
      <c r="B1987" s="75" t="s">
        <v>969</v>
      </c>
    </row>
    <row r="1988">
      <c r="A1988" s="66">
        <v>42565.0</v>
      </c>
      <c r="B1988" s="75" t="s">
        <v>946</v>
      </c>
    </row>
    <row r="1989">
      <c r="A1989" s="66">
        <v>42564.0</v>
      </c>
      <c r="B1989" s="75" t="s">
        <v>906</v>
      </c>
    </row>
    <row r="1990">
      <c r="A1990" s="66">
        <v>42563.0</v>
      </c>
      <c r="B1990" s="75" t="s">
        <v>907</v>
      </c>
    </row>
    <row r="1991">
      <c r="A1991" s="66">
        <v>42562.0</v>
      </c>
      <c r="B1991" s="75" t="s">
        <v>901</v>
      </c>
    </row>
    <row r="1992">
      <c r="A1992" s="66">
        <v>42558.0</v>
      </c>
      <c r="B1992" s="75" t="s">
        <v>927</v>
      </c>
    </row>
    <row r="1993">
      <c r="A1993" s="66">
        <v>42557.0</v>
      </c>
      <c r="B1993" s="75" t="s">
        <v>968</v>
      </c>
    </row>
    <row r="1994">
      <c r="A1994" s="66">
        <v>42556.0</v>
      </c>
      <c r="B1994" s="75" t="s">
        <v>967</v>
      </c>
    </row>
    <row r="1995">
      <c r="A1995" s="66">
        <v>42552.0</v>
      </c>
      <c r="B1995" s="75" t="s">
        <v>931</v>
      </c>
    </row>
    <row r="1996">
      <c r="A1996" s="66">
        <v>42551.0</v>
      </c>
      <c r="B1996" s="75" t="s">
        <v>749</v>
      </c>
    </row>
    <row r="1997">
      <c r="A1997" s="66">
        <v>42550.0</v>
      </c>
      <c r="B1997" s="75" t="s">
        <v>966</v>
      </c>
    </row>
    <row r="1998">
      <c r="A1998" s="66">
        <v>42549.0</v>
      </c>
      <c r="B1998" s="75" t="s">
        <v>965</v>
      </c>
    </row>
    <row r="1999">
      <c r="A1999" s="66">
        <v>42548.0</v>
      </c>
      <c r="B1999" s="75" t="s">
        <v>964</v>
      </c>
    </row>
    <row r="2000">
      <c r="A2000" s="66">
        <v>42545.0</v>
      </c>
      <c r="B2000" s="75" t="s">
        <v>902</v>
      </c>
    </row>
    <row r="2001">
      <c r="A2001" s="66">
        <v>42544.0</v>
      </c>
      <c r="B2001" s="75" t="s">
        <v>963</v>
      </c>
    </row>
    <row r="2002">
      <c r="A2002" s="66">
        <v>42543.0</v>
      </c>
      <c r="B2002" s="75" t="s">
        <v>889</v>
      </c>
    </row>
    <row r="2003">
      <c r="A2003" s="66">
        <v>42542.0</v>
      </c>
      <c r="B2003" s="75" t="s">
        <v>959</v>
      </c>
    </row>
    <row r="2004">
      <c r="A2004" s="66">
        <v>42537.0</v>
      </c>
      <c r="B2004" s="75" t="s">
        <v>881</v>
      </c>
    </row>
    <row r="2005">
      <c r="A2005" s="66">
        <v>42536.0</v>
      </c>
      <c r="B2005" s="75" t="s">
        <v>962</v>
      </c>
    </row>
    <row r="2006">
      <c r="A2006" s="66">
        <v>42535.0</v>
      </c>
      <c r="B2006" s="75" t="s">
        <v>743</v>
      </c>
    </row>
    <row r="2007">
      <c r="A2007" s="66">
        <v>42534.0</v>
      </c>
      <c r="B2007" s="75" t="s">
        <v>961</v>
      </c>
    </row>
    <row r="2008">
      <c r="A2008" s="66">
        <v>42531.0</v>
      </c>
      <c r="B2008" s="75" t="s">
        <v>961</v>
      </c>
    </row>
    <row r="2009">
      <c r="A2009" s="66">
        <v>42530.0</v>
      </c>
      <c r="B2009" s="75" t="s">
        <v>743</v>
      </c>
    </row>
    <row r="2010">
      <c r="A2010" s="66">
        <v>42529.0</v>
      </c>
      <c r="B2010" s="75" t="s">
        <v>868</v>
      </c>
    </row>
    <row r="2011">
      <c r="A2011" s="66">
        <v>42528.0</v>
      </c>
      <c r="B2011" s="75" t="s">
        <v>883</v>
      </c>
    </row>
    <row r="2012">
      <c r="A2012" s="66">
        <v>42527.0</v>
      </c>
      <c r="B2012" s="75" t="s">
        <v>868</v>
      </c>
    </row>
    <row r="2013">
      <c r="A2013" s="66">
        <v>42524.0</v>
      </c>
      <c r="B2013" s="75" t="s">
        <v>959</v>
      </c>
    </row>
    <row r="2014">
      <c r="A2014" s="66">
        <v>42523.0</v>
      </c>
      <c r="B2014" s="75" t="s">
        <v>875</v>
      </c>
    </row>
    <row r="2015">
      <c r="A2015" s="66">
        <v>42522.0</v>
      </c>
      <c r="B2015" s="75" t="s">
        <v>915</v>
      </c>
    </row>
    <row r="2016">
      <c r="A2016" s="66">
        <v>42521.0</v>
      </c>
      <c r="B2016" s="75" t="s">
        <v>888</v>
      </c>
    </row>
    <row r="2017">
      <c r="A2017" s="66">
        <v>42517.0</v>
      </c>
      <c r="B2017" s="75" t="s">
        <v>888</v>
      </c>
    </row>
    <row r="2018">
      <c r="A2018" s="66">
        <v>42516.0</v>
      </c>
      <c r="B2018" s="75" t="s">
        <v>761</v>
      </c>
    </row>
    <row r="2019">
      <c r="A2019" s="66">
        <v>42514.0</v>
      </c>
      <c r="B2019" s="75" t="s">
        <v>870</v>
      </c>
    </row>
    <row r="2020">
      <c r="A2020" s="66">
        <v>42513.0</v>
      </c>
      <c r="B2020" s="75" t="s">
        <v>888</v>
      </c>
    </row>
    <row r="2021">
      <c r="A2021" s="66">
        <v>42510.0</v>
      </c>
      <c r="B2021" s="75" t="s">
        <v>960</v>
      </c>
    </row>
    <row r="2022">
      <c r="A2022" s="66">
        <v>42509.0</v>
      </c>
      <c r="B2022" s="75" t="s">
        <v>959</v>
      </c>
    </row>
    <row r="2023">
      <c r="A2023" s="66">
        <v>42508.0</v>
      </c>
      <c r="B2023" s="75" t="s">
        <v>875</v>
      </c>
    </row>
    <row r="2024">
      <c r="A2024" s="66">
        <v>42507.0</v>
      </c>
      <c r="B2024" s="75" t="s">
        <v>753</v>
      </c>
    </row>
    <row r="2025">
      <c r="A2025" s="66">
        <v>42506.0</v>
      </c>
      <c r="B2025" s="75" t="s">
        <v>753</v>
      </c>
    </row>
    <row r="2026">
      <c r="A2026" s="66">
        <v>42503.0</v>
      </c>
      <c r="B2026" s="75" t="s">
        <v>878</v>
      </c>
    </row>
    <row r="2027">
      <c r="A2027" s="66">
        <v>42502.0</v>
      </c>
      <c r="B2027" s="75" t="s">
        <v>878</v>
      </c>
    </row>
    <row r="2028">
      <c r="A2028" s="66">
        <v>42501.0</v>
      </c>
      <c r="B2028" s="75" t="s">
        <v>958</v>
      </c>
    </row>
    <row r="2029">
      <c r="A2029" s="66">
        <v>42500.0</v>
      </c>
      <c r="B2029" s="75" t="s">
        <v>958</v>
      </c>
    </row>
    <row r="2030">
      <c r="A2030" s="66">
        <v>42499.0</v>
      </c>
      <c r="B2030" s="75" t="s">
        <v>917</v>
      </c>
    </row>
    <row r="2031">
      <c r="A2031" s="66">
        <v>42496.0</v>
      </c>
      <c r="B2031" s="75" t="s">
        <v>919</v>
      </c>
    </row>
    <row r="2032">
      <c r="A2032" s="66">
        <v>42495.0</v>
      </c>
      <c r="B2032" s="75" t="s">
        <v>957</v>
      </c>
    </row>
    <row r="2033">
      <c r="A2033" s="66">
        <v>42494.0</v>
      </c>
      <c r="B2033" s="75" t="s">
        <v>912</v>
      </c>
    </row>
    <row r="2034">
      <c r="A2034" s="66">
        <v>42493.0</v>
      </c>
      <c r="B2034" s="75" t="s">
        <v>923</v>
      </c>
    </row>
    <row r="2035">
      <c r="A2035" s="66">
        <v>42492.0</v>
      </c>
      <c r="B2035" s="75" t="s">
        <v>914</v>
      </c>
    </row>
    <row r="2036">
      <c r="A2036" s="66">
        <v>42489.0</v>
      </c>
      <c r="B2036" s="75" t="s">
        <v>912</v>
      </c>
    </row>
    <row r="2037">
      <c r="A2037" s="66">
        <v>42488.0</v>
      </c>
      <c r="B2037" s="75" t="s">
        <v>896</v>
      </c>
    </row>
    <row r="2038">
      <c r="A2038" s="66">
        <v>42487.0</v>
      </c>
      <c r="B2038" s="75" t="s">
        <v>895</v>
      </c>
    </row>
    <row r="2039">
      <c r="A2039" s="66">
        <v>42486.0</v>
      </c>
      <c r="B2039" s="75" t="s">
        <v>956</v>
      </c>
    </row>
    <row r="2040">
      <c r="A2040" s="66">
        <v>42485.0</v>
      </c>
      <c r="B2040" s="75" t="s">
        <v>905</v>
      </c>
    </row>
    <row r="2041">
      <c r="A2041" s="66">
        <v>42482.0</v>
      </c>
      <c r="B2041" s="75" t="s">
        <v>904</v>
      </c>
    </row>
    <row r="2042">
      <c r="A2042" s="66">
        <v>42481.0</v>
      </c>
      <c r="B2042" s="75" t="s">
        <v>955</v>
      </c>
    </row>
    <row r="2043">
      <c r="A2043" s="66">
        <v>42480.0</v>
      </c>
      <c r="B2043" s="75" t="s">
        <v>924</v>
      </c>
    </row>
    <row r="2044">
      <c r="A2044" s="66">
        <v>42479.0</v>
      </c>
      <c r="B2044" s="75" t="s">
        <v>923</v>
      </c>
    </row>
    <row r="2045">
      <c r="A2045" s="66">
        <v>42478.0</v>
      </c>
      <c r="B2045" s="75" t="s">
        <v>894</v>
      </c>
    </row>
    <row r="2046">
      <c r="A2046" s="66">
        <v>42475.0</v>
      </c>
      <c r="B2046" s="75" t="s">
        <v>904</v>
      </c>
    </row>
    <row r="2047">
      <c r="A2047" s="66">
        <v>42474.0</v>
      </c>
      <c r="B2047" s="75" t="s">
        <v>754</v>
      </c>
    </row>
    <row r="2048">
      <c r="A2048" s="66">
        <v>42473.0</v>
      </c>
      <c r="B2048" s="75" t="s">
        <v>954</v>
      </c>
    </row>
    <row r="2049">
      <c r="A2049" s="66">
        <v>42472.0</v>
      </c>
      <c r="B2049" s="75" t="s">
        <v>953</v>
      </c>
    </row>
    <row r="2050">
      <c r="A2050" s="66">
        <v>42471.0</v>
      </c>
      <c r="B2050" s="75" t="s">
        <v>948</v>
      </c>
    </row>
    <row r="2051">
      <c r="A2051" s="66">
        <v>42468.0</v>
      </c>
      <c r="B2051" s="75" t="s">
        <v>953</v>
      </c>
    </row>
    <row r="2052">
      <c r="A2052" s="66">
        <v>42467.0</v>
      </c>
      <c r="B2052" s="75" t="s">
        <v>951</v>
      </c>
    </row>
    <row r="2053">
      <c r="A2053" s="66">
        <v>42466.0</v>
      </c>
      <c r="B2053" s="75" t="s">
        <v>907</v>
      </c>
    </row>
    <row r="2054">
      <c r="A2054" s="66">
        <v>42465.0</v>
      </c>
      <c r="B2054" s="75" t="s">
        <v>900</v>
      </c>
    </row>
    <row r="2055">
      <c r="A2055" s="66">
        <v>42464.0</v>
      </c>
      <c r="B2055" s="75" t="s">
        <v>900</v>
      </c>
    </row>
    <row r="2056">
      <c r="A2056" s="66">
        <v>42461.0</v>
      </c>
      <c r="B2056" s="75" t="s">
        <v>952</v>
      </c>
    </row>
    <row r="2057">
      <c r="A2057" s="66">
        <v>42460.0</v>
      </c>
      <c r="B2057" s="75" t="s">
        <v>907</v>
      </c>
    </row>
    <row r="2058">
      <c r="A2058" s="66">
        <v>42459.0</v>
      </c>
      <c r="B2058" s="75" t="s">
        <v>951</v>
      </c>
    </row>
    <row r="2059">
      <c r="A2059" s="66">
        <v>42458.0</v>
      </c>
      <c r="B2059" s="75" t="s">
        <v>950</v>
      </c>
    </row>
    <row r="2060">
      <c r="A2060" s="66">
        <v>42457.0</v>
      </c>
      <c r="B2060" s="75" t="s">
        <v>949</v>
      </c>
    </row>
    <row r="2061">
      <c r="A2061" s="66">
        <v>42452.0</v>
      </c>
      <c r="B2061" s="75" t="s">
        <v>897</v>
      </c>
    </row>
    <row r="2062">
      <c r="A2062" s="66">
        <v>42451.0</v>
      </c>
      <c r="B2062" s="75" t="s">
        <v>948</v>
      </c>
    </row>
    <row r="2063">
      <c r="A2063" s="66">
        <v>42450.0</v>
      </c>
      <c r="B2063" s="75" t="s">
        <v>947</v>
      </c>
    </row>
    <row r="2064">
      <c r="A2064" s="66">
        <v>42447.0</v>
      </c>
      <c r="B2064" s="75" t="s">
        <v>911</v>
      </c>
    </row>
    <row r="2065">
      <c r="A2065" s="66">
        <v>42446.0</v>
      </c>
      <c r="B2065" s="75" t="s">
        <v>946</v>
      </c>
    </row>
    <row r="2066">
      <c r="A2066" s="66">
        <v>42445.0</v>
      </c>
      <c r="B2066" s="75" t="s">
        <v>945</v>
      </c>
    </row>
    <row r="2067">
      <c r="A2067" s="66">
        <v>42444.0</v>
      </c>
      <c r="B2067" s="75" t="s">
        <v>944</v>
      </c>
    </row>
    <row r="2068">
      <c r="A2068" s="66">
        <v>42443.0</v>
      </c>
      <c r="B2068" s="75" t="s">
        <v>927</v>
      </c>
    </row>
    <row r="2069">
      <c r="A2069" s="66">
        <v>42440.0</v>
      </c>
      <c r="B2069" s="75" t="s">
        <v>943</v>
      </c>
    </row>
    <row r="2070">
      <c r="A2070" s="66">
        <v>42439.0</v>
      </c>
      <c r="B2070" s="75" t="s">
        <v>910</v>
      </c>
    </row>
    <row r="2071">
      <c r="A2071" s="66">
        <v>42438.0</v>
      </c>
      <c r="B2071" s="75" t="s">
        <v>942</v>
      </c>
    </row>
    <row r="2072">
      <c r="A2072" s="66">
        <v>42437.0</v>
      </c>
      <c r="B2072" s="75" t="s">
        <v>941</v>
      </c>
    </row>
    <row r="2073">
      <c r="A2073" s="66">
        <v>42436.0</v>
      </c>
      <c r="B2073" s="75" t="s">
        <v>940</v>
      </c>
    </row>
    <row r="2074">
      <c r="A2074" s="66">
        <v>42433.0</v>
      </c>
      <c r="B2074" s="75" t="s">
        <v>939</v>
      </c>
    </row>
    <row r="2075">
      <c r="A2075" s="66">
        <v>42432.0</v>
      </c>
      <c r="B2075" s="75" t="s">
        <v>938</v>
      </c>
    </row>
    <row r="2076">
      <c r="A2076" s="66">
        <v>42431.0</v>
      </c>
      <c r="B2076" s="75" t="s">
        <v>937</v>
      </c>
    </row>
    <row r="2077">
      <c r="A2077" s="66">
        <v>42430.0</v>
      </c>
      <c r="B2077" s="75" t="s">
        <v>936</v>
      </c>
    </row>
    <row r="2078">
      <c r="A2078" s="66">
        <v>42429.0</v>
      </c>
      <c r="B2078" s="75" t="s">
        <v>935</v>
      </c>
    </row>
    <row r="2079">
      <c r="A2079" s="66">
        <v>42426.0</v>
      </c>
      <c r="B2079" s="75" t="s">
        <v>934</v>
      </c>
    </row>
    <row r="2080">
      <c r="A2080" s="66">
        <v>42425.0</v>
      </c>
      <c r="B2080" s="75" t="s">
        <v>933</v>
      </c>
    </row>
    <row r="2081">
      <c r="A2081" s="66">
        <v>42424.0</v>
      </c>
      <c r="B2081" s="75" t="s">
        <v>932</v>
      </c>
    </row>
    <row r="2082">
      <c r="A2082" s="66">
        <v>42423.0</v>
      </c>
      <c r="B2082" s="75" t="s">
        <v>931</v>
      </c>
    </row>
    <row r="2083">
      <c r="A2083" s="66">
        <v>42422.0</v>
      </c>
      <c r="B2083" s="75" t="s">
        <v>749</v>
      </c>
    </row>
    <row r="2084">
      <c r="A2084" s="66">
        <v>42419.0</v>
      </c>
      <c r="B2084" s="75" t="s">
        <v>930</v>
      </c>
    </row>
    <row r="2085">
      <c r="A2085" s="66">
        <v>42418.0</v>
      </c>
      <c r="B2085" s="75" t="s">
        <v>929</v>
      </c>
    </row>
    <row r="2086">
      <c r="A2086" s="66">
        <v>42417.0</v>
      </c>
      <c r="B2086" s="75" t="s">
        <v>910</v>
      </c>
    </row>
    <row r="2087">
      <c r="A2087" s="66">
        <v>42416.0</v>
      </c>
      <c r="B2087" s="75" t="s">
        <v>928</v>
      </c>
    </row>
    <row r="2088">
      <c r="A2088" s="66">
        <v>42412.0</v>
      </c>
      <c r="B2088" s="75" t="s">
        <v>927</v>
      </c>
    </row>
    <row r="2089">
      <c r="A2089" s="66">
        <v>42411.0</v>
      </c>
      <c r="B2089" s="75" t="s">
        <v>926</v>
      </c>
    </row>
    <row r="2090">
      <c r="A2090" s="66">
        <v>42410.0</v>
      </c>
      <c r="B2090" s="75" t="s">
        <v>925</v>
      </c>
    </row>
    <row r="2091">
      <c r="A2091" s="66">
        <v>42405.0</v>
      </c>
      <c r="B2091" s="75" t="s">
        <v>904</v>
      </c>
    </row>
    <row r="2092">
      <c r="A2092" s="66">
        <v>42404.0</v>
      </c>
      <c r="B2092" s="75" t="s">
        <v>924</v>
      </c>
    </row>
    <row r="2093">
      <c r="A2093" s="66">
        <v>42403.0</v>
      </c>
      <c r="B2093" s="75" t="s">
        <v>913</v>
      </c>
    </row>
    <row r="2094">
      <c r="A2094" s="66">
        <v>42402.0</v>
      </c>
      <c r="B2094" s="75" t="s">
        <v>903</v>
      </c>
    </row>
    <row r="2095">
      <c r="A2095" s="66">
        <v>42401.0</v>
      </c>
      <c r="B2095" s="75" t="s">
        <v>923</v>
      </c>
    </row>
    <row r="2096">
      <c r="A2096" s="66">
        <v>42398.0</v>
      </c>
      <c r="B2096" s="75" t="s">
        <v>868</v>
      </c>
    </row>
    <row r="2097">
      <c r="A2097" s="66">
        <v>42397.0</v>
      </c>
      <c r="B2097" s="75" t="s">
        <v>922</v>
      </c>
    </row>
    <row r="2098">
      <c r="A2098" s="66">
        <v>42396.0</v>
      </c>
      <c r="B2098" s="75" t="s">
        <v>922</v>
      </c>
    </row>
    <row r="2099">
      <c r="A2099" s="66">
        <v>42395.0</v>
      </c>
      <c r="B2099" s="75" t="s">
        <v>884</v>
      </c>
    </row>
    <row r="2100">
      <c r="A2100" s="66">
        <v>42394.0</v>
      </c>
      <c r="B2100" s="75" t="s">
        <v>915</v>
      </c>
    </row>
    <row r="2101">
      <c r="A2101" s="66">
        <v>42391.0</v>
      </c>
      <c r="B2101" s="75" t="s">
        <v>867</v>
      </c>
    </row>
    <row r="2102">
      <c r="A2102" s="66">
        <v>42390.0</v>
      </c>
      <c r="B2102" s="75" t="s">
        <v>893</v>
      </c>
    </row>
    <row r="2103">
      <c r="A2103" s="66">
        <v>42389.0</v>
      </c>
      <c r="B2103" s="75" t="s">
        <v>751</v>
      </c>
    </row>
    <row r="2104">
      <c r="A2104" s="66">
        <v>42388.0</v>
      </c>
      <c r="B2104" s="75" t="s">
        <v>921</v>
      </c>
    </row>
    <row r="2105">
      <c r="A2105" s="66">
        <v>42384.0</v>
      </c>
      <c r="B2105" s="75" t="s">
        <v>920</v>
      </c>
    </row>
    <row r="2106">
      <c r="A2106" s="66">
        <v>42383.0</v>
      </c>
      <c r="B2106" s="75" t="s">
        <v>880</v>
      </c>
    </row>
    <row r="2107">
      <c r="A2107" s="66">
        <v>42382.0</v>
      </c>
      <c r="B2107" s="75" t="s">
        <v>870</v>
      </c>
    </row>
    <row r="2108">
      <c r="A2108" s="66">
        <v>42381.0</v>
      </c>
      <c r="B2108" s="75" t="s">
        <v>919</v>
      </c>
    </row>
    <row r="2109">
      <c r="A2109" s="66">
        <v>42380.0</v>
      </c>
      <c r="B2109" s="75" t="s">
        <v>905</v>
      </c>
    </row>
    <row r="2110">
      <c r="A2110" s="66">
        <v>42377.0</v>
      </c>
      <c r="B2110" s="75" t="s">
        <v>918</v>
      </c>
    </row>
    <row r="2111">
      <c r="A2111" s="66">
        <v>42376.0</v>
      </c>
      <c r="B2111" s="75" t="s">
        <v>917</v>
      </c>
    </row>
    <row r="2112">
      <c r="A2112" s="66">
        <v>42375.0</v>
      </c>
      <c r="B2112" s="75" t="s">
        <v>916</v>
      </c>
    </row>
    <row r="2113">
      <c r="A2113" s="66">
        <v>42374.0</v>
      </c>
      <c r="B2113" s="75" t="s">
        <v>891</v>
      </c>
    </row>
    <row r="2114">
      <c r="A2114" s="66">
        <v>42373.0</v>
      </c>
      <c r="B2114" s="75" t="s">
        <v>892</v>
      </c>
    </row>
    <row r="2115">
      <c r="A2115" s="66">
        <v>42368.0</v>
      </c>
      <c r="B2115" s="75" t="s">
        <v>915</v>
      </c>
    </row>
    <row r="2116">
      <c r="A2116" s="66">
        <v>42367.0</v>
      </c>
      <c r="B2116" s="75" t="s">
        <v>914</v>
      </c>
    </row>
    <row r="2117">
      <c r="A2117" s="66">
        <v>42366.0</v>
      </c>
      <c r="B2117" s="75" t="s">
        <v>913</v>
      </c>
    </row>
    <row r="2118">
      <c r="A2118" s="66">
        <v>42361.0</v>
      </c>
      <c r="B2118" s="75" t="s">
        <v>751</v>
      </c>
    </row>
    <row r="2119">
      <c r="A2119" s="66">
        <v>42360.0</v>
      </c>
      <c r="B2119" s="75" t="s">
        <v>867</v>
      </c>
    </row>
    <row r="2120">
      <c r="A2120" s="66">
        <v>42359.0</v>
      </c>
      <c r="B2120" s="75" t="s">
        <v>883</v>
      </c>
    </row>
    <row r="2121">
      <c r="A2121" s="66">
        <v>42356.0</v>
      </c>
      <c r="B2121" s="75" t="s">
        <v>884</v>
      </c>
    </row>
    <row r="2122">
      <c r="A2122" s="66">
        <v>42355.0</v>
      </c>
      <c r="B2122" s="75" t="s">
        <v>912</v>
      </c>
    </row>
    <row r="2123">
      <c r="A2123" s="66">
        <v>42354.0</v>
      </c>
      <c r="B2123" s="75" t="s">
        <v>744</v>
      </c>
    </row>
    <row r="2124">
      <c r="A2124" s="66">
        <v>42353.0</v>
      </c>
      <c r="B2124" s="75" t="s">
        <v>911</v>
      </c>
    </row>
    <row r="2125">
      <c r="A2125" s="66">
        <v>42352.0</v>
      </c>
      <c r="B2125" s="75" t="s">
        <v>908</v>
      </c>
    </row>
    <row r="2126">
      <c r="A2126" s="66">
        <v>42349.0</v>
      </c>
      <c r="B2126" s="75" t="s">
        <v>910</v>
      </c>
    </row>
    <row r="2127">
      <c r="A2127" s="66">
        <v>42348.0</v>
      </c>
      <c r="B2127" s="75" t="s">
        <v>909</v>
      </c>
    </row>
    <row r="2128">
      <c r="A2128" s="66">
        <v>42347.0</v>
      </c>
      <c r="B2128" s="75" t="s">
        <v>908</v>
      </c>
    </row>
    <row r="2129">
      <c r="A2129" s="66">
        <v>42342.0</v>
      </c>
      <c r="B2129" s="75" t="s">
        <v>907</v>
      </c>
    </row>
    <row r="2130">
      <c r="A2130" s="66">
        <v>42341.0</v>
      </c>
      <c r="B2130" s="75" t="s">
        <v>746</v>
      </c>
    </row>
    <row r="2131">
      <c r="A2131" s="66">
        <v>42340.0</v>
      </c>
      <c r="B2131" s="75" t="s">
        <v>906</v>
      </c>
    </row>
    <row r="2132">
      <c r="A2132" s="66">
        <v>42339.0</v>
      </c>
      <c r="B2132" s="75" t="s">
        <v>905</v>
      </c>
    </row>
    <row r="2133">
      <c r="A2133" s="66">
        <v>42338.0</v>
      </c>
      <c r="B2133" s="75" t="s">
        <v>904</v>
      </c>
    </row>
    <row r="2134">
      <c r="A2134" s="66">
        <v>42333.0</v>
      </c>
      <c r="B2134" s="75" t="s">
        <v>903</v>
      </c>
    </row>
    <row r="2135">
      <c r="A2135" s="66">
        <v>42332.0</v>
      </c>
      <c r="B2135" s="75" t="s">
        <v>902</v>
      </c>
    </row>
    <row r="2136">
      <c r="A2136" s="66">
        <v>42331.0</v>
      </c>
      <c r="B2136" s="75" t="s">
        <v>900</v>
      </c>
    </row>
    <row r="2137">
      <c r="A2137" s="66">
        <v>42328.0</v>
      </c>
      <c r="B2137" s="75" t="s">
        <v>901</v>
      </c>
    </row>
    <row r="2138">
      <c r="A2138" s="66">
        <v>42327.0</v>
      </c>
      <c r="B2138" s="75" t="s">
        <v>900</v>
      </c>
    </row>
    <row r="2139">
      <c r="A2139" s="66">
        <v>42326.0</v>
      </c>
      <c r="B2139" s="75" t="s">
        <v>899</v>
      </c>
    </row>
    <row r="2140">
      <c r="A2140" s="66">
        <v>42325.0</v>
      </c>
      <c r="B2140" s="75" t="s">
        <v>898</v>
      </c>
    </row>
    <row r="2141">
      <c r="A2141" s="66">
        <v>42324.0</v>
      </c>
      <c r="B2141" s="75" t="s">
        <v>897</v>
      </c>
    </row>
    <row r="2142">
      <c r="A2142" s="66">
        <v>42321.0</v>
      </c>
      <c r="B2142" s="75" t="s">
        <v>895</v>
      </c>
    </row>
    <row r="2143">
      <c r="A2143" s="66">
        <v>42320.0</v>
      </c>
      <c r="B2143" s="75" t="s">
        <v>896</v>
      </c>
    </row>
    <row r="2144">
      <c r="A2144" s="66">
        <v>42319.0</v>
      </c>
      <c r="B2144" s="75" t="s">
        <v>895</v>
      </c>
    </row>
    <row r="2145">
      <c r="A2145" s="66">
        <v>42318.0</v>
      </c>
      <c r="B2145" s="75" t="s">
        <v>894</v>
      </c>
    </row>
    <row r="2146">
      <c r="A2146" s="66">
        <v>42317.0</v>
      </c>
      <c r="B2146" s="75" t="s">
        <v>893</v>
      </c>
    </row>
    <row r="2147">
      <c r="A2147" s="66">
        <v>42313.0</v>
      </c>
      <c r="B2147" s="75" t="s">
        <v>867</v>
      </c>
    </row>
    <row r="2148">
      <c r="A2148" s="66">
        <v>42312.0</v>
      </c>
      <c r="B2148" s="75" t="s">
        <v>755</v>
      </c>
    </row>
    <row r="2149">
      <c r="A2149" s="66">
        <v>42311.0</v>
      </c>
      <c r="B2149" s="75" t="s">
        <v>867</v>
      </c>
    </row>
    <row r="2150">
      <c r="A2150" s="66">
        <v>42310.0</v>
      </c>
      <c r="B2150" s="75" t="s">
        <v>892</v>
      </c>
    </row>
    <row r="2151">
      <c r="A2151" s="66">
        <v>42307.0</v>
      </c>
      <c r="B2151" s="75" t="s">
        <v>891</v>
      </c>
    </row>
    <row r="2152">
      <c r="A2152" s="66">
        <v>42306.0</v>
      </c>
      <c r="B2152" s="75" t="s">
        <v>760</v>
      </c>
    </row>
    <row r="2153">
      <c r="A2153" s="66">
        <v>42305.0</v>
      </c>
      <c r="B2153" s="75" t="s">
        <v>890</v>
      </c>
    </row>
    <row r="2154">
      <c r="A2154" s="66">
        <v>42304.0</v>
      </c>
      <c r="B2154" s="75" t="s">
        <v>873</v>
      </c>
    </row>
    <row r="2155">
      <c r="A2155" s="66">
        <v>42303.0</v>
      </c>
      <c r="B2155" s="75" t="s">
        <v>877</v>
      </c>
    </row>
    <row r="2156">
      <c r="A2156" s="66">
        <v>42300.0</v>
      </c>
      <c r="B2156" s="75" t="s">
        <v>889</v>
      </c>
    </row>
    <row r="2157">
      <c r="A2157" s="66">
        <v>42299.0</v>
      </c>
      <c r="B2157" s="75" t="s">
        <v>873</v>
      </c>
    </row>
    <row r="2158">
      <c r="A2158" s="66">
        <v>42298.0</v>
      </c>
      <c r="B2158" s="75" t="s">
        <v>882</v>
      </c>
    </row>
    <row r="2159">
      <c r="A2159" s="66">
        <v>42297.0</v>
      </c>
      <c r="B2159" s="75" t="s">
        <v>888</v>
      </c>
    </row>
    <row r="2160">
      <c r="A2160" s="66">
        <v>42296.0</v>
      </c>
      <c r="B2160" s="75" t="s">
        <v>870</v>
      </c>
    </row>
    <row r="2161">
      <c r="A2161" s="66">
        <v>42293.0</v>
      </c>
      <c r="B2161" s="75" t="s">
        <v>866</v>
      </c>
    </row>
    <row r="2162">
      <c r="A2162" s="66">
        <v>42292.0</v>
      </c>
      <c r="B2162" s="75" t="s">
        <v>887</v>
      </c>
    </row>
    <row r="2163">
      <c r="A2163" s="66">
        <v>42291.0</v>
      </c>
      <c r="B2163" s="75" t="s">
        <v>886</v>
      </c>
    </row>
    <row r="2164">
      <c r="A2164" s="66">
        <v>42290.0</v>
      </c>
      <c r="B2164" s="75" t="s">
        <v>872</v>
      </c>
    </row>
    <row r="2165">
      <c r="A2165" s="66">
        <v>42286.0</v>
      </c>
      <c r="B2165" s="75" t="s">
        <v>881</v>
      </c>
    </row>
    <row r="2166">
      <c r="A2166" s="66">
        <v>42285.0</v>
      </c>
      <c r="B2166" s="75" t="s">
        <v>882</v>
      </c>
    </row>
    <row r="2167">
      <c r="A2167" s="66">
        <v>42284.0</v>
      </c>
      <c r="B2167" s="75" t="s">
        <v>885</v>
      </c>
    </row>
    <row r="2168">
      <c r="A2168" s="66">
        <v>42283.0</v>
      </c>
      <c r="B2168" s="75" t="s">
        <v>884</v>
      </c>
    </row>
    <row r="2169">
      <c r="A2169" s="66">
        <v>42282.0</v>
      </c>
      <c r="B2169" s="75" t="s">
        <v>751</v>
      </c>
    </row>
    <row r="2170">
      <c r="A2170" s="66">
        <v>42279.0</v>
      </c>
      <c r="B2170" s="75" t="s">
        <v>760</v>
      </c>
    </row>
    <row r="2171">
      <c r="A2171" s="66">
        <v>42278.0</v>
      </c>
      <c r="B2171" s="75" t="s">
        <v>883</v>
      </c>
    </row>
    <row r="2172">
      <c r="A2172" s="66">
        <v>42277.0</v>
      </c>
      <c r="B2172" s="75" t="s">
        <v>882</v>
      </c>
    </row>
    <row r="2173">
      <c r="A2173" s="66">
        <v>42276.0</v>
      </c>
      <c r="B2173" s="75" t="s">
        <v>881</v>
      </c>
    </row>
    <row r="2174">
      <c r="A2174" s="66">
        <v>42275.0</v>
      </c>
      <c r="B2174" s="75" t="s">
        <v>880</v>
      </c>
    </row>
    <row r="2175">
      <c r="A2175" s="66">
        <v>42272.0</v>
      </c>
      <c r="B2175" s="75" t="s">
        <v>854</v>
      </c>
    </row>
    <row r="2176">
      <c r="A2176" s="66">
        <v>42271.0</v>
      </c>
      <c r="B2176" s="75" t="s">
        <v>734</v>
      </c>
    </row>
    <row r="2177">
      <c r="A2177" s="66">
        <v>42270.0</v>
      </c>
      <c r="B2177" s="75" t="s">
        <v>879</v>
      </c>
    </row>
    <row r="2178">
      <c r="A2178" s="66">
        <v>42269.0</v>
      </c>
      <c r="B2178" s="75" t="s">
        <v>878</v>
      </c>
    </row>
    <row r="2179">
      <c r="A2179" s="66">
        <v>42268.0</v>
      </c>
      <c r="B2179" s="75" t="s">
        <v>753</v>
      </c>
    </row>
    <row r="2180">
      <c r="A2180" s="66">
        <v>42265.0</v>
      </c>
      <c r="B2180" s="75" t="s">
        <v>876</v>
      </c>
    </row>
    <row r="2181">
      <c r="A2181" s="66">
        <v>42264.0</v>
      </c>
      <c r="B2181" s="75" t="s">
        <v>876</v>
      </c>
    </row>
    <row r="2182">
      <c r="A2182" s="66">
        <v>42263.0</v>
      </c>
      <c r="B2182" s="75" t="s">
        <v>877</v>
      </c>
    </row>
    <row r="2183">
      <c r="A2183" s="66">
        <v>42262.0</v>
      </c>
      <c r="B2183" s="75" t="s">
        <v>876</v>
      </c>
    </row>
    <row r="2184">
      <c r="A2184" s="66">
        <v>42261.0</v>
      </c>
      <c r="B2184" s="75" t="s">
        <v>875</v>
      </c>
    </row>
    <row r="2185">
      <c r="A2185" s="66">
        <v>42258.0</v>
      </c>
      <c r="B2185" s="75" t="s">
        <v>874</v>
      </c>
    </row>
    <row r="2186">
      <c r="A2186" s="66">
        <v>42257.0</v>
      </c>
      <c r="B2186" s="75" t="s">
        <v>873</v>
      </c>
    </row>
    <row r="2187">
      <c r="A2187" s="66">
        <v>42256.0</v>
      </c>
      <c r="B2187" s="75" t="s">
        <v>761</v>
      </c>
    </row>
    <row r="2188">
      <c r="A2188" s="66">
        <v>42255.0</v>
      </c>
      <c r="B2188" s="75" t="s">
        <v>872</v>
      </c>
    </row>
    <row r="2189">
      <c r="A2189" s="66">
        <v>42251.0</v>
      </c>
      <c r="B2189" s="75" t="s">
        <v>872</v>
      </c>
    </row>
    <row r="2190">
      <c r="A2190" s="66">
        <v>42250.0</v>
      </c>
      <c r="B2190" s="75" t="s">
        <v>871</v>
      </c>
    </row>
    <row r="2191">
      <c r="A2191" s="66">
        <v>42249.0</v>
      </c>
      <c r="B2191" s="75" t="s">
        <v>870</v>
      </c>
    </row>
    <row r="2192">
      <c r="A2192" s="66">
        <v>42248.0</v>
      </c>
      <c r="B2192" s="75" t="s">
        <v>743</v>
      </c>
    </row>
    <row r="2193">
      <c r="A2193" s="66">
        <v>42247.0</v>
      </c>
      <c r="B2193" s="75" t="s">
        <v>869</v>
      </c>
    </row>
    <row r="2194">
      <c r="A2194" s="66">
        <v>42244.0</v>
      </c>
      <c r="B2194" s="75" t="s">
        <v>868</v>
      </c>
    </row>
    <row r="2195">
      <c r="A2195" s="66">
        <v>42243.0</v>
      </c>
      <c r="B2195" s="75" t="s">
        <v>867</v>
      </c>
    </row>
    <row r="2196">
      <c r="A2196" s="66">
        <v>42242.0</v>
      </c>
      <c r="B2196" s="75" t="s">
        <v>866</v>
      </c>
    </row>
    <row r="2197">
      <c r="A2197" s="66">
        <v>42241.0</v>
      </c>
      <c r="B2197" s="75" t="s">
        <v>865</v>
      </c>
    </row>
    <row r="2198">
      <c r="A2198" s="66">
        <v>42240.0</v>
      </c>
      <c r="B2198" s="75" t="s">
        <v>864</v>
      </c>
    </row>
    <row r="2199">
      <c r="A2199" s="66">
        <v>42237.0</v>
      </c>
      <c r="B2199" s="75" t="s">
        <v>756</v>
      </c>
    </row>
    <row r="2200">
      <c r="A2200" s="66">
        <v>42236.0</v>
      </c>
      <c r="B2200" s="75" t="s">
        <v>740</v>
      </c>
    </row>
    <row r="2201">
      <c r="A2201" s="66">
        <v>42235.0</v>
      </c>
      <c r="B2201" s="75" t="s">
        <v>862</v>
      </c>
    </row>
    <row r="2202">
      <c r="A2202" s="66">
        <v>42234.0</v>
      </c>
      <c r="B2202" s="75" t="s">
        <v>863</v>
      </c>
    </row>
    <row r="2203">
      <c r="A2203" s="66">
        <v>42230.0</v>
      </c>
      <c r="B2203" s="75" t="s">
        <v>862</v>
      </c>
    </row>
    <row r="2204">
      <c r="A2204" s="66">
        <v>42229.0</v>
      </c>
      <c r="B2204" s="75" t="s">
        <v>862</v>
      </c>
    </row>
    <row r="2205">
      <c r="A2205" s="66">
        <v>42228.0</v>
      </c>
      <c r="B2205" s="75" t="s">
        <v>861</v>
      </c>
    </row>
    <row r="2206">
      <c r="A2206" s="66">
        <v>42227.0</v>
      </c>
      <c r="B2206" s="75" t="s">
        <v>853</v>
      </c>
    </row>
    <row r="2207">
      <c r="A2207" s="66">
        <v>42226.0</v>
      </c>
      <c r="B2207" s="75" t="s">
        <v>860</v>
      </c>
    </row>
    <row r="2208">
      <c r="A2208" s="66">
        <v>42223.0</v>
      </c>
      <c r="B2208" s="75" t="s">
        <v>739</v>
      </c>
    </row>
    <row r="2209">
      <c r="A2209" s="66">
        <v>42222.0</v>
      </c>
      <c r="B2209" s="75" t="s">
        <v>854</v>
      </c>
    </row>
    <row r="2210">
      <c r="A2210" s="66">
        <v>42221.0</v>
      </c>
      <c r="B2210" s="75" t="s">
        <v>859</v>
      </c>
    </row>
    <row r="2211">
      <c r="A2211" s="66">
        <v>42220.0</v>
      </c>
      <c r="B2211" s="75" t="s">
        <v>858</v>
      </c>
    </row>
    <row r="2212">
      <c r="A2212" s="66">
        <v>42219.0</v>
      </c>
      <c r="B2212" s="75" t="s">
        <v>857</v>
      </c>
    </row>
    <row r="2213">
      <c r="A2213" s="66">
        <v>42216.0</v>
      </c>
      <c r="B2213" s="75" t="s">
        <v>852</v>
      </c>
    </row>
    <row r="2214">
      <c r="A2214" s="66">
        <v>42215.0</v>
      </c>
      <c r="B2214" s="75" t="s">
        <v>758</v>
      </c>
    </row>
    <row r="2215">
      <c r="A2215" s="66">
        <v>42214.0</v>
      </c>
      <c r="B2215" s="75" t="s">
        <v>736</v>
      </c>
    </row>
    <row r="2216">
      <c r="A2216" s="66">
        <v>42213.0</v>
      </c>
      <c r="B2216" s="75" t="s">
        <v>850</v>
      </c>
    </row>
    <row r="2217">
      <c r="A2217" s="66">
        <v>42212.0</v>
      </c>
      <c r="B2217" s="75" t="s">
        <v>850</v>
      </c>
    </row>
    <row r="2218">
      <c r="A2218" s="66">
        <v>42209.0</v>
      </c>
      <c r="B2218" s="75" t="s">
        <v>854</v>
      </c>
    </row>
    <row r="2219">
      <c r="A2219" s="66">
        <v>42208.0</v>
      </c>
      <c r="B2219" s="75" t="s">
        <v>739</v>
      </c>
    </row>
    <row r="2220">
      <c r="A2220" s="66">
        <v>42207.0</v>
      </c>
      <c r="B2220" s="75" t="s">
        <v>856</v>
      </c>
    </row>
    <row r="2221">
      <c r="A2221" s="66">
        <v>42206.0</v>
      </c>
      <c r="B2221" s="75" t="s">
        <v>855</v>
      </c>
    </row>
    <row r="2222">
      <c r="A2222" s="66">
        <v>42205.0</v>
      </c>
      <c r="B2222" s="75" t="s">
        <v>854</v>
      </c>
    </row>
    <row r="2223">
      <c r="A2223" s="66">
        <v>42202.0</v>
      </c>
      <c r="B2223" s="75" t="s">
        <v>851</v>
      </c>
    </row>
    <row r="2224">
      <c r="A2224" s="66">
        <v>42201.0</v>
      </c>
      <c r="B2224" s="75" t="s">
        <v>757</v>
      </c>
    </row>
    <row r="2225">
      <c r="A2225" s="66">
        <v>42200.0</v>
      </c>
      <c r="B2225" s="75" t="s">
        <v>853</v>
      </c>
    </row>
    <row r="2226">
      <c r="A2226" s="66">
        <v>42199.0</v>
      </c>
      <c r="B2226" s="75" t="s">
        <v>737</v>
      </c>
    </row>
    <row r="2227">
      <c r="A2227" s="66">
        <v>42198.0</v>
      </c>
      <c r="B2227" s="75" t="s">
        <v>854</v>
      </c>
    </row>
    <row r="2228">
      <c r="A2228" s="66">
        <v>42195.0</v>
      </c>
      <c r="B2228" s="75" t="s">
        <v>853</v>
      </c>
    </row>
    <row r="2229">
      <c r="A2229" s="66">
        <v>42193.0</v>
      </c>
      <c r="B2229" s="75" t="s">
        <v>852</v>
      </c>
    </row>
    <row r="2230">
      <c r="A2230" s="66">
        <v>42192.0</v>
      </c>
      <c r="B2230" s="75" t="s">
        <v>851</v>
      </c>
    </row>
    <row r="2231">
      <c r="A2231" s="66">
        <v>42191.0</v>
      </c>
      <c r="B2231" s="75" t="s">
        <v>765</v>
      </c>
    </row>
    <row r="2232">
      <c r="A2232" s="66">
        <v>42187.0</v>
      </c>
      <c r="B2232" s="75" t="s">
        <v>770</v>
      </c>
    </row>
    <row r="2233">
      <c r="A2233" s="66">
        <v>42186.0</v>
      </c>
      <c r="B2233" s="75" t="s">
        <v>850</v>
      </c>
    </row>
    <row r="2234">
      <c r="A2234" s="66">
        <v>42185.0</v>
      </c>
      <c r="B2234" s="75" t="s">
        <v>849</v>
      </c>
    </row>
    <row r="2235">
      <c r="A2235" s="66">
        <v>42184.0</v>
      </c>
      <c r="B2235" s="75" t="s">
        <v>848</v>
      </c>
    </row>
    <row r="2236">
      <c r="A2236" s="66">
        <v>42181.0</v>
      </c>
      <c r="B2236" s="75" t="s">
        <v>847</v>
      </c>
    </row>
    <row r="2237">
      <c r="A2237" s="66">
        <v>42180.0</v>
      </c>
      <c r="B2237" s="75" t="s">
        <v>846</v>
      </c>
    </row>
    <row r="2238">
      <c r="A2238" s="66">
        <v>42179.0</v>
      </c>
      <c r="B2238" s="75" t="s">
        <v>845</v>
      </c>
    </row>
    <row r="2239">
      <c r="A2239" s="66">
        <v>42178.0</v>
      </c>
      <c r="B2239" s="75" t="s">
        <v>844</v>
      </c>
    </row>
    <row r="2240">
      <c r="A2240" s="66">
        <v>42177.0</v>
      </c>
      <c r="B2240" s="75" t="s">
        <v>843</v>
      </c>
    </row>
    <row r="2241">
      <c r="A2241" s="66">
        <v>42174.0</v>
      </c>
      <c r="B2241" s="75" t="s">
        <v>639</v>
      </c>
    </row>
    <row r="2242">
      <c r="A2242" s="66">
        <v>42173.0</v>
      </c>
      <c r="B2242" s="75" t="s">
        <v>808</v>
      </c>
    </row>
    <row r="2243">
      <c r="A2243" s="66">
        <v>42172.0</v>
      </c>
      <c r="B2243" s="75" t="s">
        <v>802</v>
      </c>
    </row>
    <row r="2244">
      <c r="A2244" s="66">
        <v>42171.0</v>
      </c>
      <c r="B2244" s="75" t="s">
        <v>825</v>
      </c>
    </row>
    <row r="2245">
      <c r="A2245" s="66">
        <v>42170.0</v>
      </c>
      <c r="B2245" s="75" t="s">
        <v>817</v>
      </c>
    </row>
    <row r="2246">
      <c r="A2246" s="66">
        <v>42167.0</v>
      </c>
      <c r="B2246" s="75" t="s">
        <v>819</v>
      </c>
    </row>
    <row r="2247">
      <c r="A2247" s="66">
        <v>42166.0</v>
      </c>
      <c r="B2247" s="75" t="s">
        <v>837</v>
      </c>
    </row>
    <row r="2248">
      <c r="A2248" s="66">
        <v>42165.0</v>
      </c>
      <c r="B2248" s="75" t="s">
        <v>720</v>
      </c>
    </row>
    <row r="2249">
      <c r="A2249" s="66">
        <v>42164.0</v>
      </c>
      <c r="B2249" s="75" t="s">
        <v>842</v>
      </c>
    </row>
    <row r="2250">
      <c r="A2250" s="66">
        <v>42163.0</v>
      </c>
      <c r="B2250" s="75" t="s">
        <v>791</v>
      </c>
    </row>
    <row r="2251">
      <c r="A2251" s="66">
        <v>42160.0</v>
      </c>
      <c r="B2251" s="75" t="s">
        <v>841</v>
      </c>
    </row>
    <row r="2252">
      <c r="A2252" s="66">
        <v>42159.0</v>
      </c>
      <c r="B2252" s="75" t="s">
        <v>840</v>
      </c>
    </row>
    <row r="2253">
      <c r="A2253" s="66">
        <v>42158.0</v>
      </c>
      <c r="B2253" s="75" t="s">
        <v>839</v>
      </c>
    </row>
    <row r="2254">
      <c r="A2254" s="66">
        <v>42157.0</v>
      </c>
      <c r="B2254" s="75" t="s">
        <v>788</v>
      </c>
    </row>
    <row r="2255">
      <c r="A2255" s="66">
        <v>42156.0</v>
      </c>
      <c r="B2255" s="75" t="s">
        <v>821</v>
      </c>
    </row>
    <row r="2256">
      <c r="A2256" s="66">
        <v>42153.0</v>
      </c>
      <c r="B2256" s="75" t="s">
        <v>838</v>
      </c>
    </row>
    <row r="2257">
      <c r="A2257" s="66">
        <v>42152.0</v>
      </c>
      <c r="B2257" s="75" t="s">
        <v>832</v>
      </c>
    </row>
    <row r="2258">
      <c r="A2258" s="66">
        <v>42151.0</v>
      </c>
      <c r="B2258" s="75" t="s">
        <v>837</v>
      </c>
    </row>
    <row r="2259">
      <c r="A2259" s="66">
        <v>42150.0</v>
      </c>
      <c r="B2259" s="75" t="s">
        <v>823</v>
      </c>
    </row>
    <row r="2260">
      <c r="A2260" s="66">
        <v>42146.0</v>
      </c>
      <c r="B2260" s="75" t="s">
        <v>833</v>
      </c>
    </row>
    <row r="2261">
      <c r="A2261" s="66">
        <v>42145.0</v>
      </c>
      <c r="B2261" s="75" t="s">
        <v>836</v>
      </c>
    </row>
    <row r="2262">
      <c r="A2262" s="66">
        <v>42144.0</v>
      </c>
      <c r="B2262" s="75" t="s">
        <v>836</v>
      </c>
    </row>
    <row r="2263">
      <c r="A2263" s="66">
        <v>42143.0</v>
      </c>
      <c r="B2263" s="75" t="s">
        <v>785</v>
      </c>
    </row>
    <row r="2264">
      <c r="A2264" s="66">
        <v>42142.0</v>
      </c>
      <c r="B2264" s="75" t="s">
        <v>835</v>
      </c>
    </row>
    <row r="2265">
      <c r="A2265" s="66">
        <v>42139.0</v>
      </c>
      <c r="B2265" s="75" t="s">
        <v>834</v>
      </c>
    </row>
    <row r="2266">
      <c r="A2266" s="66">
        <v>42138.0</v>
      </c>
      <c r="B2266" s="75" t="s">
        <v>781</v>
      </c>
    </row>
    <row r="2267">
      <c r="A2267" s="66">
        <v>42137.0</v>
      </c>
      <c r="B2267" s="75" t="s">
        <v>817</v>
      </c>
    </row>
    <row r="2268">
      <c r="A2268" s="66">
        <v>42136.0</v>
      </c>
      <c r="B2268" s="75" t="s">
        <v>817</v>
      </c>
    </row>
    <row r="2269">
      <c r="A2269" s="66">
        <v>42135.0</v>
      </c>
      <c r="B2269" s="75" t="s">
        <v>786</v>
      </c>
    </row>
    <row r="2270">
      <c r="A2270" s="66">
        <v>42132.0</v>
      </c>
      <c r="B2270" s="75" t="s">
        <v>779</v>
      </c>
    </row>
    <row r="2271">
      <c r="A2271" s="66">
        <v>42131.0</v>
      </c>
      <c r="B2271" s="75" t="s">
        <v>783</v>
      </c>
    </row>
    <row r="2272">
      <c r="A2272" s="66">
        <v>42130.0</v>
      </c>
      <c r="B2272" s="75" t="s">
        <v>820</v>
      </c>
    </row>
    <row r="2273">
      <c r="A2273" s="66">
        <v>42129.0</v>
      </c>
      <c r="B2273" s="75" t="s">
        <v>787</v>
      </c>
    </row>
    <row r="2274">
      <c r="A2274" s="66">
        <v>42128.0</v>
      </c>
      <c r="B2274" s="75" t="s">
        <v>797</v>
      </c>
    </row>
    <row r="2275">
      <c r="A2275" s="66">
        <v>42124.0</v>
      </c>
      <c r="B2275" s="75" t="s">
        <v>834</v>
      </c>
    </row>
    <row r="2276">
      <c r="A2276" s="66">
        <v>42123.0</v>
      </c>
      <c r="B2276" s="75" t="s">
        <v>721</v>
      </c>
    </row>
    <row r="2277">
      <c r="A2277" s="66">
        <v>42122.0</v>
      </c>
      <c r="B2277" s="75" t="s">
        <v>833</v>
      </c>
    </row>
    <row r="2278">
      <c r="A2278" s="66">
        <v>42121.0</v>
      </c>
      <c r="B2278" s="75" t="s">
        <v>781</v>
      </c>
    </row>
    <row r="2279">
      <c r="A2279" s="66">
        <v>42118.0</v>
      </c>
      <c r="B2279" s="75" t="s">
        <v>829</v>
      </c>
    </row>
    <row r="2280">
      <c r="A2280" s="66">
        <v>42117.0</v>
      </c>
      <c r="B2280" s="75" t="s">
        <v>787</v>
      </c>
    </row>
    <row r="2281">
      <c r="A2281" s="66">
        <v>42116.0</v>
      </c>
      <c r="B2281" s="75" t="s">
        <v>832</v>
      </c>
    </row>
    <row r="2282">
      <c r="A2282" s="66">
        <v>42115.0</v>
      </c>
      <c r="B2282" s="75" t="s">
        <v>780</v>
      </c>
    </row>
    <row r="2283">
      <c r="A2283" s="66">
        <v>42114.0</v>
      </c>
      <c r="B2283" s="75" t="s">
        <v>811</v>
      </c>
    </row>
    <row r="2284">
      <c r="A2284" s="66">
        <v>42111.0</v>
      </c>
      <c r="B2284" s="75" t="s">
        <v>831</v>
      </c>
    </row>
    <row r="2285">
      <c r="A2285" s="66">
        <v>42110.0</v>
      </c>
      <c r="B2285" s="75" t="s">
        <v>831</v>
      </c>
    </row>
    <row r="2286">
      <c r="A2286" s="66">
        <v>42109.0</v>
      </c>
      <c r="B2286" s="75" t="s">
        <v>830</v>
      </c>
    </row>
    <row r="2287">
      <c r="A2287" s="66">
        <v>42108.0</v>
      </c>
      <c r="B2287" s="75" t="s">
        <v>825</v>
      </c>
    </row>
    <row r="2288">
      <c r="A2288" s="66">
        <v>42107.0</v>
      </c>
      <c r="B2288" s="75" t="s">
        <v>797</v>
      </c>
    </row>
    <row r="2289">
      <c r="A2289" s="66">
        <v>42104.0</v>
      </c>
      <c r="B2289" s="75" t="s">
        <v>829</v>
      </c>
    </row>
    <row r="2290">
      <c r="A2290" s="66">
        <v>42103.0</v>
      </c>
      <c r="B2290" s="75" t="s">
        <v>828</v>
      </c>
    </row>
    <row r="2291">
      <c r="A2291" s="66">
        <v>42102.0</v>
      </c>
      <c r="B2291" s="75" t="s">
        <v>776</v>
      </c>
    </row>
    <row r="2292">
      <c r="A2292" s="66">
        <v>42101.0</v>
      </c>
      <c r="B2292" s="75" t="s">
        <v>776</v>
      </c>
    </row>
    <row r="2293">
      <c r="A2293" s="66">
        <v>42100.0</v>
      </c>
      <c r="B2293" s="75" t="s">
        <v>785</v>
      </c>
    </row>
    <row r="2294">
      <c r="A2294" s="66">
        <v>42095.0</v>
      </c>
      <c r="B2294" s="75" t="s">
        <v>776</v>
      </c>
    </row>
    <row r="2295">
      <c r="A2295" s="66">
        <v>42094.0</v>
      </c>
      <c r="B2295" s="75" t="s">
        <v>781</v>
      </c>
    </row>
    <row r="2296">
      <c r="A2296" s="66">
        <v>42093.0</v>
      </c>
      <c r="B2296" s="75" t="s">
        <v>783</v>
      </c>
    </row>
    <row r="2297">
      <c r="A2297" s="66">
        <v>42090.0</v>
      </c>
      <c r="B2297" s="75" t="s">
        <v>720</v>
      </c>
    </row>
    <row r="2298">
      <c r="A2298" s="66">
        <v>42089.0</v>
      </c>
      <c r="B2298" s="75" t="s">
        <v>786</v>
      </c>
    </row>
    <row r="2299">
      <c r="A2299" s="66">
        <v>42088.0</v>
      </c>
      <c r="B2299" s="75" t="s">
        <v>781</v>
      </c>
    </row>
    <row r="2300">
      <c r="A2300" s="66">
        <v>42083.0</v>
      </c>
      <c r="B2300" s="75" t="s">
        <v>802</v>
      </c>
    </row>
    <row r="2301">
      <c r="A2301" s="66">
        <v>42082.0</v>
      </c>
      <c r="B2301" s="75" t="s">
        <v>827</v>
      </c>
    </row>
    <row r="2302">
      <c r="A2302" s="66">
        <v>42081.0</v>
      </c>
      <c r="B2302" s="75" t="s">
        <v>784</v>
      </c>
    </row>
    <row r="2303">
      <c r="A2303" s="66">
        <v>42080.0</v>
      </c>
      <c r="B2303" s="75" t="s">
        <v>637</v>
      </c>
    </row>
    <row r="2304">
      <c r="A2304" s="66">
        <v>42079.0</v>
      </c>
      <c r="B2304" s="75" t="s">
        <v>781</v>
      </c>
    </row>
    <row r="2305">
      <c r="A2305" s="66">
        <v>42076.0</v>
      </c>
      <c r="B2305" s="75" t="s">
        <v>826</v>
      </c>
    </row>
    <row r="2306">
      <c r="A2306" s="66">
        <v>42075.0</v>
      </c>
      <c r="B2306" s="75" t="s">
        <v>825</v>
      </c>
    </row>
    <row r="2307">
      <c r="A2307" s="66">
        <v>42074.0</v>
      </c>
      <c r="B2307" s="75" t="s">
        <v>824</v>
      </c>
    </row>
    <row r="2308">
      <c r="A2308" s="66">
        <v>42073.0</v>
      </c>
      <c r="B2308" s="75" t="s">
        <v>784</v>
      </c>
    </row>
    <row r="2309">
      <c r="A2309" s="66">
        <v>42072.0</v>
      </c>
      <c r="B2309" s="75" t="s">
        <v>824</v>
      </c>
    </row>
    <row r="2310">
      <c r="A2310" s="66">
        <v>42069.0</v>
      </c>
      <c r="B2310" s="75" t="s">
        <v>819</v>
      </c>
    </row>
    <row r="2311">
      <c r="A2311" s="66">
        <v>42068.0</v>
      </c>
      <c r="B2311" s="75" t="s">
        <v>822</v>
      </c>
    </row>
    <row r="2312">
      <c r="A2312" s="66">
        <v>42067.0</v>
      </c>
      <c r="B2312" s="75" t="s">
        <v>823</v>
      </c>
    </row>
    <row r="2313">
      <c r="A2313" s="66">
        <v>42066.0</v>
      </c>
      <c r="B2313" s="75" t="s">
        <v>822</v>
      </c>
    </row>
    <row r="2314">
      <c r="A2314" s="66">
        <v>42065.0</v>
      </c>
      <c r="B2314" s="75" t="s">
        <v>779</v>
      </c>
    </row>
    <row r="2315">
      <c r="A2315" s="66">
        <v>42062.0</v>
      </c>
      <c r="B2315" s="75" t="s">
        <v>821</v>
      </c>
    </row>
    <row r="2316">
      <c r="A2316" s="66">
        <v>42061.0</v>
      </c>
      <c r="B2316" s="75" t="s">
        <v>820</v>
      </c>
    </row>
    <row r="2317">
      <c r="A2317" s="66">
        <v>42060.0</v>
      </c>
      <c r="B2317" s="75" t="s">
        <v>819</v>
      </c>
    </row>
    <row r="2318">
      <c r="A2318" s="66">
        <v>42059.0</v>
      </c>
      <c r="B2318" s="75" t="s">
        <v>818</v>
      </c>
    </row>
    <row r="2319">
      <c r="A2319" s="66">
        <v>42058.0</v>
      </c>
      <c r="B2319" s="75" t="s">
        <v>817</v>
      </c>
    </row>
    <row r="2320">
      <c r="A2320" s="66">
        <v>42055.0</v>
      </c>
      <c r="B2320" s="75" t="s">
        <v>803</v>
      </c>
    </row>
    <row r="2321">
      <c r="A2321" s="66">
        <v>42054.0</v>
      </c>
      <c r="B2321" s="75" t="s">
        <v>816</v>
      </c>
    </row>
    <row r="2322">
      <c r="A2322" s="66">
        <v>42053.0</v>
      </c>
      <c r="B2322" s="75" t="s">
        <v>815</v>
      </c>
    </row>
    <row r="2323">
      <c r="A2323" s="66">
        <v>42048.0</v>
      </c>
      <c r="B2323" s="75" t="s">
        <v>808</v>
      </c>
    </row>
    <row r="2324">
      <c r="A2324" s="66">
        <v>42047.0</v>
      </c>
      <c r="B2324" s="75" t="s">
        <v>814</v>
      </c>
    </row>
    <row r="2325">
      <c r="A2325" s="66">
        <v>42046.0</v>
      </c>
      <c r="B2325" s="75" t="s">
        <v>813</v>
      </c>
    </row>
    <row r="2326">
      <c r="A2326" s="66">
        <v>42045.0</v>
      </c>
      <c r="B2326" s="75" t="s">
        <v>812</v>
      </c>
    </row>
    <row r="2327">
      <c r="A2327" s="66">
        <v>42044.0</v>
      </c>
      <c r="B2327" s="75" t="s">
        <v>809</v>
      </c>
    </row>
    <row r="2328">
      <c r="A2328" s="66">
        <v>42041.0</v>
      </c>
      <c r="B2328" s="75" t="s">
        <v>811</v>
      </c>
    </row>
    <row r="2329">
      <c r="A2329" s="66">
        <v>42040.0</v>
      </c>
      <c r="B2329" s="75" t="s">
        <v>782</v>
      </c>
    </row>
    <row r="2330">
      <c r="A2330" s="66">
        <v>42039.0</v>
      </c>
      <c r="B2330" s="75" t="s">
        <v>810</v>
      </c>
    </row>
    <row r="2331">
      <c r="A2331" s="66">
        <v>42038.0</v>
      </c>
      <c r="B2331" s="75" t="s">
        <v>801</v>
      </c>
    </row>
    <row r="2332">
      <c r="A2332" s="66">
        <v>42037.0</v>
      </c>
      <c r="B2332" s="75" t="s">
        <v>803</v>
      </c>
    </row>
    <row r="2333">
      <c r="A2333" s="66">
        <v>42034.0</v>
      </c>
      <c r="B2333" s="75" t="s">
        <v>722</v>
      </c>
    </row>
    <row r="2334">
      <c r="A2334" s="66">
        <v>42033.0</v>
      </c>
      <c r="B2334" s="75" t="s">
        <v>809</v>
      </c>
    </row>
    <row r="2335">
      <c r="A2335" s="66">
        <v>42032.0</v>
      </c>
      <c r="B2335" s="75" t="s">
        <v>722</v>
      </c>
    </row>
    <row r="2336">
      <c r="A2336" s="66">
        <v>42031.0</v>
      </c>
      <c r="B2336" s="75" t="s">
        <v>808</v>
      </c>
    </row>
    <row r="2337">
      <c r="A2337" s="66">
        <v>42030.0</v>
      </c>
      <c r="B2337" s="75" t="s">
        <v>807</v>
      </c>
    </row>
    <row r="2338">
      <c r="A2338" s="66">
        <v>42027.0</v>
      </c>
      <c r="B2338" s="75" t="s">
        <v>806</v>
      </c>
    </row>
    <row r="2339">
      <c r="A2339" s="66">
        <v>42026.0</v>
      </c>
      <c r="B2339" s="75" t="s">
        <v>724</v>
      </c>
    </row>
    <row r="2340">
      <c r="A2340" s="66">
        <v>42025.0</v>
      </c>
      <c r="B2340" s="75" t="s">
        <v>805</v>
      </c>
    </row>
    <row r="2341">
      <c r="A2341" s="66">
        <v>42024.0</v>
      </c>
      <c r="B2341" s="75" t="s">
        <v>804</v>
      </c>
    </row>
    <row r="2342">
      <c r="A2342" s="66">
        <v>42023.0</v>
      </c>
      <c r="B2342" s="75" t="s">
        <v>804</v>
      </c>
    </row>
    <row r="2343">
      <c r="A2343" s="66">
        <v>42020.0</v>
      </c>
      <c r="B2343" s="75" t="s">
        <v>775</v>
      </c>
    </row>
    <row r="2344">
      <c r="A2344" s="66">
        <v>42019.0</v>
      </c>
      <c r="B2344" s="75" t="s">
        <v>724</v>
      </c>
    </row>
    <row r="2345">
      <c r="A2345" s="66">
        <v>42018.0</v>
      </c>
      <c r="B2345" s="75" t="s">
        <v>803</v>
      </c>
    </row>
    <row r="2346">
      <c r="A2346" s="66">
        <v>42017.0</v>
      </c>
      <c r="B2346" s="75" t="s">
        <v>802</v>
      </c>
    </row>
    <row r="2347">
      <c r="A2347" s="66">
        <v>42016.0</v>
      </c>
      <c r="B2347" s="75" t="s">
        <v>801</v>
      </c>
    </row>
    <row r="2348">
      <c r="A2348" s="66">
        <v>42013.0</v>
      </c>
      <c r="B2348" s="75" t="s">
        <v>800</v>
      </c>
    </row>
    <row r="2349">
      <c r="A2349" s="66">
        <v>42012.0</v>
      </c>
      <c r="B2349" s="75" t="s">
        <v>776</v>
      </c>
    </row>
    <row r="2350">
      <c r="A2350" s="66">
        <v>42011.0</v>
      </c>
      <c r="B2350" s="75" t="s">
        <v>799</v>
      </c>
    </row>
    <row r="2351">
      <c r="A2351" s="66">
        <v>42010.0</v>
      </c>
      <c r="B2351" s="75" t="s">
        <v>780</v>
      </c>
    </row>
    <row r="2352">
      <c r="A2352" s="66">
        <v>42009.0</v>
      </c>
      <c r="B2352" s="75" t="s">
        <v>798</v>
      </c>
    </row>
    <row r="2353">
      <c r="A2353" s="66">
        <v>42006.0</v>
      </c>
      <c r="B2353" s="75" t="s">
        <v>797</v>
      </c>
    </row>
    <row r="2354">
      <c r="A2354" s="66">
        <v>42003.0</v>
      </c>
      <c r="B2354" s="75" t="s">
        <v>796</v>
      </c>
    </row>
    <row r="2355">
      <c r="A2355" s="66">
        <v>42002.0</v>
      </c>
      <c r="B2355" s="75" t="s">
        <v>692</v>
      </c>
    </row>
    <row r="2356">
      <c r="A2356" s="66">
        <v>41996.0</v>
      </c>
      <c r="B2356" s="75" t="s">
        <v>795</v>
      </c>
    </row>
    <row r="2357">
      <c r="A2357" s="66">
        <v>41995.0</v>
      </c>
      <c r="B2357" s="75" t="s">
        <v>794</v>
      </c>
    </row>
    <row r="2358">
      <c r="A2358" s="66">
        <v>41992.0</v>
      </c>
      <c r="B2358" s="75" t="s">
        <v>793</v>
      </c>
    </row>
    <row r="2359">
      <c r="A2359" s="66">
        <v>41991.0</v>
      </c>
      <c r="B2359" s="75" t="s">
        <v>791</v>
      </c>
    </row>
    <row r="2360">
      <c r="A2360" s="66">
        <v>41990.0</v>
      </c>
      <c r="B2360" s="75" t="s">
        <v>791</v>
      </c>
    </row>
    <row r="2361">
      <c r="A2361" s="66">
        <v>41989.0</v>
      </c>
      <c r="B2361" s="75" t="s">
        <v>792</v>
      </c>
    </row>
    <row r="2362">
      <c r="A2362" s="66">
        <v>41988.0</v>
      </c>
      <c r="B2362" s="75" t="s">
        <v>791</v>
      </c>
    </row>
    <row r="2363">
      <c r="A2363" s="66">
        <v>41985.0</v>
      </c>
      <c r="B2363" s="75" t="s">
        <v>790</v>
      </c>
    </row>
    <row r="2364">
      <c r="A2364" s="66">
        <v>41984.0</v>
      </c>
      <c r="B2364" s="75" t="s">
        <v>789</v>
      </c>
    </row>
    <row r="2365">
      <c r="A2365" s="66">
        <v>41983.0</v>
      </c>
      <c r="B2365" s="75" t="s">
        <v>788</v>
      </c>
    </row>
    <row r="2366">
      <c r="A2366" s="66">
        <v>41982.0</v>
      </c>
      <c r="B2366" s="75" t="s">
        <v>787</v>
      </c>
    </row>
    <row r="2367">
      <c r="A2367" s="66">
        <v>41978.0</v>
      </c>
      <c r="B2367" s="75" t="s">
        <v>786</v>
      </c>
    </row>
    <row r="2368">
      <c r="A2368" s="66">
        <v>41977.0</v>
      </c>
      <c r="B2368" s="75" t="s">
        <v>785</v>
      </c>
    </row>
    <row r="2369">
      <c r="A2369" s="66">
        <v>41976.0</v>
      </c>
      <c r="B2369" s="75" t="s">
        <v>784</v>
      </c>
    </row>
    <row r="2370">
      <c r="A2370" s="66">
        <v>41975.0</v>
      </c>
      <c r="B2370" s="75" t="s">
        <v>783</v>
      </c>
    </row>
    <row r="2371">
      <c r="A2371" s="66">
        <v>41974.0</v>
      </c>
      <c r="B2371" s="75" t="s">
        <v>782</v>
      </c>
    </row>
    <row r="2372">
      <c r="A2372" s="66">
        <v>41971.0</v>
      </c>
      <c r="B2372" s="75" t="s">
        <v>781</v>
      </c>
    </row>
    <row r="2373">
      <c r="A2373" s="66">
        <v>41969.0</v>
      </c>
      <c r="B2373" s="75" t="s">
        <v>781</v>
      </c>
    </row>
    <row r="2374">
      <c r="A2374" s="66">
        <v>41968.0</v>
      </c>
      <c r="B2374" s="75" t="s">
        <v>780</v>
      </c>
    </row>
    <row r="2375">
      <c r="A2375" s="66">
        <v>41964.0</v>
      </c>
      <c r="B2375" s="75" t="s">
        <v>721</v>
      </c>
    </row>
    <row r="2376">
      <c r="A2376" s="66">
        <v>41963.0</v>
      </c>
      <c r="B2376" s="75" t="s">
        <v>720</v>
      </c>
    </row>
    <row r="2377">
      <c r="A2377" s="66">
        <v>41962.0</v>
      </c>
      <c r="B2377" s="75" t="s">
        <v>779</v>
      </c>
    </row>
    <row r="2378">
      <c r="A2378" s="66">
        <v>41961.0</v>
      </c>
      <c r="B2378" s="75" t="s">
        <v>778</v>
      </c>
    </row>
    <row r="2379">
      <c r="A2379" s="66">
        <v>41960.0</v>
      </c>
      <c r="B2379" s="75" t="s">
        <v>777</v>
      </c>
    </row>
    <row r="2380">
      <c r="A2380" s="66">
        <v>41957.0</v>
      </c>
      <c r="B2380" s="75" t="s">
        <v>776</v>
      </c>
    </row>
    <row r="2381">
      <c r="A2381" s="66">
        <v>41956.0</v>
      </c>
      <c r="B2381" s="75" t="s">
        <v>775</v>
      </c>
    </row>
    <row r="2382">
      <c r="A2382" s="66">
        <v>41955.0</v>
      </c>
      <c r="B2382" s="75" t="s">
        <v>774</v>
      </c>
    </row>
    <row r="2383">
      <c r="A2383" s="66">
        <v>41954.0</v>
      </c>
      <c r="B2383" s="75" t="s">
        <v>773</v>
      </c>
    </row>
    <row r="2384">
      <c r="A2384" s="66">
        <v>41953.0</v>
      </c>
      <c r="B2384" s="75" t="s">
        <v>772</v>
      </c>
    </row>
    <row r="2385">
      <c r="A2385" s="66">
        <v>41950.0</v>
      </c>
      <c r="B2385" s="75" t="s">
        <v>771</v>
      </c>
    </row>
    <row r="2386">
      <c r="A2386" s="66">
        <v>41948.0</v>
      </c>
      <c r="B2386" s="75" t="s">
        <v>765</v>
      </c>
    </row>
    <row r="2387">
      <c r="A2387" s="66">
        <v>41947.0</v>
      </c>
      <c r="B2387" s="75" t="s">
        <v>770</v>
      </c>
    </row>
    <row r="2388">
      <c r="A2388" s="66">
        <v>41946.0</v>
      </c>
      <c r="B2388" s="75" t="s">
        <v>769</v>
      </c>
    </row>
    <row r="2389">
      <c r="A2389" s="66">
        <v>41943.0</v>
      </c>
      <c r="B2389" s="75" t="s">
        <v>769</v>
      </c>
    </row>
    <row r="2390">
      <c r="A2390" s="66">
        <v>41942.0</v>
      </c>
      <c r="B2390" s="75" t="s">
        <v>768</v>
      </c>
    </row>
    <row r="2391">
      <c r="A2391" s="66">
        <v>41941.0</v>
      </c>
      <c r="B2391" s="75" t="s">
        <v>767</v>
      </c>
    </row>
    <row r="2392">
      <c r="A2392" s="66">
        <v>41940.0</v>
      </c>
      <c r="B2392" s="75" t="s">
        <v>766</v>
      </c>
    </row>
    <row r="2393">
      <c r="A2393" s="66">
        <v>41939.0</v>
      </c>
      <c r="B2393" s="75" t="s">
        <v>765</v>
      </c>
    </row>
    <row r="2394">
      <c r="A2394" s="66">
        <v>41936.0</v>
      </c>
      <c r="B2394" s="75" t="s">
        <v>764</v>
      </c>
    </row>
    <row r="2395">
      <c r="A2395" s="66">
        <v>41935.0</v>
      </c>
      <c r="B2395" s="75" t="s">
        <v>763</v>
      </c>
    </row>
    <row r="2396">
      <c r="A2396" s="66">
        <v>41934.0</v>
      </c>
      <c r="B2396" s="75" t="s">
        <v>762</v>
      </c>
    </row>
    <row r="2397">
      <c r="A2397" s="66">
        <v>41933.0</v>
      </c>
      <c r="B2397" s="75" t="s">
        <v>761</v>
      </c>
    </row>
    <row r="2398">
      <c r="A2398" s="66">
        <v>41932.0</v>
      </c>
      <c r="B2398" s="75" t="s">
        <v>760</v>
      </c>
    </row>
    <row r="2399">
      <c r="A2399" s="66">
        <v>41929.0</v>
      </c>
      <c r="B2399" s="75" t="s">
        <v>759</v>
      </c>
    </row>
    <row r="2400">
      <c r="A2400" s="66">
        <v>41928.0</v>
      </c>
      <c r="B2400" s="75" t="s">
        <v>736</v>
      </c>
    </row>
    <row r="2401">
      <c r="A2401" s="66">
        <v>41927.0</v>
      </c>
      <c r="B2401" s="75" t="s">
        <v>758</v>
      </c>
    </row>
    <row r="2402">
      <c r="A2402" s="66">
        <v>41926.0</v>
      </c>
      <c r="B2402" s="75" t="s">
        <v>757</v>
      </c>
    </row>
    <row r="2403">
      <c r="A2403" s="66">
        <v>41922.0</v>
      </c>
      <c r="B2403" s="75" t="s">
        <v>756</v>
      </c>
    </row>
    <row r="2404">
      <c r="A2404" s="66">
        <v>41921.0</v>
      </c>
      <c r="B2404" s="75" t="s">
        <v>755</v>
      </c>
    </row>
    <row r="2405">
      <c r="A2405" s="66">
        <v>41920.0</v>
      </c>
      <c r="B2405" s="75" t="s">
        <v>754</v>
      </c>
    </row>
    <row r="2406">
      <c r="A2406" s="66">
        <v>41919.0</v>
      </c>
      <c r="B2406" s="75" t="s">
        <v>753</v>
      </c>
    </row>
    <row r="2407">
      <c r="A2407" s="66">
        <v>41918.0</v>
      </c>
      <c r="B2407" s="75" t="s">
        <v>752</v>
      </c>
    </row>
    <row r="2408">
      <c r="A2408" s="66">
        <v>41915.0</v>
      </c>
      <c r="B2408" s="75" t="s">
        <v>751</v>
      </c>
    </row>
    <row r="2409">
      <c r="A2409" s="66">
        <v>41914.0</v>
      </c>
      <c r="B2409" s="75" t="s">
        <v>750</v>
      </c>
    </row>
    <row r="2410">
      <c r="A2410" s="66">
        <v>41913.0</v>
      </c>
      <c r="B2410" s="75" t="s">
        <v>749</v>
      </c>
    </row>
    <row r="2411">
      <c r="A2411" s="66">
        <v>41912.0</v>
      </c>
      <c r="B2411" s="75" t="s">
        <v>748</v>
      </c>
    </row>
    <row r="2412">
      <c r="A2412" s="66">
        <v>41911.0</v>
      </c>
      <c r="B2412" s="75" t="s">
        <v>747</v>
      </c>
    </row>
    <row r="2413">
      <c r="A2413" s="66">
        <v>41908.0</v>
      </c>
      <c r="B2413" s="75" t="s">
        <v>746</v>
      </c>
    </row>
    <row r="2414">
      <c r="A2414" s="66">
        <v>41907.0</v>
      </c>
      <c r="B2414" s="75" t="s">
        <v>745</v>
      </c>
    </row>
    <row r="2415">
      <c r="A2415" s="66">
        <v>41906.0</v>
      </c>
      <c r="B2415" s="75" t="s">
        <v>745</v>
      </c>
    </row>
    <row r="2416">
      <c r="A2416" s="66">
        <v>41905.0</v>
      </c>
      <c r="B2416" s="75" t="s">
        <v>744</v>
      </c>
    </row>
    <row r="2417">
      <c r="A2417" s="66">
        <v>41904.0</v>
      </c>
      <c r="B2417" s="75" t="s">
        <v>743</v>
      </c>
    </row>
    <row r="2418">
      <c r="A2418" s="66">
        <v>41901.0</v>
      </c>
      <c r="B2418" s="75" t="s">
        <v>742</v>
      </c>
    </row>
    <row r="2419">
      <c r="A2419" s="66">
        <v>41900.0</v>
      </c>
      <c r="B2419" s="75" t="s">
        <v>741</v>
      </c>
    </row>
    <row r="2420">
      <c r="A2420" s="66">
        <v>41899.0</v>
      </c>
      <c r="B2420" s="75" t="s">
        <v>740</v>
      </c>
    </row>
    <row r="2421">
      <c r="A2421" s="66">
        <v>41898.0</v>
      </c>
      <c r="B2421" s="75" t="s">
        <v>739</v>
      </c>
    </row>
    <row r="2422">
      <c r="A2422" s="66">
        <v>41897.0</v>
      </c>
      <c r="B2422" s="75" t="s">
        <v>738</v>
      </c>
    </row>
    <row r="2423">
      <c r="A2423" s="66">
        <v>41894.0</v>
      </c>
      <c r="B2423" s="75" t="s">
        <v>737</v>
      </c>
    </row>
    <row r="2424">
      <c r="A2424" s="66">
        <v>41893.0</v>
      </c>
      <c r="B2424" s="75" t="s">
        <v>736</v>
      </c>
    </row>
    <row r="2425">
      <c r="A2425" s="66">
        <v>41892.0</v>
      </c>
      <c r="B2425" s="75" t="s">
        <v>735</v>
      </c>
    </row>
    <row r="2426">
      <c r="A2426" s="66">
        <v>41891.0</v>
      </c>
      <c r="B2426" s="75" t="s">
        <v>734</v>
      </c>
    </row>
    <row r="2427">
      <c r="A2427" s="66">
        <v>41890.0</v>
      </c>
      <c r="B2427" s="75" t="s">
        <v>733</v>
      </c>
    </row>
    <row r="2428">
      <c r="A2428" s="66">
        <v>41887.0</v>
      </c>
      <c r="B2428" s="75" t="s">
        <v>732</v>
      </c>
    </row>
    <row r="2429">
      <c r="A2429" s="66">
        <v>41886.0</v>
      </c>
      <c r="B2429" s="75" t="s">
        <v>731</v>
      </c>
    </row>
    <row r="2430">
      <c r="A2430" s="66">
        <v>41885.0</v>
      </c>
      <c r="B2430" s="75" t="s">
        <v>730</v>
      </c>
    </row>
    <row r="2431">
      <c r="A2431" s="66">
        <v>41884.0</v>
      </c>
      <c r="B2431" s="75" t="s">
        <v>729</v>
      </c>
    </row>
    <row r="2432">
      <c r="A2432" s="66">
        <v>41880.0</v>
      </c>
      <c r="B2432" s="75" t="s">
        <v>728</v>
      </c>
    </row>
    <row r="2433">
      <c r="A2433" s="66">
        <v>41879.0</v>
      </c>
      <c r="B2433" s="75" t="s">
        <v>727</v>
      </c>
    </row>
    <row r="2434">
      <c r="A2434" s="66">
        <v>41878.0</v>
      </c>
      <c r="B2434" s="75" t="s">
        <v>726</v>
      </c>
    </row>
    <row r="2435">
      <c r="A2435" s="66">
        <v>41877.0</v>
      </c>
      <c r="B2435" s="75" t="s">
        <v>725</v>
      </c>
    </row>
    <row r="2436">
      <c r="A2436" s="66">
        <v>41876.0</v>
      </c>
      <c r="B2436" s="75" t="s">
        <v>724</v>
      </c>
    </row>
    <row r="2437">
      <c r="A2437" s="66">
        <v>41873.0</v>
      </c>
      <c r="B2437" s="75" t="s">
        <v>723</v>
      </c>
    </row>
    <row r="2438">
      <c r="A2438" s="66">
        <v>41872.0</v>
      </c>
      <c r="B2438" s="75" t="s">
        <v>722</v>
      </c>
    </row>
    <row r="2439">
      <c r="A2439" s="66">
        <v>41871.0</v>
      </c>
      <c r="B2439" s="75" t="s">
        <v>721</v>
      </c>
    </row>
    <row r="2440">
      <c r="A2440" s="66">
        <v>41870.0</v>
      </c>
      <c r="B2440" s="75" t="s">
        <v>720</v>
      </c>
    </row>
    <row r="2441">
      <c r="A2441" s="66">
        <v>41866.0</v>
      </c>
      <c r="B2441" s="75" t="s">
        <v>719</v>
      </c>
    </row>
    <row r="2442">
      <c r="A2442" s="66">
        <v>41865.0</v>
      </c>
      <c r="B2442" s="75" t="s">
        <v>718</v>
      </c>
    </row>
    <row r="2443">
      <c r="A2443" s="66">
        <v>41864.0</v>
      </c>
      <c r="B2443" s="75" t="s">
        <v>717</v>
      </c>
    </row>
    <row r="2444">
      <c r="A2444" s="66">
        <v>41863.0</v>
      </c>
      <c r="B2444" s="75" t="s">
        <v>688</v>
      </c>
    </row>
    <row r="2445">
      <c r="A2445" s="66">
        <v>41862.0</v>
      </c>
      <c r="B2445" s="75" t="s">
        <v>646</v>
      </c>
    </row>
    <row r="2446">
      <c r="A2446" s="66">
        <v>41859.0</v>
      </c>
      <c r="B2446" s="75" t="s">
        <v>696</v>
      </c>
    </row>
    <row r="2447">
      <c r="A2447" s="66">
        <v>41858.0</v>
      </c>
      <c r="B2447" s="75" t="s">
        <v>716</v>
      </c>
    </row>
    <row r="2448">
      <c r="A2448" s="66">
        <v>41857.0</v>
      </c>
      <c r="B2448" s="75" t="s">
        <v>716</v>
      </c>
    </row>
    <row r="2449">
      <c r="A2449" s="66">
        <v>41856.0</v>
      </c>
      <c r="B2449" s="75" t="s">
        <v>652</v>
      </c>
    </row>
    <row r="2450">
      <c r="A2450" s="66">
        <v>41855.0</v>
      </c>
      <c r="B2450" s="75" t="s">
        <v>651</v>
      </c>
    </row>
    <row r="2451">
      <c r="A2451" s="66">
        <v>41852.0</v>
      </c>
      <c r="B2451" s="75" t="s">
        <v>665</v>
      </c>
    </row>
    <row r="2452">
      <c r="A2452" s="66">
        <v>41851.0</v>
      </c>
      <c r="B2452" s="75" t="s">
        <v>680</v>
      </c>
    </row>
    <row r="2453">
      <c r="A2453" s="66">
        <v>41850.0</v>
      </c>
      <c r="B2453" s="75" t="s">
        <v>715</v>
      </c>
    </row>
    <row r="2454">
      <c r="A2454" s="66">
        <v>41849.0</v>
      </c>
      <c r="B2454" s="75" t="s">
        <v>655</v>
      </c>
    </row>
    <row r="2455">
      <c r="A2455" s="66">
        <v>41848.0</v>
      </c>
      <c r="B2455" s="75" t="s">
        <v>714</v>
      </c>
    </row>
    <row r="2456">
      <c r="A2456" s="66">
        <v>41845.0</v>
      </c>
      <c r="B2456" s="75" t="s">
        <v>713</v>
      </c>
    </row>
    <row r="2457">
      <c r="A2457" s="66">
        <v>41844.0</v>
      </c>
      <c r="B2457" s="75" t="s">
        <v>668</v>
      </c>
    </row>
    <row r="2458">
      <c r="A2458" s="66">
        <v>41843.0</v>
      </c>
      <c r="B2458" s="75" t="s">
        <v>712</v>
      </c>
    </row>
    <row r="2459">
      <c r="A2459" s="66">
        <v>41842.0</v>
      </c>
      <c r="B2459" s="75" t="s">
        <v>681</v>
      </c>
    </row>
    <row r="2460">
      <c r="A2460" s="66">
        <v>41841.0</v>
      </c>
      <c r="B2460" s="75" t="s">
        <v>711</v>
      </c>
    </row>
    <row r="2461">
      <c r="A2461" s="66">
        <v>41838.0</v>
      </c>
      <c r="B2461" s="75" t="s">
        <v>709</v>
      </c>
    </row>
    <row r="2462">
      <c r="A2462" s="66">
        <v>41837.0</v>
      </c>
      <c r="B2462" s="75" t="s">
        <v>706</v>
      </c>
    </row>
    <row r="2463">
      <c r="A2463" s="66">
        <v>41836.0</v>
      </c>
      <c r="B2463" s="75" t="s">
        <v>687</v>
      </c>
    </row>
    <row r="2464">
      <c r="A2464" s="66">
        <v>41835.0</v>
      </c>
      <c r="B2464" s="75" t="s">
        <v>680</v>
      </c>
    </row>
    <row r="2465">
      <c r="A2465" s="66">
        <v>41834.0</v>
      </c>
      <c r="B2465" s="75" t="s">
        <v>710</v>
      </c>
    </row>
    <row r="2466">
      <c r="A2466" s="66">
        <v>41831.0</v>
      </c>
      <c r="B2466" s="75" t="s">
        <v>668</v>
      </c>
    </row>
    <row r="2467">
      <c r="A2467" s="66">
        <v>41830.0</v>
      </c>
      <c r="B2467" s="75" t="s">
        <v>709</v>
      </c>
    </row>
    <row r="2468">
      <c r="A2468" s="66">
        <v>41828.0</v>
      </c>
      <c r="B2468" s="75" t="s">
        <v>708</v>
      </c>
    </row>
    <row r="2469">
      <c r="A2469" s="66">
        <v>41827.0</v>
      </c>
      <c r="B2469" s="75" t="s">
        <v>654</v>
      </c>
    </row>
    <row r="2470">
      <c r="A2470" s="66">
        <v>41824.0</v>
      </c>
      <c r="B2470" s="75" t="s">
        <v>708</v>
      </c>
    </row>
    <row r="2471">
      <c r="A2471" s="66">
        <v>41823.0</v>
      </c>
      <c r="B2471" s="75" t="s">
        <v>707</v>
      </c>
    </row>
    <row r="2472">
      <c r="A2472" s="66">
        <v>41822.0</v>
      </c>
      <c r="B2472" s="75" t="s">
        <v>680</v>
      </c>
    </row>
    <row r="2473">
      <c r="A2473" s="66">
        <v>41821.0</v>
      </c>
      <c r="B2473" s="75" t="s">
        <v>706</v>
      </c>
    </row>
    <row r="2474">
      <c r="A2474" s="66">
        <v>41820.0</v>
      </c>
      <c r="B2474" s="75" t="s">
        <v>657</v>
      </c>
    </row>
    <row r="2475">
      <c r="A2475" s="66">
        <v>41817.0</v>
      </c>
      <c r="B2475" s="75" t="s">
        <v>665</v>
      </c>
    </row>
    <row r="2476">
      <c r="A2476" s="66">
        <v>41816.0</v>
      </c>
      <c r="B2476" s="75" t="s">
        <v>705</v>
      </c>
    </row>
    <row r="2477">
      <c r="A2477" s="66">
        <v>41815.0</v>
      </c>
      <c r="B2477" s="75" t="s">
        <v>680</v>
      </c>
    </row>
    <row r="2478">
      <c r="A2478" s="66">
        <v>41814.0</v>
      </c>
      <c r="B2478" s="75" t="s">
        <v>655</v>
      </c>
    </row>
    <row r="2479">
      <c r="A2479" s="66">
        <v>41813.0</v>
      </c>
      <c r="B2479" s="75" t="s">
        <v>704</v>
      </c>
    </row>
    <row r="2480">
      <c r="A2480" s="66">
        <v>41809.0</v>
      </c>
      <c r="B2480" s="75" t="s">
        <v>650</v>
      </c>
    </row>
    <row r="2481">
      <c r="A2481" s="66">
        <v>41808.0</v>
      </c>
      <c r="B2481" s="75" t="s">
        <v>703</v>
      </c>
    </row>
    <row r="2482">
      <c r="A2482" s="66">
        <v>41807.0</v>
      </c>
      <c r="B2482" s="75" t="s">
        <v>702</v>
      </c>
    </row>
    <row r="2483">
      <c r="A2483" s="66">
        <v>41806.0</v>
      </c>
      <c r="B2483" s="75" t="s">
        <v>701</v>
      </c>
    </row>
    <row r="2484">
      <c r="A2484" s="66">
        <v>41803.0</v>
      </c>
      <c r="B2484" s="75" t="s">
        <v>700</v>
      </c>
    </row>
    <row r="2485">
      <c r="A2485" s="66">
        <v>41802.0</v>
      </c>
      <c r="B2485" s="75" t="s">
        <v>650</v>
      </c>
    </row>
    <row r="2486">
      <c r="A2486" s="66">
        <v>41801.0</v>
      </c>
      <c r="B2486" s="75" t="s">
        <v>699</v>
      </c>
    </row>
    <row r="2487">
      <c r="A2487" s="66">
        <v>41800.0</v>
      </c>
      <c r="B2487" s="75" t="s">
        <v>698</v>
      </c>
    </row>
    <row r="2488">
      <c r="A2488" s="66">
        <v>41799.0</v>
      </c>
      <c r="B2488" s="75" t="s">
        <v>646</v>
      </c>
    </row>
    <row r="2489">
      <c r="A2489" s="66">
        <v>41796.0</v>
      </c>
      <c r="B2489" s="75" t="s">
        <v>697</v>
      </c>
    </row>
    <row r="2490">
      <c r="A2490" s="66">
        <v>41795.0</v>
      </c>
      <c r="B2490" s="75" t="s">
        <v>696</v>
      </c>
    </row>
    <row r="2491">
      <c r="A2491" s="66">
        <v>41794.0</v>
      </c>
      <c r="B2491" s="75" t="s">
        <v>695</v>
      </c>
    </row>
    <row r="2492">
      <c r="A2492" s="66">
        <v>41793.0</v>
      </c>
      <c r="B2492" s="75" t="s">
        <v>645</v>
      </c>
    </row>
    <row r="2493">
      <c r="A2493" s="66">
        <v>41792.0</v>
      </c>
      <c r="B2493" s="75" t="s">
        <v>694</v>
      </c>
    </row>
    <row r="2494">
      <c r="A2494" s="66">
        <v>41789.0</v>
      </c>
      <c r="B2494" s="75" t="s">
        <v>693</v>
      </c>
    </row>
    <row r="2495">
      <c r="A2495" s="66">
        <v>41788.0</v>
      </c>
      <c r="B2495" s="75" t="s">
        <v>692</v>
      </c>
    </row>
    <row r="2496">
      <c r="A2496" s="66">
        <v>41787.0</v>
      </c>
      <c r="B2496" s="75" t="s">
        <v>691</v>
      </c>
    </row>
    <row r="2497">
      <c r="A2497" s="66">
        <v>41786.0</v>
      </c>
      <c r="B2497" s="75" t="s">
        <v>690</v>
      </c>
    </row>
    <row r="2498">
      <c r="A2498" s="66">
        <v>41785.0</v>
      </c>
      <c r="B2498" s="75" t="s">
        <v>690</v>
      </c>
    </row>
    <row r="2499">
      <c r="A2499" s="66">
        <v>41782.0</v>
      </c>
      <c r="B2499" s="75" t="s">
        <v>643</v>
      </c>
    </row>
    <row r="2500">
      <c r="A2500" s="66">
        <v>41781.0</v>
      </c>
      <c r="B2500" s="75" t="s">
        <v>645</v>
      </c>
    </row>
    <row r="2501">
      <c r="A2501" s="66">
        <v>41780.0</v>
      </c>
      <c r="B2501" s="75" t="s">
        <v>689</v>
      </c>
    </row>
    <row r="2502">
      <c r="A2502" s="66">
        <v>41779.0</v>
      </c>
      <c r="B2502" s="75" t="s">
        <v>688</v>
      </c>
    </row>
    <row r="2503">
      <c r="A2503" s="66">
        <v>41778.0</v>
      </c>
      <c r="B2503" s="75" t="s">
        <v>662</v>
      </c>
    </row>
    <row r="2504">
      <c r="A2504" s="66">
        <v>41775.0</v>
      </c>
      <c r="B2504" s="75" t="s">
        <v>656</v>
      </c>
    </row>
    <row r="2505">
      <c r="A2505" s="66">
        <v>41774.0</v>
      </c>
      <c r="B2505" s="75" t="s">
        <v>687</v>
      </c>
    </row>
    <row r="2506">
      <c r="A2506" s="66">
        <v>41773.0</v>
      </c>
      <c r="B2506" s="75" t="s">
        <v>686</v>
      </c>
    </row>
    <row r="2507">
      <c r="A2507" s="66">
        <v>41772.0</v>
      </c>
      <c r="B2507" s="75" t="s">
        <v>685</v>
      </c>
    </row>
    <row r="2508">
      <c r="A2508" s="66">
        <v>41771.0</v>
      </c>
      <c r="B2508" s="75" t="s">
        <v>684</v>
      </c>
    </row>
    <row r="2509">
      <c r="A2509" s="66">
        <v>41768.0</v>
      </c>
      <c r="B2509" s="75" t="s">
        <v>674</v>
      </c>
    </row>
    <row r="2510">
      <c r="A2510" s="66">
        <v>41767.0</v>
      </c>
      <c r="B2510" s="75" t="s">
        <v>673</v>
      </c>
    </row>
    <row r="2511">
      <c r="A2511" s="66">
        <v>41766.0</v>
      </c>
      <c r="B2511" s="75" t="s">
        <v>683</v>
      </c>
    </row>
    <row r="2512">
      <c r="A2512" s="66">
        <v>41765.0</v>
      </c>
      <c r="B2512" s="75" t="s">
        <v>682</v>
      </c>
    </row>
    <row r="2513">
      <c r="A2513" s="66">
        <v>41764.0</v>
      </c>
      <c r="B2513" s="75" t="s">
        <v>681</v>
      </c>
    </row>
    <row r="2514">
      <c r="A2514" s="66">
        <v>41759.0</v>
      </c>
      <c r="B2514" s="75" t="s">
        <v>680</v>
      </c>
    </row>
    <row r="2515">
      <c r="A2515" s="66">
        <v>41758.0</v>
      </c>
      <c r="B2515" s="75" t="s">
        <v>664</v>
      </c>
    </row>
    <row r="2516">
      <c r="A2516" s="66">
        <v>41757.0</v>
      </c>
      <c r="B2516" s="75" t="s">
        <v>679</v>
      </c>
    </row>
    <row r="2517">
      <c r="A2517" s="66">
        <v>41754.0</v>
      </c>
      <c r="B2517" s="75" t="s">
        <v>670</v>
      </c>
    </row>
    <row r="2518">
      <c r="A2518" s="66">
        <v>41753.0</v>
      </c>
      <c r="B2518" s="75" t="s">
        <v>675</v>
      </c>
    </row>
    <row r="2519">
      <c r="A2519" s="66">
        <v>41752.0</v>
      </c>
      <c r="B2519" s="75" t="s">
        <v>678</v>
      </c>
    </row>
    <row r="2520">
      <c r="A2520" s="66">
        <v>41751.0</v>
      </c>
      <c r="B2520" s="75" t="s">
        <v>670</v>
      </c>
    </row>
    <row r="2521">
      <c r="A2521" s="66">
        <v>41750.0</v>
      </c>
      <c r="B2521" s="75" t="s">
        <v>677</v>
      </c>
    </row>
    <row r="2522">
      <c r="A2522" s="66">
        <v>41745.0</v>
      </c>
      <c r="B2522" s="75" t="s">
        <v>676</v>
      </c>
    </row>
    <row r="2523">
      <c r="A2523" s="66">
        <v>41744.0</v>
      </c>
      <c r="B2523" s="75" t="s">
        <v>675</v>
      </c>
    </row>
    <row r="2524">
      <c r="A2524" s="66">
        <v>41743.0</v>
      </c>
      <c r="B2524" s="75" t="s">
        <v>674</v>
      </c>
    </row>
    <row r="2525">
      <c r="A2525" s="66">
        <v>41740.0</v>
      </c>
      <c r="B2525" s="75" t="s">
        <v>673</v>
      </c>
    </row>
    <row r="2526">
      <c r="A2526" s="66">
        <v>41739.0</v>
      </c>
      <c r="B2526" s="75" t="s">
        <v>672</v>
      </c>
    </row>
    <row r="2527">
      <c r="A2527" s="66">
        <v>41738.0</v>
      </c>
      <c r="B2527" s="75" t="s">
        <v>671</v>
      </c>
    </row>
    <row r="2528">
      <c r="A2528" s="66">
        <v>41737.0</v>
      </c>
      <c r="B2528" s="75" t="s">
        <v>670</v>
      </c>
    </row>
    <row r="2529">
      <c r="A2529" s="66">
        <v>41736.0</v>
      </c>
      <c r="B2529" s="75" t="s">
        <v>669</v>
      </c>
    </row>
    <row r="2530">
      <c r="A2530" s="66">
        <v>41733.0</v>
      </c>
      <c r="B2530" s="75" t="s">
        <v>668</v>
      </c>
    </row>
    <row r="2531">
      <c r="A2531" s="66">
        <v>41732.0</v>
      </c>
      <c r="B2531" s="75" t="s">
        <v>667</v>
      </c>
    </row>
    <row r="2532">
      <c r="A2532" s="66">
        <v>41730.0</v>
      </c>
      <c r="B2532" s="75" t="s">
        <v>666</v>
      </c>
    </row>
    <row r="2533">
      <c r="A2533" s="66">
        <v>41729.0</v>
      </c>
      <c r="B2533" s="75" t="s">
        <v>665</v>
      </c>
    </row>
    <row r="2534">
      <c r="A2534" s="66">
        <v>41726.0</v>
      </c>
      <c r="B2534" s="75" t="s">
        <v>664</v>
      </c>
    </row>
    <row r="2535">
      <c r="A2535" s="66">
        <v>41725.0</v>
      </c>
      <c r="B2535" s="75" t="s">
        <v>663</v>
      </c>
    </row>
    <row r="2536">
      <c r="A2536" s="66">
        <v>41724.0</v>
      </c>
      <c r="B2536" s="75" t="s">
        <v>660</v>
      </c>
    </row>
    <row r="2537">
      <c r="A2537" s="66">
        <v>41723.0</v>
      </c>
      <c r="B2537" s="75" t="s">
        <v>662</v>
      </c>
    </row>
    <row r="2538">
      <c r="A2538" s="66">
        <v>41719.0</v>
      </c>
      <c r="B2538" s="75" t="s">
        <v>661</v>
      </c>
    </row>
    <row r="2539">
      <c r="A2539" s="66">
        <v>41718.0</v>
      </c>
      <c r="B2539" s="75" t="s">
        <v>660</v>
      </c>
    </row>
    <row r="2540">
      <c r="A2540" s="66">
        <v>41717.0</v>
      </c>
      <c r="B2540" s="75" t="s">
        <v>659</v>
      </c>
    </row>
    <row r="2541">
      <c r="A2541" s="66">
        <v>41716.0</v>
      </c>
      <c r="B2541" s="75" t="s">
        <v>659</v>
      </c>
    </row>
    <row r="2542">
      <c r="A2542" s="66">
        <v>41715.0</v>
      </c>
      <c r="B2542" s="75" t="s">
        <v>657</v>
      </c>
    </row>
    <row r="2543">
      <c r="A2543" s="66">
        <v>41712.0</v>
      </c>
      <c r="B2543" s="75" t="s">
        <v>658</v>
      </c>
    </row>
    <row r="2544">
      <c r="A2544" s="66">
        <v>41711.0</v>
      </c>
      <c r="B2544" s="75" t="s">
        <v>657</v>
      </c>
    </row>
    <row r="2545">
      <c r="A2545" s="66">
        <v>41710.0</v>
      </c>
      <c r="B2545" s="75" t="s">
        <v>649</v>
      </c>
    </row>
    <row r="2546">
      <c r="A2546" s="66">
        <v>41709.0</v>
      </c>
      <c r="B2546" s="75" t="s">
        <v>656</v>
      </c>
    </row>
    <row r="2547">
      <c r="A2547" s="66">
        <v>41708.0</v>
      </c>
      <c r="B2547" s="75" t="s">
        <v>655</v>
      </c>
    </row>
    <row r="2548">
      <c r="A2548" s="66">
        <v>41705.0</v>
      </c>
      <c r="B2548" s="75" t="s">
        <v>654</v>
      </c>
    </row>
    <row r="2549">
      <c r="A2549" s="66">
        <v>41704.0</v>
      </c>
      <c r="B2549" s="75" t="s">
        <v>653</v>
      </c>
    </row>
    <row r="2550">
      <c r="A2550" s="66">
        <v>41703.0</v>
      </c>
      <c r="B2550" s="75" t="s">
        <v>652</v>
      </c>
    </row>
    <row r="2551">
      <c r="A2551" s="66">
        <v>41698.0</v>
      </c>
      <c r="B2551" s="75" t="s">
        <v>651</v>
      </c>
    </row>
    <row r="2552">
      <c r="A2552" s="66">
        <v>41697.0</v>
      </c>
      <c r="B2552" s="75" t="s">
        <v>646</v>
      </c>
    </row>
    <row r="2553">
      <c r="A2553" s="66">
        <v>41696.0</v>
      </c>
      <c r="B2553" s="75" t="s">
        <v>650</v>
      </c>
    </row>
    <row r="2554">
      <c r="A2554" s="66">
        <v>41695.0</v>
      </c>
      <c r="B2554" s="75" t="s">
        <v>649</v>
      </c>
    </row>
    <row r="2555">
      <c r="A2555" s="66">
        <v>41694.0</v>
      </c>
      <c r="B2555" s="75" t="s">
        <v>647</v>
      </c>
    </row>
    <row r="2556">
      <c r="A2556" s="66">
        <v>41691.0</v>
      </c>
      <c r="B2556" s="75" t="s">
        <v>648</v>
      </c>
    </row>
    <row r="2557">
      <c r="A2557" s="66">
        <v>41690.0</v>
      </c>
      <c r="B2557" s="75" t="s">
        <v>647</v>
      </c>
    </row>
    <row r="2558">
      <c r="A2558" s="66">
        <v>41689.0</v>
      </c>
      <c r="B2558" s="75" t="s">
        <v>646</v>
      </c>
    </row>
    <row r="2559">
      <c r="A2559" s="66">
        <v>41688.0</v>
      </c>
      <c r="B2559" s="75" t="s">
        <v>645</v>
      </c>
    </row>
    <row r="2560">
      <c r="A2560" s="66">
        <v>41684.0</v>
      </c>
      <c r="B2560" s="75" t="s">
        <v>643</v>
      </c>
    </row>
    <row r="2561">
      <c r="A2561" s="66">
        <v>41683.0</v>
      </c>
      <c r="B2561" s="75" t="s">
        <v>644</v>
      </c>
    </row>
    <row r="2562">
      <c r="A2562" s="66">
        <v>41682.0</v>
      </c>
      <c r="B2562" s="75" t="s">
        <v>643</v>
      </c>
    </row>
    <row r="2563">
      <c r="A2563" s="66">
        <v>41681.0</v>
      </c>
      <c r="B2563" s="75" t="s">
        <v>642</v>
      </c>
    </row>
    <row r="2564">
      <c r="A2564" s="66">
        <v>41680.0</v>
      </c>
      <c r="B2564" s="75" t="s">
        <v>641</v>
      </c>
    </row>
    <row r="2565">
      <c r="A2565" s="66">
        <v>41677.0</v>
      </c>
      <c r="B2565" s="75" t="s">
        <v>640</v>
      </c>
    </row>
    <row r="2566">
      <c r="A2566" s="66">
        <v>41676.0</v>
      </c>
      <c r="B2566" s="75" t="s">
        <v>637</v>
      </c>
    </row>
    <row r="2567">
      <c r="A2567" s="66">
        <v>41675.0</v>
      </c>
      <c r="B2567" s="75" t="s">
        <v>639</v>
      </c>
    </row>
    <row r="2568">
      <c r="A2568" s="66">
        <v>41674.0</v>
      </c>
      <c r="B2568" s="75" t="s">
        <v>638</v>
      </c>
    </row>
    <row r="2569">
      <c r="A2569" s="66">
        <v>41673.0</v>
      </c>
      <c r="B2569" s="75" t="s">
        <v>637</v>
      </c>
    </row>
    <row r="2570">
      <c r="A2570" s="66">
        <v>41670.0</v>
      </c>
      <c r="B2570" s="75" t="s">
        <v>636</v>
      </c>
    </row>
    <row r="2571">
      <c r="A2571" s="66">
        <v>41669.0</v>
      </c>
      <c r="B2571" s="75" t="s">
        <v>635</v>
      </c>
    </row>
    <row r="2572">
      <c r="A2572" s="66">
        <v>41668.0</v>
      </c>
      <c r="B2572" s="75" t="s">
        <v>634</v>
      </c>
    </row>
    <row r="2573">
      <c r="A2573" s="66">
        <v>41667.0</v>
      </c>
      <c r="B2573" s="75" t="s">
        <v>633</v>
      </c>
    </row>
    <row r="2574">
      <c r="A2574" s="66">
        <v>41666.0</v>
      </c>
      <c r="B2574" s="75" t="s">
        <v>632</v>
      </c>
    </row>
    <row r="2575">
      <c r="A2575" s="66">
        <v>41663.0</v>
      </c>
      <c r="B2575" s="75" t="s">
        <v>631</v>
      </c>
    </row>
    <row r="2576">
      <c r="A2576" s="66">
        <v>41662.0</v>
      </c>
      <c r="B2576" s="75" t="s">
        <v>630</v>
      </c>
    </row>
    <row r="2577">
      <c r="A2577" s="66">
        <v>41661.0</v>
      </c>
      <c r="B2577" s="75" t="s">
        <v>629</v>
      </c>
    </row>
    <row r="2578">
      <c r="A2578" s="66">
        <v>41660.0</v>
      </c>
      <c r="B2578" s="75" t="s">
        <v>628</v>
      </c>
    </row>
    <row r="2579">
      <c r="A2579" s="66">
        <v>41659.0</v>
      </c>
      <c r="B2579" s="75" t="s">
        <v>627</v>
      </c>
    </row>
    <row r="2580">
      <c r="A2580" s="66">
        <v>41656.0</v>
      </c>
      <c r="B2580" s="75" t="s">
        <v>626</v>
      </c>
    </row>
    <row r="2581">
      <c r="A2581" s="66">
        <v>41655.0</v>
      </c>
      <c r="B2581" s="75" t="s">
        <v>625</v>
      </c>
    </row>
    <row r="2582">
      <c r="A2582" s="66">
        <v>41654.0</v>
      </c>
      <c r="B2582" s="75" t="s">
        <v>624</v>
      </c>
    </row>
    <row r="2583">
      <c r="A2583" s="66">
        <v>41653.0</v>
      </c>
      <c r="B2583" s="75" t="s">
        <v>623</v>
      </c>
    </row>
    <row r="2584">
      <c r="A2584" s="66">
        <v>41652.0</v>
      </c>
      <c r="B2584" s="75" t="s">
        <v>622</v>
      </c>
    </row>
    <row r="2585">
      <c r="A2585" s="66">
        <v>41649.0</v>
      </c>
      <c r="B2585" s="75" t="s">
        <v>621</v>
      </c>
    </row>
    <row r="2586">
      <c r="A2586" s="66">
        <v>41648.0</v>
      </c>
      <c r="B2586" s="75" t="s">
        <v>620</v>
      </c>
    </row>
    <row r="2587">
      <c r="A2587" s="66">
        <v>41647.0</v>
      </c>
      <c r="B2587" s="75" t="s">
        <v>619</v>
      </c>
    </row>
    <row r="2588">
      <c r="A2588" s="66">
        <v>41646.0</v>
      </c>
      <c r="B2588" s="75" t="s">
        <v>618</v>
      </c>
    </row>
    <row r="2589">
      <c r="A2589" s="66">
        <v>41645.0</v>
      </c>
      <c r="B2589" s="75" t="s">
        <v>617</v>
      </c>
    </row>
    <row r="2590">
      <c r="A2590" s="66">
        <v>41642.0</v>
      </c>
      <c r="B2590" s="75" t="s">
        <v>583</v>
      </c>
    </row>
    <row r="2591">
      <c r="A2591" s="66">
        <v>41641.0</v>
      </c>
      <c r="B2591" s="75" t="s">
        <v>584</v>
      </c>
    </row>
    <row r="2592">
      <c r="A2592" s="66">
        <v>41638.0</v>
      </c>
      <c r="B2592" s="75" t="s">
        <v>616</v>
      </c>
    </row>
    <row r="2593">
      <c r="A2593" s="66">
        <v>41635.0</v>
      </c>
      <c r="B2593" s="75" t="s">
        <v>615</v>
      </c>
    </row>
    <row r="2594">
      <c r="A2594" s="66">
        <v>41634.0</v>
      </c>
      <c r="B2594" s="75" t="s">
        <v>614</v>
      </c>
    </row>
    <row r="2595">
      <c r="A2595" s="66">
        <v>41631.0</v>
      </c>
      <c r="B2595" s="75" t="s">
        <v>613</v>
      </c>
    </row>
    <row r="2596">
      <c r="A2596" s="66">
        <v>41628.0</v>
      </c>
      <c r="B2596" s="75" t="s">
        <v>612</v>
      </c>
    </row>
    <row r="2597">
      <c r="A2597" s="66">
        <v>41627.0</v>
      </c>
      <c r="B2597" s="75" t="s">
        <v>609</v>
      </c>
    </row>
    <row r="2598">
      <c r="A2598" s="66">
        <v>41626.0</v>
      </c>
      <c r="B2598" s="75" t="s">
        <v>567</v>
      </c>
    </row>
    <row r="2599">
      <c r="A2599" s="66">
        <v>41625.0</v>
      </c>
      <c r="B2599" s="75" t="s">
        <v>611</v>
      </c>
    </row>
    <row r="2600">
      <c r="A2600" s="66">
        <v>41624.0</v>
      </c>
      <c r="B2600" s="75" t="s">
        <v>575</v>
      </c>
    </row>
    <row r="2601">
      <c r="A2601" s="66">
        <v>41621.0</v>
      </c>
      <c r="B2601" s="75" t="s">
        <v>611</v>
      </c>
    </row>
    <row r="2602">
      <c r="A2602" s="66">
        <v>41620.0</v>
      </c>
      <c r="B2602" s="75" t="s">
        <v>610</v>
      </c>
    </row>
    <row r="2603">
      <c r="A2603" s="66">
        <v>41619.0</v>
      </c>
      <c r="B2603" s="75" t="s">
        <v>610</v>
      </c>
    </row>
    <row r="2604">
      <c r="A2604" s="66">
        <v>41618.0</v>
      </c>
      <c r="B2604" s="75" t="s">
        <v>609</v>
      </c>
    </row>
    <row r="2605">
      <c r="A2605" s="66">
        <v>41617.0</v>
      </c>
      <c r="B2605" s="75" t="s">
        <v>573</v>
      </c>
    </row>
    <row r="2606">
      <c r="A2606" s="66">
        <v>41614.0</v>
      </c>
      <c r="B2606" s="75" t="s">
        <v>567</v>
      </c>
    </row>
    <row r="2607">
      <c r="A2607" s="66">
        <v>41613.0</v>
      </c>
      <c r="B2607" s="75" t="s">
        <v>565</v>
      </c>
    </row>
    <row r="2608">
      <c r="A2608" s="66">
        <v>41612.0</v>
      </c>
      <c r="B2608" s="75" t="s">
        <v>608</v>
      </c>
    </row>
    <row r="2609">
      <c r="A2609" s="66">
        <v>41611.0</v>
      </c>
      <c r="B2609" s="75" t="s">
        <v>569</v>
      </c>
    </row>
    <row r="2610">
      <c r="A2610" s="66">
        <v>41610.0</v>
      </c>
      <c r="B2610" s="75" t="s">
        <v>607</v>
      </c>
    </row>
    <row r="2611">
      <c r="A2611" s="66">
        <v>41607.0</v>
      </c>
      <c r="B2611" s="75" t="s">
        <v>606</v>
      </c>
    </row>
    <row r="2612">
      <c r="A2612" s="66">
        <v>41605.0</v>
      </c>
      <c r="B2612" s="75" t="s">
        <v>585</v>
      </c>
    </row>
    <row r="2613">
      <c r="A2613" s="66">
        <v>41604.0</v>
      </c>
      <c r="B2613" s="75" t="s">
        <v>605</v>
      </c>
    </row>
    <row r="2614">
      <c r="A2614" s="66">
        <v>41600.0</v>
      </c>
      <c r="B2614" s="75" t="s">
        <v>604</v>
      </c>
    </row>
    <row r="2615">
      <c r="A2615" s="66">
        <v>41599.0</v>
      </c>
      <c r="B2615" s="75" t="s">
        <v>603</v>
      </c>
    </row>
    <row r="2616">
      <c r="A2616" s="66">
        <v>41598.0</v>
      </c>
      <c r="B2616" s="75" t="s">
        <v>586</v>
      </c>
    </row>
    <row r="2617">
      <c r="A2617" s="66">
        <v>41597.0</v>
      </c>
      <c r="B2617" s="75" t="s">
        <v>602</v>
      </c>
    </row>
    <row r="2618">
      <c r="A2618" s="66">
        <v>41596.0</v>
      </c>
      <c r="B2618" s="75" t="s">
        <v>593</v>
      </c>
    </row>
    <row r="2619">
      <c r="A2619" s="66">
        <v>41593.0</v>
      </c>
      <c r="B2619" s="75" t="s">
        <v>590</v>
      </c>
    </row>
    <row r="2620">
      <c r="A2620" s="66">
        <v>41592.0</v>
      </c>
      <c r="B2620" s="75" t="s">
        <v>590</v>
      </c>
    </row>
    <row r="2621">
      <c r="A2621" s="66">
        <v>41591.0</v>
      </c>
      <c r="B2621" s="75" t="s">
        <v>587</v>
      </c>
    </row>
    <row r="2622">
      <c r="A2622" s="66">
        <v>41590.0</v>
      </c>
      <c r="B2622" s="75" t="s">
        <v>601</v>
      </c>
    </row>
    <row r="2623">
      <c r="A2623" s="66">
        <v>41589.0</v>
      </c>
      <c r="B2623" s="75" t="s">
        <v>598</v>
      </c>
    </row>
    <row r="2624">
      <c r="A2624" s="66">
        <v>41586.0</v>
      </c>
      <c r="B2624" s="75" t="s">
        <v>593</v>
      </c>
    </row>
    <row r="2625">
      <c r="A2625" s="66">
        <v>41585.0</v>
      </c>
      <c r="B2625" s="75" t="s">
        <v>600</v>
      </c>
    </row>
    <row r="2626">
      <c r="A2626" s="66">
        <v>41583.0</v>
      </c>
      <c r="B2626" s="75" t="s">
        <v>599</v>
      </c>
    </row>
    <row r="2627">
      <c r="A2627" s="66">
        <v>41582.0</v>
      </c>
      <c r="B2627" s="75" t="s">
        <v>589</v>
      </c>
    </row>
    <row r="2628">
      <c r="A2628" s="66">
        <v>41579.0</v>
      </c>
      <c r="B2628" s="75" t="s">
        <v>598</v>
      </c>
    </row>
    <row r="2629">
      <c r="A2629" s="66">
        <v>41578.0</v>
      </c>
      <c r="B2629" s="75" t="s">
        <v>597</v>
      </c>
    </row>
    <row r="2630">
      <c r="A2630" s="66">
        <v>41577.0</v>
      </c>
      <c r="B2630" s="75" t="s">
        <v>596</v>
      </c>
    </row>
    <row r="2631">
      <c r="A2631" s="66">
        <v>41576.0</v>
      </c>
      <c r="B2631" s="75" t="s">
        <v>587</v>
      </c>
    </row>
    <row r="2632">
      <c r="A2632" s="66">
        <v>41575.0</v>
      </c>
      <c r="B2632" s="75" t="s">
        <v>595</v>
      </c>
    </row>
    <row r="2633">
      <c r="A2633" s="66">
        <v>41572.0</v>
      </c>
      <c r="B2633" s="75" t="s">
        <v>594</v>
      </c>
    </row>
    <row r="2634">
      <c r="A2634" s="66">
        <v>41571.0</v>
      </c>
      <c r="B2634" s="75" t="s">
        <v>594</v>
      </c>
    </row>
    <row r="2635">
      <c r="A2635" s="66">
        <v>41570.0</v>
      </c>
      <c r="B2635" s="75" t="s">
        <v>588</v>
      </c>
    </row>
    <row r="2636">
      <c r="A2636" s="66">
        <v>41569.0</v>
      </c>
      <c r="B2636" s="75" t="s">
        <v>588</v>
      </c>
    </row>
    <row r="2637">
      <c r="A2637" s="66">
        <v>41568.0</v>
      </c>
      <c r="B2637" s="75" t="s">
        <v>593</v>
      </c>
    </row>
    <row r="2638">
      <c r="A2638" s="66">
        <v>41565.0</v>
      </c>
      <c r="B2638" s="75" t="s">
        <v>591</v>
      </c>
    </row>
    <row r="2639">
      <c r="A2639" s="66">
        <v>41564.0</v>
      </c>
      <c r="B2639" s="75" t="s">
        <v>522</v>
      </c>
    </row>
    <row r="2640">
      <c r="A2640" s="66">
        <v>41563.0</v>
      </c>
      <c r="B2640" s="75" t="s">
        <v>522</v>
      </c>
    </row>
    <row r="2641">
      <c r="A2641" s="66">
        <v>41562.0</v>
      </c>
      <c r="B2641" s="75" t="s">
        <v>591</v>
      </c>
    </row>
    <row r="2642">
      <c r="A2642" s="66">
        <v>41558.0</v>
      </c>
      <c r="B2642" s="75" t="s">
        <v>591</v>
      </c>
    </row>
    <row r="2643">
      <c r="A2643" s="66">
        <v>41557.0</v>
      </c>
      <c r="B2643" s="75" t="s">
        <v>586</v>
      </c>
    </row>
    <row r="2644">
      <c r="A2644" s="66">
        <v>41556.0</v>
      </c>
      <c r="B2644" s="75" t="s">
        <v>586</v>
      </c>
    </row>
    <row r="2645">
      <c r="A2645" s="66">
        <v>41555.0</v>
      </c>
      <c r="B2645" s="75" t="s">
        <v>586</v>
      </c>
    </row>
    <row r="2646">
      <c r="A2646" s="66">
        <v>41554.0</v>
      </c>
      <c r="B2646" s="75" t="s">
        <v>591</v>
      </c>
    </row>
    <row r="2647">
      <c r="A2647" s="66">
        <v>41551.0</v>
      </c>
      <c r="B2647" s="75" t="s">
        <v>586</v>
      </c>
    </row>
    <row r="2648">
      <c r="A2648" s="66">
        <v>41550.0</v>
      </c>
      <c r="B2648" s="75" t="s">
        <v>586</v>
      </c>
    </row>
    <row r="2649">
      <c r="A2649" s="66">
        <v>41549.0</v>
      </c>
      <c r="B2649" s="75" t="s">
        <v>522</v>
      </c>
    </row>
    <row r="2650">
      <c r="A2650" s="66">
        <v>41548.0</v>
      </c>
      <c r="B2650" s="75" t="s">
        <v>592</v>
      </c>
    </row>
    <row r="2651">
      <c r="A2651" s="66">
        <v>41547.0</v>
      </c>
      <c r="B2651" s="75" t="s">
        <v>522</v>
      </c>
    </row>
    <row r="2652">
      <c r="A2652" s="66">
        <v>41544.0</v>
      </c>
      <c r="B2652" s="75" t="s">
        <v>522</v>
      </c>
    </row>
    <row r="2653">
      <c r="A2653" s="66">
        <v>41543.0</v>
      </c>
      <c r="B2653" s="75" t="s">
        <v>591</v>
      </c>
    </row>
    <row r="2654">
      <c r="A2654" s="66">
        <v>41542.0</v>
      </c>
      <c r="B2654" s="75" t="s">
        <v>589</v>
      </c>
    </row>
    <row r="2655">
      <c r="A2655" s="66">
        <v>41541.0</v>
      </c>
      <c r="B2655" s="75" t="s">
        <v>590</v>
      </c>
    </row>
    <row r="2656">
      <c r="A2656" s="66">
        <v>41540.0</v>
      </c>
      <c r="B2656" s="75" t="s">
        <v>589</v>
      </c>
    </row>
    <row r="2657">
      <c r="A2657" s="66">
        <v>41537.0</v>
      </c>
      <c r="B2657" s="75" t="s">
        <v>588</v>
      </c>
    </row>
    <row r="2658">
      <c r="A2658" s="66">
        <v>41536.0</v>
      </c>
      <c r="B2658" s="75" t="s">
        <v>588</v>
      </c>
    </row>
    <row r="2659">
      <c r="A2659" s="66">
        <v>41535.0</v>
      </c>
      <c r="B2659" s="75" t="s">
        <v>587</v>
      </c>
    </row>
    <row r="2660">
      <c r="A2660" s="66">
        <v>41534.0</v>
      </c>
      <c r="B2660" s="75" t="s">
        <v>587</v>
      </c>
    </row>
    <row r="2661">
      <c r="A2661" s="66">
        <v>41533.0</v>
      </c>
      <c r="B2661" s="75" t="s">
        <v>586</v>
      </c>
    </row>
    <row r="2662">
      <c r="A2662" s="66">
        <v>41530.0</v>
      </c>
      <c r="B2662" s="75" t="s">
        <v>522</v>
      </c>
    </row>
    <row r="2663">
      <c r="A2663" s="66">
        <v>41529.0</v>
      </c>
      <c r="B2663" s="75" t="s">
        <v>522</v>
      </c>
    </row>
    <row r="2664">
      <c r="A2664" s="66">
        <v>41528.0</v>
      </c>
      <c r="B2664" s="75" t="s">
        <v>585</v>
      </c>
    </row>
    <row r="2665">
      <c r="A2665" s="66">
        <v>41527.0</v>
      </c>
      <c r="B2665" s="75" t="s">
        <v>585</v>
      </c>
    </row>
    <row r="2666">
      <c r="A2666" s="66">
        <v>41526.0</v>
      </c>
      <c r="B2666" s="75" t="s">
        <v>584</v>
      </c>
    </row>
    <row r="2667">
      <c r="A2667" s="66">
        <v>41523.0</v>
      </c>
      <c r="B2667" s="75" t="s">
        <v>584</v>
      </c>
    </row>
    <row r="2668">
      <c r="A2668" s="66">
        <v>41522.0</v>
      </c>
      <c r="B2668" s="75" t="s">
        <v>584</v>
      </c>
    </row>
    <row r="2669">
      <c r="A2669" s="66">
        <v>41521.0</v>
      </c>
      <c r="B2669" s="75" t="s">
        <v>583</v>
      </c>
    </row>
    <row r="2670">
      <c r="A2670" s="66">
        <v>41520.0</v>
      </c>
      <c r="B2670" s="75" t="s">
        <v>582</v>
      </c>
    </row>
    <row r="2671">
      <c r="A2671" s="66">
        <v>41519.0</v>
      </c>
      <c r="B2671" s="75" t="s">
        <v>581</v>
      </c>
    </row>
    <row r="2672">
      <c r="A2672" s="66">
        <v>41516.0</v>
      </c>
      <c r="B2672" s="75" t="s">
        <v>567</v>
      </c>
    </row>
    <row r="2673">
      <c r="A2673" s="66">
        <v>41515.0</v>
      </c>
      <c r="B2673" s="75" t="s">
        <v>580</v>
      </c>
    </row>
    <row r="2674">
      <c r="A2674" s="66">
        <v>41514.0</v>
      </c>
      <c r="B2674" s="75" t="s">
        <v>579</v>
      </c>
    </row>
    <row r="2675">
      <c r="A2675" s="66">
        <v>41513.0</v>
      </c>
      <c r="B2675" s="75" t="s">
        <v>577</v>
      </c>
    </row>
    <row r="2676">
      <c r="A2676" s="66">
        <v>41512.0</v>
      </c>
      <c r="B2676" s="75" t="s">
        <v>567</v>
      </c>
    </row>
    <row r="2677">
      <c r="A2677" s="66">
        <v>41509.0</v>
      </c>
      <c r="B2677" s="75" t="s">
        <v>578</v>
      </c>
    </row>
    <row r="2678">
      <c r="A2678" s="66">
        <v>41508.0</v>
      </c>
      <c r="B2678" s="75" t="s">
        <v>567</v>
      </c>
    </row>
    <row r="2679">
      <c r="A2679" s="66">
        <v>41507.0</v>
      </c>
      <c r="B2679" s="75" t="s">
        <v>566</v>
      </c>
    </row>
    <row r="2680">
      <c r="A2680" s="66">
        <v>41506.0</v>
      </c>
      <c r="B2680" s="75" t="s">
        <v>576</v>
      </c>
    </row>
    <row r="2681">
      <c r="A2681" s="66">
        <v>41502.0</v>
      </c>
      <c r="B2681" s="75" t="s">
        <v>576</v>
      </c>
    </row>
    <row r="2682">
      <c r="A2682" s="66">
        <v>41501.0</v>
      </c>
      <c r="B2682" s="75" t="s">
        <v>576</v>
      </c>
    </row>
    <row r="2683">
      <c r="A2683" s="66">
        <v>41500.0</v>
      </c>
      <c r="B2683" s="75" t="s">
        <v>577</v>
      </c>
    </row>
    <row r="2684">
      <c r="A2684" s="66">
        <v>41499.0</v>
      </c>
      <c r="B2684" s="75" t="s">
        <v>577</v>
      </c>
    </row>
    <row r="2685">
      <c r="A2685" s="66">
        <v>41498.0</v>
      </c>
      <c r="B2685" s="75" t="s">
        <v>576</v>
      </c>
    </row>
    <row r="2686">
      <c r="A2686" s="66">
        <v>41495.0</v>
      </c>
      <c r="B2686" s="75" t="s">
        <v>567</v>
      </c>
    </row>
    <row r="2687">
      <c r="A2687" s="66">
        <v>41494.0</v>
      </c>
      <c r="B2687" s="75" t="s">
        <v>575</v>
      </c>
    </row>
    <row r="2688">
      <c r="A2688" s="66">
        <v>41493.0</v>
      </c>
      <c r="B2688" s="75" t="s">
        <v>569</v>
      </c>
    </row>
    <row r="2689">
      <c r="A2689" s="66">
        <v>41492.0</v>
      </c>
      <c r="B2689" s="75" t="s">
        <v>572</v>
      </c>
    </row>
    <row r="2690">
      <c r="A2690" s="66">
        <v>41491.0</v>
      </c>
      <c r="B2690" s="75" t="s">
        <v>572</v>
      </c>
    </row>
    <row r="2691">
      <c r="A2691" s="66">
        <v>41488.0</v>
      </c>
      <c r="B2691" s="75" t="s">
        <v>574</v>
      </c>
    </row>
    <row r="2692">
      <c r="A2692" s="66">
        <v>41487.0</v>
      </c>
      <c r="B2692" s="75" t="s">
        <v>574</v>
      </c>
    </row>
    <row r="2693">
      <c r="A2693" s="66">
        <v>41486.0</v>
      </c>
      <c r="B2693" s="75" t="s">
        <v>573</v>
      </c>
    </row>
    <row r="2694">
      <c r="A2694" s="66">
        <v>41485.0</v>
      </c>
      <c r="B2694" s="75" t="s">
        <v>569</v>
      </c>
    </row>
    <row r="2695">
      <c r="A2695" s="66">
        <v>41484.0</v>
      </c>
      <c r="B2695" s="75" t="s">
        <v>572</v>
      </c>
    </row>
    <row r="2696">
      <c r="A2696" s="66">
        <v>41481.0</v>
      </c>
      <c r="B2696" s="75" t="s">
        <v>569</v>
      </c>
    </row>
    <row r="2697">
      <c r="A2697" s="66">
        <v>41480.0</v>
      </c>
      <c r="B2697" s="75" t="s">
        <v>571</v>
      </c>
    </row>
    <row r="2698">
      <c r="A2698" s="66">
        <v>41479.0</v>
      </c>
      <c r="B2698" s="75" t="s">
        <v>570</v>
      </c>
    </row>
    <row r="2699">
      <c r="A2699" s="66">
        <v>41478.0</v>
      </c>
      <c r="B2699" s="75" t="s">
        <v>570</v>
      </c>
    </row>
    <row r="2700">
      <c r="A2700" s="66">
        <v>41477.0</v>
      </c>
      <c r="B2700" s="75" t="s">
        <v>569</v>
      </c>
    </row>
    <row r="2701">
      <c r="A2701" s="66">
        <v>41474.0</v>
      </c>
      <c r="B2701" s="75" t="s">
        <v>568</v>
      </c>
    </row>
    <row r="2702">
      <c r="A2702" s="66">
        <v>41473.0</v>
      </c>
      <c r="B2702" s="75" t="s">
        <v>567</v>
      </c>
    </row>
    <row r="2703">
      <c r="A2703" s="66">
        <v>41472.0</v>
      </c>
      <c r="B2703" s="75" t="s">
        <v>566</v>
      </c>
    </row>
    <row r="2704">
      <c r="A2704" s="66">
        <v>41471.0</v>
      </c>
      <c r="B2704" s="75" t="s">
        <v>565</v>
      </c>
    </row>
    <row r="2705">
      <c r="A2705" s="66">
        <v>41470.0</v>
      </c>
      <c r="B2705" s="75" t="s">
        <v>564</v>
      </c>
    </row>
    <row r="2706">
      <c r="A2706" s="66">
        <v>41467.0</v>
      </c>
      <c r="B2706" s="75" t="s">
        <v>563</v>
      </c>
    </row>
    <row r="2707">
      <c r="A2707" s="66">
        <v>41466.0</v>
      </c>
      <c r="B2707" s="75" t="s">
        <v>562</v>
      </c>
    </row>
    <row r="2708">
      <c r="A2708" s="66">
        <v>41465.0</v>
      </c>
      <c r="B2708" s="75" t="s">
        <v>561</v>
      </c>
    </row>
    <row r="2709">
      <c r="A2709" s="66">
        <v>41463.0</v>
      </c>
      <c r="B2709" s="75" t="s">
        <v>560</v>
      </c>
    </row>
    <row r="2710">
      <c r="A2710" s="66">
        <v>41460.0</v>
      </c>
      <c r="B2710" s="75" t="s">
        <v>559</v>
      </c>
    </row>
    <row r="2711">
      <c r="A2711" s="66">
        <v>41459.0</v>
      </c>
      <c r="B2711" s="75" t="s">
        <v>558</v>
      </c>
    </row>
    <row r="2712">
      <c r="A2712" s="66">
        <v>41458.0</v>
      </c>
      <c r="B2712" s="75" t="s">
        <v>557</v>
      </c>
    </row>
    <row r="2713">
      <c r="A2713" s="66">
        <v>41457.0</v>
      </c>
      <c r="B2713" s="75" t="s">
        <v>556</v>
      </c>
    </row>
    <row r="2714">
      <c r="A2714" s="66">
        <v>41456.0</v>
      </c>
      <c r="B2714" s="75" t="s">
        <v>555</v>
      </c>
    </row>
    <row r="2715">
      <c r="A2715" s="66">
        <v>41453.0</v>
      </c>
      <c r="B2715" s="75" t="s">
        <v>554</v>
      </c>
    </row>
    <row r="2716">
      <c r="A2716" s="66">
        <v>41452.0</v>
      </c>
      <c r="B2716" s="75" t="s">
        <v>553</v>
      </c>
    </row>
    <row r="2717">
      <c r="A2717" s="66">
        <v>41451.0</v>
      </c>
      <c r="B2717" s="75" t="s">
        <v>552</v>
      </c>
    </row>
    <row r="2718">
      <c r="A2718" s="66">
        <v>41450.0</v>
      </c>
      <c r="B2718" s="75" t="s">
        <v>551</v>
      </c>
    </row>
    <row r="2719">
      <c r="A2719" s="66">
        <v>41449.0</v>
      </c>
      <c r="B2719" s="75" t="s">
        <v>550</v>
      </c>
    </row>
    <row r="2720">
      <c r="A2720" s="66">
        <v>41444.0</v>
      </c>
      <c r="B2720" s="75" t="s">
        <v>549</v>
      </c>
    </row>
    <row r="2721">
      <c r="A2721" s="66">
        <v>41443.0</v>
      </c>
      <c r="B2721" s="75" t="s">
        <v>548</v>
      </c>
    </row>
    <row r="2722">
      <c r="A2722" s="66">
        <v>41442.0</v>
      </c>
      <c r="B2722" s="75" t="s">
        <v>547</v>
      </c>
    </row>
    <row r="2723">
      <c r="A2723" s="66">
        <v>41439.0</v>
      </c>
      <c r="B2723" s="75" t="s">
        <v>546</v>
      </c>
    </row>
    <row r="2724">
      <c r="A2724" s="66">
        <v>41438.0</v>
      </c>
      <c r="B2724" s="75" t="s">
        <v>545</v>
      </c>
    </row>
    <row r="2725">
      <c r="A2725" s="66">
        <v>41437.0</v>
      </c>
      <c r="B2725" s="75" t="s">
        <v>544</v>
      </c>
    </row>
    <row r="2726">
      <c r="A2726" s="66">
        <v>41436.0</v>
      </c>
      <c r="B2726" s="75" t="s">
        <v>543</v>
      </c>
    </row>
    <row r="2727">
      <c r="A2727" s="66">
        <v>41435.0</v>
      </c>
      <c r="B2727" s="75" t="s">
        <v>542</v>
      </c>
    </row>
    <row r="2728">
      <c r="A2728" s="66">
        <v>41432.0</v>
      </c>
      <c r="B2728" s="75" t="s">
        <v>541</v>
      </c>
    </row>
    <row r="2729">
      <c r="A2729" s="66">
        <v>41431.0</v>
      </c>
      <c r="B2729" s="75" t="s">
        <v>540</v>
      </c>
    </row>
    <row r="2730">
      <c r="A2730" s="66">
        <v>41430.0</v>
      </c>
      <c r="B2730" s="75" t="s">
        <v>539</v>
      </c>
    </row>
    <row r="2731">
      <c r="A2731" s="66">
        <v>41429.0</v>
      </c>
      <c r="B2731" s="75" t="s">
        <v>538</v>
      </c>
    </row>
    <row r="2732">
      <c r="A2732" s="66">
        <v>41428.0</v>
      </c>
      <c r="B2732" s="75" t="s">
        <v>537</v>
      </c>
    </row>
    <row r="2733">
      <c r="A2733" s="66">
        <v>41425.0</v>
      </c>
      <c r="B2733" s="75" t="s">
        <v>536</v>
      </c>
    </row>
    <row r="2734">
      <c r="A2734" s="66">
        <v>41424.0</v>
      </c>
      <c r="B2734" s="75" t="s">
        <v>535</v>
      </c>
    </row>
    <row r="2735">
      <c r="A2735" s="66">
        <v>41423.0</v>
      </c>
      <c r="B2735" s="75" t="s">
        <v>534</v>
      </c>
    </row>
    <row r="2736">
      <c r="A2736" s="66">
        <v>41422.0</v>
      </c>
      <c r="B2736" s="75" t="s">
        <v>533</v>
      </c>
    </row>
    <row r="2737">
      <c r="A2737" s="66">
        <v>41421.0</v>
      </c>
      <c r="B2737" s="75" t="s">
        <v>532</v>
      </c>
    </row>
    <row r="2738">
      <c r="A2738" s="66">
        <v>41418.0</v>
      </c>
      <c r="B2738" s="75" t="s">
        <v>531</v>
      </c>
    </row>
    <row r="2739">
      <c r="A2739" s="66">
        <v>41417.0</v>
      </c>
      <c r="B2739" s="75" t="s">
        <v>530</v>
      </c>
    </row>
    <row r="2740">
      <c r="A2740" s="66">
        <v>41416.0</v>
      </c>
      <c r="B2740" s="75" t="s">
        <v>529</v>
      </c>
    </row>
    <row r="2741">
      <c r="A2741" s="66">
        <v>41415.0</v>
      </c>
      <c r="B2741" s="75" t="s">
        <v>528</v>
      </c>
    </row>
    <row r="2742">
      <c r="A2742" s="66">
        <v>41414.0</v>
      </c>
      <c r="B2742" s="75" t="s">
        <v>527</v>
      </c>
    </row>
    <row r="2743">
      <c r="A2743" s="66">
        <v>41411.0</v>
      </c>
      <c r="B2743" s="75" t="s">
        <v>526</v>
      </c>
    </row>
    <row r="2744">
      <c r="A2744" s="66">
        <v>41410.0</v>
      </c>
      <c r="B2744" s="75" t="s">
        <v>525</v>
      </c>
    </row>
    <row r="2745">
      <c r="A2745" s="66">
        <v>41409.0</v>
      </c>
      <c r="B2745" s="75" t="s">
        <v>512</v>
      </c>
    </row>
    <row r="2746">
      <c r="A2746" s="66">
        <v>41408.0</v>
      </c>
      <c r="B2746" s="75" t="s">
        <v>524</v>
      </c>
    </row>
    <row r="2747">
      <c r="A2747" s="66">
        <v>41407.0</v>
      </c>
      <c r="B2747" s="75" t="s">
        <v>523</v>
      </c>
    </row>
    <row r="2748">
      <c r="A2748" s="66">
        <v>41404.0</v>
      </c>
      <c r="B2748" s="75" t="s">
        <v>522</v>
      </c>
    </row>
    <row r="2749">
      <c r="A2749" s="66">
        <v>41403.0</v>
      </c>
      <c r="B2749" s="75" t="s">
        <v>521</v>
      </c>
    </row>
    <row r="2750">
      <c r="A2750" s="66">
        <v>41402.0</v>
      </c>
      <c r="B2750" s="75" t="s">
        <v>520</v>
      </c>
    </row>
    <row r="2751">
      <c r="A2751" s="66">
        <v>41401.0</v>
      </c>
      <c r="B2751" s="75" t="s">
        <v>519</v>
      </c>
    </row>
    <row r="2752">
      <c r="A2752" s="66">
        <v>41400.0</v>
      </c>
      <c r="B2752" s="75" t="s">
        <v>518</v>
      </c>
    </row>
    <row r="2753">
      <c r="A2753" s="66">
        <v>41397.0</v>
      </c>
      <c r="B2753" s="75" t="s">
        <v>517</v>
      </c>
    </row>
    <row r="2754">
      <c r="A2754" s="66">
        <v>41396.0</v>
      </c>
      <c r="B2754" s="75" t="s">
        <v>516</v>
      </c>
    </row>
    <row r="2755">
      <c r="A2755" s="66">
        <v>41394.0</v>
      </c>
      <c r="B2755" s="75" t="s">
        <v>515</v>
      </c>
    </row>
    <row r="2756">
      <c r="A2756" s="66">
        <v>41393.0</v>
      </c>
      <c r="B2756" s="75" t="s">
        <v>514</v>
      </c>
    </row>
    <row r="2757">
      <c r="A2757" s="66">
        <v>41390.0</v>
      </c>
      <c r="B2757" s="75" t="s">
        <v>513</v>
      </c>
    </row>
    <row r="2758">
      <c r="A2758" s="66">
        <v>41389.0</v>
      </c>
      <c r="B2758" s="75" t="s">
        <v>512</v>
      </c>
    </row>
    <row r="2759">
      <c r="A2759" s="66">
        <v>41388.0</v>
      </c>
      <c r="B2759" s="75" t="s">
        <v>511</v>
      </c>
    </row>
    <row r="2760">
      <c r="A2760" s="66">
        <v>41387.0</v>
      </c>
      <c r="B2760" s="75" t="s">
        <v>510</v>
      </c>
    </row>
    <row r="2761">
      <c r="A2761" s="66">
        <v>41386.0</v>
      </c>
      <c r="B2761" s="75" t="s">
        <v>509</v>
      </c>
    </row>
    <row r="2762">
      <c r="A2762" s="66">
        <v>41383.0</v>
      </c>
      <c r="B2762" s="75" t="s">
        <v>508</v>
      </c>
    </row>
    <row r="2763">
      <c r="A2763" s="66">
        <v>41382.0</v>
      </c>
      <c r="B2763" s="75" t="s">
        <v>507</v>
      </c>
    </row>
    <row r="2764">
      <c r="A2764" s="66">
        <v>41381.0</v>
      </c>
      <c r="B2764" s="75" t="s">
        <v>506</v>
      </c>
    </row>
    <row r="2765">
      <c r="A2765" s="66">
        <v>41380.0</v>
      </c>
      <c r="B2765" s="75" t="s">
        <v>505</v>
      </c>
    </row>
    <row r="2766">
      <c r="A2766" s="66">
        <v>41379.0</v>
      </c>
      <c r="B2766" s="75" t="s">
        <v>504</v>
      </c>
    </row>
    <row r="2767">
      <c r="A2767" s="66">
        <v>41376.0</v>
      </c>
      <c r="B2767" s="75" t="s">
        <v>503</v>
      </c>
    </row>
    <row r="2768">
      <c r="A2768" s="66">
        <v>41375.0</v>
      </c>
      <c r="B2768" s="75" t="s">
        <v>502</v>
      </c>
    </row>
    <row r="2769">
      <c r="A2769" s="66">
        <v>41374.0</v>
      </c>
      <c r="B2769" s="75" t="s">
        <v>501</v>
      </c>
    </row>
    <row r="2770">
      <c r="A2770" s="66">
        <v>41373.0</v>
      </c>
      <c r="B2770" s="75" t="s">
        <v>500</v>
      </c>
    </row>
    <row r="2771">
      <c r="A2771" s="66">
        <v>41372.0</v>
      </c>
      <c r="B2771" s="75" t="s">
        <v>499</v>
      </c>
    </row>
    <row r="2772">
      <c r="A2772" s="66">
        <v>41369.0</v>
      </c>
      <c r="B2772" s="75" t="s">
        <v>498</v>
      </c>
    </row>
    <row r="2773">
      <c r="A2773" s="66">
        <v>41368.0</v>
      </c>
      <c r="B2773" s="75" t="s">
        <v>497</v>
      </c>
    </row>
    <row r="2774">
      <c r="A2774" s="66">
        <v>41367.0</v>
      </c>
      <c r="B2774" s="75" t="s">
        <v>496</v>
      </c>
    </row>
    <row r="2775">
      <c r="A2775" s="66">
        <v>41360.0</v>
      </c>
      <c r="B2775" s="75" t="s">
        <v>495</v>
      </c>
    </row>
    <row r="2776">
      <c r="A2776" s="66">
        <v>41359.0</v>
      </c>
      <c r="B2776" s="75" t="s">
        <v>494</v>
      </c>
    </row>
    <row r="2777">
      <c r="A2777" s="66">
        <v>41358.0</v>
      </c>
      <c r="B2777" s="75" t="s">
        <v>493</v>
      </c>
    </row>
    <row r="2778">
      <c r="A2778" s="66">
        <v>41355.0</v>
      </c>
      <c r="B2778" s="75" t="s">
        <v>492</v>
      </c>
    </row>
    <row r="2779">
      <c r="A2779" s="66">
        <v>41354.0</v>
      </c>
      <c r="B2779" s="75" t="s">
        <v>491</v>
      </c>
    </row>
    <row r="2780">
      <c r="A2780" s="66">
        <v>41353.0</v>
      </c>
      <c r="B2780" s="75" t="s">
        <v>490</v>
      </c>
    </row>
    <row r="2781">
      <c r="A2781" s="66">
        <v>41352.0</v>
      </c>
      <c r="B2781" s="75" t="s">
        <v>489</v>
      </c>
    </row>
    <row r="2782">
      <c r="A2782" s="66">
        <v>41351.0</v>
      </c>
      <c r="B2782" s="75" t="s">
        <v>488</v>
      </c>
    </row>
    <row r="2783">
      <c r="A2783" s="66">
        <v>41348.0</v>
      </c>
      <c r="B2783" s="75" t="s">
        <v>487</v>
      </c>
    </row>
    <row r="2784">
      <c r="A2784" s="66">
        <v>41347.0</v>
      </c>
      <c r="B2784" s="75" t="s">
        <v>486</v>
      </c>
    </row>
    <row r="2785">
      <c r="A2785" s="66">
        <v>41346.0</v>
      </c>
      <c r="B2785" s="75" t="s">
        <v>485</v>
      </c>
    </row>
    <row r="2786">
      <c r="A2786" s="66">
        <v>41345.0</v>
      </c>
      <c r="B2786" s="75" t="s">
        <v>484</v>
      </c>
    </row>
    <row r="2787">
      <c r="A2787" s="66">
        <v>41344.0</v>
      </c>
      <c r="B2787" s="75" t="s">
        <v>483</v>
      </c>
    </row>
    <row r="2788">
      <c r="A2788" s="66">
        <v>41341.0</v>
      </c>
      <c r="B2788" s="75" t="s">
        <v>482</v>
      </c>
    </row>
    <row r="2789">
      <c r="A2789" s="66">
        <v>41340.0</v>
      </c>
      <c r="B2789" s="75" t="s">
        <v>481</v>
      </c>
    </row>
    <row r="2790">
      <c r="A2790" s="66">
        <v>41339.0</v>
      </c>
      <c r="B2790" s="75" t="s">
        <v>480</v>
      </c>
    </row>
    <row r="2791">
      <c r="A2791" s="66">
        <v>41338.0</v>
      </c>
      <c r="B2791" s="75" t="s">
        <v>479</v>
      </c>
    </row>
    <row r="2792">
      <c r="A2792" s="66">
        <v>41337.0</v>
      </c>
      <c r="B2792" s="75" t="s">
        <v>478</v>
      </c>
    </row>
    <row r="2793">
      <c r="A2793" s="66">
        <v>41334.0</v>
      </c>
      <c r="B2793" s="75" t="s">
        <v>477</v>
      </c>
    </row>
    <row r="2794">
      <c r="A2794" s="66">
        <v>41333.0</v>
      </c>
      <c r="B2794" s="75" t="s">
        <v>476</v>
      </c>
    </row>
    <row r="2795">
      <c r="A2795" s="66">
        <v>41332.0</v>
      </c>
      <c r="B2795" s="75" t="s">
        <v>475</v>
      </c>
    </row>
    <row r="2796">
      <c r="A2796" s="66">
        <v>41331.0</v>
      </c>
      <c r="B2796" s="75" t="s">
        <v>474</v>
      </c>
    </row>
    <row r="2797">
      <c r="A2797" s="66">
        <v>41330.0</v>
      </c>
      <c r="B2797" s="75" t="s">
        <v>473</v>
      </c>
    </row>
    <row r="2798">
      <c r="A2798" s="66">
        <v>41327.0</v>
      </c>
      <c r="B2798" s="75" t="s">
        <v>472</v>
      </c>
    </row>
    <row r="2799">
      <c r="A2799" s="66">
        <v>41326.0</v>
      </c>
      <c r="B2799" s="75" t="s">
        <v>471</v>
      </c>
    </row>
    <row r="2800">
      <c r="A2800" s="66">
        <v>41324.0</v>
      </c>
      <c r="B2800" s="75" t="s">
        <v>470</v>
      </c>
    </row>
    <row r="2801">
      <c r="A2801" s="66">
        <v>41320.0</v>
      </c>
      <c r="B2801" s="75" t="s">
        <v>469</v>
      </c>
    </row>
    <row r="2802">
      <c r="A2802" s="66">
        <v>41319.0</v>
      </c>
      <c r="B2802" s="75" t="s">
        <v>468</v>
      </c>
    </row>
    <row r="2803">
      <c r="A2803" s="66">
        <v>41318.0</v>
      </c>
      <c r="B2803" s="75" t="s">
        <v>467</v>
      </c>
    </row>
    <row r="2804">
      <c r="A2804" s="66">
        <v>41313.0</v>
      </c>
      <c r="B2804" s="75" t="s">
        <v>466</v>
      </c>
    </row>
    <row r="2805">
      <c r="A2805" s="66">
        <v>41312.0</v>
      </c>
      <c r="B2805" s="75" t="s">
        <v>465</v>
      </c>
    </row>
    <row r="2806">
      <c r="A2806" s="66">
        <v>41311.0</v>
      </c>
      <c r="B2806" s="75" t="s">
        <v>464</v>
      </c>
    </row>
    <row r="2807">
      <c r="A2807" s="66">
        <v>41310.0</v>
      </c>
      <c r="B2807" s="75" t="s">
        <v>463</v>
      </c>
    </row>
    <row r="2808">
      <c r="A2808" s="66">
        <v>41309.0</v>
      </c>
      <c r="B2808" s="75" t="s">
        <v>462</v>
      </c>
    </row>
    <row r="2809">
      <c r="A2809" s="66">
        <v>41306.0</v>
      </c>
      <c r="B2809" s="75" t="s">
        <v>461</v>
      </c>
    </row>
    <row r="2810">
      <c r="A2810" s="66">
        <v>41304.0</v>
      </c>
      <c r="B2810" s="75" t="s">
        <v>460</v>
      </c>
    </row>
    <row r="2811">
      <c r="A2811" s="66">
        <v>41303.0</v>
      </c>
      <c r="B2811" s="75" t="s">
        <v>459</v>
      </c>
    </row>
    <row r="2812">
      <c r="A2812" s="66">
        <v>41302.0</v>
      </c>
      <c r="B2812" s="75" t="s">
        <v>458</v>
      </c>
    </row>
    <row r="2813">
      <c r="A2813" s="66">
        <v>41299.0</v>
      </c>
      <c r="B2813" s="75" t="s">
        <v>457</v>
      </c>
    </row>
    <row r="2814">
      <c r="A2814" s="66">
        <v>41298.0</v>
      </c>
      <c r="B2814" s="75" t="s">
        <v>456</v>
      </c>
    </row>
    <row r="2815">
      <c r="A2815" s="66">
        <v>41297.0</v>
      </c>
      <c r="B2815" s="75" t="s">
        <v>455</v>
      </c>
    </row>
    <row r="2816">
      <c r="A2816" s="66">
        <v>41296.0</v>
      </c>
      <c r="B2816" s="75" t="s">
        <v>454</v>
      </c>
    </row>
    <row r="2817">
      <c r="A2817" s="66">
        <v>41295.0</v>
      </c>
      <c r="B2817" s="75" t="s">
        <v>453</v>
      </c>
    </row>
    <row r="2818">
      <c r="A2818" s="66">
        <v>41292.0</v>
      </c>
      <c r="B2818" s="75" t="s">
        <v>452</v>
      </c>
    </row>
    <row r="2819">
      <c r="A2819" s="66">
        <v>41291.0</v>
      </c>
      <c r="B2819" s="75" t="s">
        <v>451</v>
      </c>
    </row>
    <row r="2820">
      <c r="A2820" s="66">
        <v>41290.0</v>
      </c>
      <c r="B2820" s="75" t="s">
        <v>450</v>
      </c>
    </row>
    <row r="2821">
      <c r="A2821" s="66">
        <v>41289.0</v>
      </c>
      <c r="B2821" s="75" t="s">
        <v>449</v>
      </c>
    </row>
    <row r="2822">
      <c r="A2822" s="66">
        <v>41288.0</v>
      </c>
      <c r="B2822" s="75" t="s">
        <v>448</v>
      </c>
    </row>
    <row r="2823">
      <c r="A2823" s="66">
        <v>41285.0</v>
      </c>
      <c r="B2823" s="75" t="s">
        <v>447</v>
      </c>
    </row>
    <row r="2824">
      <c r="A2824" s="66">
        <v>41284.0</v>
      </c>
      <c r="B2824" s="75" t="s">
        <v>446</v>
      </c>
    </row>
    <row r="2825">
      <c r="A2825" s="66">
        <v>41283.0</v>
      </c>
      <c r="B2825" s="75" t="s">
        <v>445</v>
      </c>
    </row>
    <row r="2826">
      <c r="A2826" s="66">
        <v>41282.0</v>
      </c>
      <c r="B2826" s="75" t="s">
        <v>444</v>
      </c>
    </row>
    <row r="2827">
      <c r="A2827" s="66">
        <v>41281.0</v>
      </c>
      <c r="B2827" s="75" t="s">
        <v>443</v>
      </c>
    </row>
    <row r="2828">
      <c r="A2828" s="66">
        <v>41278.0</v>
      </c>
      <c r="B2828" s="75" t="s">
        <v>442</v>
      </c>
    </row>
    <row r="2829">
      <c r="A2829" s="66">
        <v>41277.0</v>
      </c>
      <c r="B2829" s="75" t="s">
        <v>441</v>
      </c>
    </row>
    <row r="2830">
      <c r="A2830" s="66">
        <v>41276.0</v>
      </c>
      <c r="B2830" s="75" t="s">
        <v>440</v>
      </c>
    </row>
    <row r="2831">
      <c r="A2831" s="66">
        <v>41271.0</v>
      </c>
      <c r="B2831" s="75" t="s">
        <v>439</v>
      </c>
    </row>
    <row r="2832">
      <c r="A2832" s="66">
        <v>41270.0</v>
      </c>
      <c r="B2832" s="75" t="s">
        <v>407</v>
      </c>
    </row>
    <row r="2833">
      <c r="A2833" s="66">
        <v>41269.0</v>
      </c>
      <c r="B2833" s="75" t="s">
        <v>438</v>
      </c>
    </row>
    <row r="2834">
      <c r="A2834" s="66">
        <v>41264.0</v>
      </c>
      <c r="B2834" s="75" t="s">
        <v>437</v>
      </c>
    </row>
    <row r="2835">
      <c r="A2835" s="66">
        <v>41263.0</v>
      </c>
      <c r="B2835" s="75" t="s">
        <v>436</v>
      </c>
    </row>
    <row r="2836">
      <c r="A2836" s="66">
        <v>41262.0</v>
      </c>
      <c r="B2836" s="75" t="s">
        <v>435</v>
      </c>
    </row>
    <row r="2837">
      <c r="A2837" s="66">
        <v>41261.0</v>
      </c>
      <c r="B2837" s="75" t="s">
        <v>434</v>
      </c>
    </row>
    <row r="2838">
      <c r="A2838" s="66">
        <v>41260.0</v>
      </c>
      <c r="B2838" s="75" t="s">
        <v>433</v>
      </c>
    </row>
    <row r="2839">
      <c r="A2839" s="66">
        <v>41256.0</v>
      </c>
      <c r="B2839" s="75" t="s">
        <v>432</v>
      </c>
    </row>
    <row r="2840">
      <c r="A2840" s="66">
        <v>41255.0</v>
      </c>
      <c r="B2840" s="75" t="s">
        <v>431</v>
      </c>
    </row>
    <row r="2841">
      <c r="A2841" s="66">
        <v>41254.0</v>
      </c>
      <c r="B2841" s="75" t="s">
        <v>430</v>
      </c>
    </row>
    <row r="2842">
      <c r="A2842" s="66">
        <v>41253.0</v>
      </c>
      <c r="B2842" s="75" t="s">
        <v>429</v>
      </c>
    </row>
    <row r="2843">
      <c r="A2843" s="66">
        <v>41250.0</v>
      </c>
      <c r="B2843" s="75" t="s">
        <v>428</v>
      </c>
    </row>
    <row r="2844">
      <c r="A2844" s="66">
        <v>41249.0</v>
      </c>
      <c r="B2844" s="75" t="s">
        <v>427</v>
      </c>
    </row>
    <row r="2845">
      <c r="A2845" s="66">
        <v>41248.0</v>
      </c>
      <c r="B2845" s="75" t="s">
        <v>426</v>
      </c>
    </row>
    <row r="2846">
      <c r="A2846" s="66">
        <v>41247.0</v>
      </c>
      <c r="B2846" s="75" t="s">
        <v>425</v>
      </c>
    </row>
    <row r="2847">
      <c r="A2847" s="66">
        <v>41246.0</v>
      </c>
      <c r="B2847" s="75" t="s">
        <v>424</v>
      </c>
    </row>
    <row r="2848">
      <c r="A2848" s="66">
        <v>41243.0</v>
      </c>
      <c r="B2848" s="75" t="s">
        <v>417</v>
      </c>
    </row>
    <row r="2849">
      <c r="A2849" s="66">
        <v>41242.0</v>
      </c>
      <c r="B2849" s="75" t="s">
        <v>423</v>
      </c>
    </row>
    <row r="2850">
      <c r="A2850" s="66">
        <v>41241.0</v>
      </c>
      <c r="B2850" s="75" t="s">
        <v>422</v>
      </c>
    </row>
    <row r="2851">
      <c r="A2851" s="66">
        <v>41240.0</v>
      </c>
      <c r="B2851" s="75" t="s">
        <v>421</v>
      </c>
    </row>
    <row r="2852">
      <c r="A2852" s="66">
        <v>41236.0</v>
      </c>
      <c r="B2852" s="75" t="s">
        <v>420</v>
      </c>
    </row>
    <row r="2853">
      <c r="A2853" s="66">
        <v>41234.0</v>
      </c>
      <c r="B2853" s="75" t="s">
        <v>419</v>
      </c>
    </row>
    <row r="2854">
      <c r="A2854" s="66">
        <v>41233.0</v>
      </c>
      <c r="B2854" s="75" t="s">
        <v>418</v>
      </c>
    </row>
    <row r="2855">
      <c r="A2855" s="66">
        <v>41232.0</v>
      </c>
      <c r="B2855" s="75" t="s">
        <v>417</v>
      </c>
    </row>
    <row r="2856">
      <c r="A2856" s="66">
        <v>41229.0</v>
      </c>
      <c r="B2856" s="75" t="s">
        <v>416</v>
      </c>
    </row>
    <row r="2857">
      <c r="A2857" s="66">
        <v>41228.0</v>
      </c>
      <c r="B2857" s="75" t="s">
        <v>415</v>
      </c>
    </row>
    <row r="2858">
      <c r="A2858" s="66">
        <v>41226.0</v>
      </c>
      <c r="B2858" s="75" t="s">
        <v>414</v>
      </c>
    </row>
    <row r="2859">
      <c r="A2859" s="66">
        <v>41225.0</v>
      </c>
      <c r="B2859" s="75" t="s">
        <v>413</v>
      </c>
    </row>
    <row r="2860">
      <c r="A2860" s="66">
        <v>41222.0</v>
      </c>
      <c r="B2860" s="75" t="s">
        <v>412</v>
      </c>
    </row>
    <row r="2861">
      <c r="A2861" s="66">
        <v>41221.0</v>
      </c>
      <c r="B2861" s="75" t="s">
        <v>411</v>
      </c>
    </row>
    <row r="2862">
      <c r="A2862" s="66">
        <v>41220.0</v>
      </c>
      <c r="B2862" s="75" t="s">
        <v>410</v>
      </c>
    </row>
    <row r="2863">
      <c r="A2863" s="66">
        <v>41218.0</v>
      </c>
      <c r="B2863" s="75" t="s">
        <v>409</v>
      </c>
    </row>
    <row r="2864">
      <c r="A2864" s="66">
        <v>41215.0</v>
      </c>
      <c r="B2864" s="75" t="s">
        <v>408</v>
      </c>
    </row>
    <row r="2865">
      <c r="A2865" s="66">
        <v>41214.0</v>
      </c>
      <c r="B2865" s="75" t="s">
        <v>407</v>
      </c>
    </row>
    <row r="2866">
      <c r="A2866" s="66">
        <v>41213.0</v>
      </c>
      <c r="B2866" s="75" t="s">
        <v>406</v>
      </c>
    </row>
    <row r="2867">
      <c r="A2867" s="66">
        <v>41212.0</v>
      </c>
      <c r="B2867" s="75" t="s">
        <v>405</v>
      </c>
    </row>
    <row r="2868">
      <c r="A2868" s="66">
        <v>41211.0</v>
      </c>
      <c r="B2868" s="75" t="s">
        <v>404</v>
      </c>
    </row>
    <row r="2869">
      <c r="A2869" s="66">
        <v>41208.0</v>
      </c>
      <c r="B2869" s="75" t="s">
        <v>403</v>
      </c>
    </row>
    <row r="2870">
      <c r="A2870" s="66">
        <v>41207.0</v>
      </c>
      <c r="B2870" s="75" t="s">
        <v>402</v>
      </c>
    </row>
    <row r="2871">
      <c r="A2871" s="66">
        <v>41206.0</v>
      </c>
      <c r="B2871" s="75" t="s">
        <v>401</v>
      </c>
    </row>
    <row r="2872">
      <c r="A2872" s="66">
        <v>41205.0</v>
      </c>
      <c r="B2872" s="75" t="s">
        <v>400</v>
      </c>
    </row>
    <row r="2873">
      <c r="A2873" s="66">
        <v>41204.0</v>
      </c>
      <c r="B2873" s="75" t="s">
        <v>399</v>
      </c>
    </row>
    <row r="2874">
      <c r="A2874" s="66">
        <v>41201.0</v>
      </c>
      <c r="B2874" s="75" t="s">
        <v>398</v>
      </c>
    </row>
    <row r="2875">
      <c r="A2875" s="66">
        <v>41200.0</v>
      </c>
      <c r="B2875" s="75" t="s">
        <v>397</v>
      </c>
    </row>
    <row r="2876">
      <c r="A2876" s="66">
        <v>41199.0</v>
      </c>
      <c r="B2876" s="75" t="s">
        <v>396</v>
      </c>
    </row>
    <row r="2877">
      <c r="A2877" s="66">
        <v>41198.0</v>
      </c>
      <c r="B2877" s="75" t="s">
        <v>395</v>
      </c>
    </row>
    <row r="2878">
      <c r="A2878" s="66">
        <v>41197.0</v>
      </c>
      <c r="B2878" s="75" t="s">
        <v>394</v>
      </c>
    </row>
    <row r="2879">
      <c r="A2879" s="66">
        <v>41194.0</v>
      </c>
      <c r="B2879" s="75" t="s">
        <v>393</v>
      </c>
    </row>
    <row r="2880">
      <c r="A2880" s="66">
        <v>41193.0</v>
      </c>
      <c r="B2880" s="75" t="s">
        <v>392</v>
      </c>
    </row>
    <row r="2881">
      <c r="A2881" s="66">
        <v>41192.0</v>
      </c>
      <c r="B2881" s="75" t="s">
        <v>391</v>
      </c>
    </row>
    <row r="2882">
      <c r="A2882" s="66">
        <v>41187.0</v>
      </c>
      <c r="B2882" s="75" t="s">
        <v>390</v>
      </c>
    </row>
    <row r="2883">
      <c r="A2883" s="66">
        <v>41186.0</v>
      </c>
      <c r="B2883" s="75" t="s">
        <v>389</v>
      </c>
    </row>
    <row r="2884">
      <c r="A2884" s="66">
        <v>41185.0</v>
      </c>
      <c r="B2884" s="75" t="s">
        <v>388</v>
      </c>
    </row>
    <row r="2885">
      <c r="A2885" s="66">
        <v>41184.0</v>
      </c>
      <c r="B2885" s="75" t="s">
        <v>387</v>
      </c>
    </row>
    <row r="2886">
      <c r="A2886" s="66">
        <v>41183.0</v>
      </c>
      <c r="B2886" s="75" t="s">
        <v>386</v>
      </c>
    </row>
    <row r="2887">
      <c r="A2887" s="66">
        <v>41180.0</v>
      </c>
      <c r="B2887" s="75" t="s">
        <v>385</v>
      </c>
    </row>
    <row r="2888">
      <c r="A2888" s="66">
        <v>41179.0</v>
      </c>
      <c r="B2888" s="75" t="s">
        <v>384</v>
      </c>
    </row>
    <row r="2889">
      <c r="A2889" s="66">
        <v>41177.0</v>
      </c>
      <c r="B2889" s="75" t="s">
        <v>383</v>
      </c>
    </row>
    <row r="2890">
      <c r="A2890" s="66">
        <v>41173.0</v>
      </c>
      <c r="B2890" s="75" t="s">
        <v>382</v>
      </c>
    </row>
    <row r="2891">
      <c r="A2891" s="66">
        <v>41172.0</v>
      </c>
      <c r="B2891" s="75" t="s">
        <v>381</v>
      </c>
    </row>
    <row r="2892">
      <c r="A2892" s="66">
        <v>41170.0</v>
      </c>
      <c r="B2892" s="75" t="s">
        <v>380</v>
      </c>
    </row>
    <row r="2893">
      <c r="A2893" s="66">
        <v>41169.0</v>
      </c>
      <c r="B2893" s="75" t="s">
        <v>379</v>
      </c>
    </row>
    <row r="2894">
      <c r="A2894" s="66">
        <v>41166.0</v>
      </c>
      <c r="B2894" s="75" t="s">
        <v>378</v>
      </c>
    </row>
    <row r="2895">
      <c r="A2895" s="66">
        <v>41165.0</v>
      </c>
      <c r="B2895" s="75" t="s">
        <v>377</v>
      </c>
    </row>
    <row r="2896">
      <c r="A2896" s="66">
        <v>41164.0</v>
      </c>
      <c r="B2896" s="75" t="s">
        <v>376</v>
      </c>
    </row>
    <row r="2897">
      <c r="A2897" s="66">
        <v>41163.0</v>
      </c>
      <c r="B2897" s="75" t="s">
        <v>375</v>
      </c>
    </row>
    <row r="2898">
      <c r="A2898" s="66">
        <v>41162.0</v>
      </c>
      <c r="B2898" s="75" t="s">
        <v>374</v>
      </c>
    </row>
    <row r="2899">
      <c r="A2899" s="66">
        <v>41159.0</v>
      </c>
      <c r="B2899" s="75" t="s">
        <v>373</v>
      </c>
    </row>
    <row r="2900">
      <c r="A2900" s="66">
        <v>41158.0</v>
      </c>
      <c r="B2900" s="75" t="s">
        <v>372</v>
      </c>
    </row>
    <row r="2901">
      <c r="A2901" s="66">
        <v>41157.0</v>
      </c>
      <c r="B2901" s="75" t="s">
        <v>371</v>
      </c>
    </row>
    <row r="2902">
      <c r="A2902" s="66">
        <v>41156.0</v>
      </c>
      <c r="B2902" s="75" t="s">
        <v>370</v>
      </c>
    </row>
    <row r="2903">
      <c r="A2903" s="66">
        <v>41155.0</v>
      </c>
      <c r="B2903" s="75" t="s">
        <v>369</v>
      </c>
    </row>
    <row r="2904">
      <c r="A2904" s="66">
        <v>41152.0</v>
      </c>
      <c r="B2904" s="75" t="s">
        <v>368</v>
      </c>
    </row>
    <row r="2905">
      <c r="A2905" s="66">
        <v>41151.0</v>
      </c>
      <c r="B2905" s="75" t="s">
        <v>367</v>
      </c>
    </row>
    <row r="2906">
      <c r="A2906" s="66">
        <v>41150.0</v>
      </c>
      <c r="B2906" s="75" t="s">
        <v>366</v>
      </c>
    </row>
    <row r="2907">
      <c r="A2907" s="66">
        <v>41149.0</v>
      </c>
      <c r="B2907" s="75" t="s">
        <v>365</v>
      </c>
    </row>
    <row r="2908">
      <c r="A2908" s="66">
        <v>41148.0</v>
      </c>
      <c r="B2908" s="75" t="s">
        <v>364</v>
      </c>
    </row>
    <row r="2909">
      <c r="A2909" s="66">
        <v>41145.0</v>
      </c>
      <c r="B2909" s="75" t="s">
        <v>363</v>
      </c>
    </row>
    <row r="2910">
      <c r="A2910" s="66">
        <v>41144.0</v>
      </c>
      <c r="B2910" s="75" t="s">
        <v>362</v>
      </c>
    </row>
    <row r="2911">
      <c r="A2911" s="66">
        <v>41143.0</v>
      </c>
      <c r="B2911" s="75" t="s">
        <v>361</v>
      </c>
    </row>
    <row r="2912">
      <c r="A2912" s="66">
        <v>41138.0</v>
      </c>
      <c r="B2912" s="75" t="s">
        <v>360</v>
      </c>
    </row>
    <row r="2913">
      <c r="A2913" s="66">
        <v>41137.0</v>
      </c>
      <c r="B2913" s="75" t="s">
        <v>359</v>
      </c>
    </row>
    <row r="2914">
      <c r="A2914" s="66">
        <v>41135.0</v>
      </c>
      <c r="B2914" s="75" t="s">
        <v>358</v>
      </c>
    </row>
    <row r="2915">
      <c r="A2915" s="66">
        <v>41134.0</v>
      </c>
      <c r="B2915" s="75" t="s">
        <v>357</v>
      </c>
    </row>
    <row r="2916">
      <c r="A2916" s="66">
        <v>41131.0</v>
      </c>
      <c r="B2916" s="75" t="s">
        <v>356</v>
      </c>
    </row>
    <row r="2917">
      <c r="A2917" s="66">
        <v>41130.0</v>
      </c>
      <c r="B2917" s="75" t="s">
        <v>355</v>
      </c>
    </row>
    <row r="2918">
      <c r="A2918" s="66">
        <v>41129.0</v>
      </c>
      <c r="B2918" s="75" t="s">
        <v>354</v>
      </c>
    </row>
    <row r="2919">
      <c r="A2919" s="66">
        <v>41128.0</v>
      </c>
      <c r="B2919" s="75" t="s">
        <v>353</v>
      </c>
    </row>
    <row r="2920">
      <c r="A2920" s="66">
        <v>41127.0</v>
      </c>
      <c r="B2920" s="75" t="s">
        <v>352</v>
      </c>
    </row>
    <row r="2921">
      <c r="A2921" s="66">
        <v>41124.0</v>
      </c>
      <c r="B2921" s="75" t="s">
        <v>351</v>
      </c>
    </row>
    <row r="2922">
      <c r="A2922" s="66">
        <v>41123.0</v>
      </c>
      <c r="B2922" s="75" t="s">
        <v>350</v>
      </c>
    </row>
    <row r="2923">
      <c r="A2923" s="66">
        <v>41122.0</v>
      </c>
      <c r="B2923" s="75" t="s">
        <v>349</v>
      </c>
    </row>
    <row r="2924">
      <c r="A2924" s="66">
        <v>41121.0</v>
      </c>
      <c r="B2924" s="75" t="s">
        <v>348</v>
      </c>
    </row>
    <row r="2925">
      <c r="A2925" s="66">
        <v>41120.0</v>
      </c>
      <c r="B2925" s="75" t="s">
        <v>347</v>
      </c>
    </row>
    <row r="2926">
      <c r="A2926" s="66">
        <v>41117.0</v>
      </c>
      <c r="B2926" s="75" t="s">
        <v>346</v>
      </c>
    </row>
    <row r="2927">
      <c r="A2927" s="66">
        <v>41116.0</v>
      </c>
      <c r="B2927" s="75" t="s">
        <v>345</v>
      </c>
    </row>
    <row r="2928">
      <c r="A2928" s="66">
        <v>41115.0</v>
      </c>
      <c r="B2928" s="75" t="s">
        <v>344</v>
      </c>
    </row>
    <row r="2929">
      <c r="A2929" s="66">
        <v>41114.0</v>
      </c>
      <c r="B2929" s="75" t="s">
        <v>343</v>
      </c>
    </row>
    <row r="2930">
      <c r="A2930" s="66">
        <v>41113.0</v>
      </c>
      <c r="B2930" s="75" t="s">
        <v>342</v>
      </c>
    </row>
    <row r="2931">
      <c r="A2931" s="66">
        <v>41109.0</v>
      </c>
      <c r="B2931" s="75" t="s">
        <v>341</v>
      </c>
    </row>
    <row r="2932">
      <c r="A2932" s="66">
        <v>41108.0</v>
      </c>
      <c r="B2932" s="75" t="s">
        <v>340</v>
      </c>
    </row>
    <row r="2933">
      <c r="A2933" s="66">
        <v>41107.0</v>
      </c>
      <c r="B2933" s="75" t="s">
        <v>339</v>
      </c>
    </row>
    <row r="2934">
      <c r="A2934" s="66">
        <v>41102.0</v>
      </c>
      <c r="B2934" s="75" t="s">
        <v>338</v>
      </c>
    </row>
    <row r="2935">
      <c r="A2935" s="66">
        <v>41101.0</v>
      </c>
      <c r="B2935" s="75" t="s">
        <v>337</v>
      </c>
    </row>
    <row r="2936">
      <c r="A2936" s="66">
        <v>41100.0</v>
      </c>
      <c r="B2936" s="75" t="s">
        <v>336</v>
      </c>
    </row>
    <row r="2937">
      <c r="A2937" s="66">
        <v>41095.0</v>
      </c>
      <c r="B2937" s="75" t="s">
        <v>335</v>
      </c>
    </row>
    <row r="2938">
      <c r="A2938" s="66">
        <v>41088.0</v>
      </c>
      <c r="B2938" s="75" t="s">
        <v>334</v>
      </c>
    </row>
    <row r="2939">
      <c r="A2939" s="66">
        <v>41087.0</v>
      </c>
      <c r="B2939" s="75" t="s">
        <v>333</v>
      </c>
    </row>
    <row r="2940">
      <c r="A2940" s="66">
        <v>41086.0</v>
      </c>
      <c r="B2940" s="75" t="s">
        <v>332</v>
      </c>
    </row>
    <row r="2941">
      <c r="A2941" s="66">
        <v>41085.0</v>
      </c>
      <c r="B2941" s="75" t="s">
        <v>331</v>
      </c>
    </row>
    <row r="2942">
      <c r="A2942" s="66">
        <v>41082.0</v>
      </c>
      <c r="B2942" s="75" t="s">
        <v>330</v>
      </c>
    </row>
    <row r="2943">
      <c r="A2943" s="66">
        <v>41081.0</v>
      </c>
      <c r="B2943" s="75" t="s">
        <v>329</v>
      </c>
    </row>
    <row r="2944">
      <c r="A2944" s="66">
        <v>41079.0</v>
      </c>
      <c r="B2944" s="75" t="s">
        <v>328</v>
      </c>
    </row>
    <row r="2945">
      <c r="A2945" s="66">
        <v>41078.0</v>
      </c>
      <c r="B2945" s="75" t="s">
        <v>327</v>
      </c>
    </row>
    <row r="2946">
      <c r="A2946" s="66">
        <v>41075.0</v>
      </c>
      <c r="B2946" s="75" t="s">
        <v>326</v>
      </c>
    </row>
    <row r="2947">
      <c r="A2947" s="66">
        <v>41074.0</v>
      </c>
      <c r="B2947" s="75" t="s">
        <v>325</v>
      </c>
    </row>
    <row r="2948">
      <c r="A2948" s="66">
        <v>41071.0</v>
      </c>
      <c r="B2948" s="75" t="s">
        <v>324</v>
      </c>
    </row>
    <row r="2949">
      <c r="A2949" s="66">
        <v>41067.0</v>
      </c>
      <c r="B2949" s="75" t="s">
        <v>323</v>
      </c>
    </row>
    <row r="2950">
      <c r="A2950" s="66">
        <v>41065.0</v>
      </c>
      <c r="B2950" s="75" t="s">
        <v>322</v>
      </c>
    </row>
    <row r="2951">
      <c r="A2951" s="66">
        <v>41064.0</v>
      </c>
      <c r="B2951" s="75" t="s">
        <v>321</v>
      </c>
    </row>
    <row r="2952">
      <c r="A2952" s="66">
        <v>41061.0</v>
      </c>
      <c r="B2952" s="75" t="s">
        <v>320</v>
      </c>
    </row>
    <row r="2953">
      <c r="A2953" s="66">
        <v>41060.0</v>
      </c>
      <c r="B2953" s="75" t="s">
        <v>319</v>
      </c>
    </row>
    <row r="2954">
      <c r="A2954" s="66">
        <v>41058.0</v>
      </c>
      <c r="B2954" s="75" t="s">
        <v>318</v>
      </c>
    </row>
    <row r="2955">
      <c r="A2955" s="66">
        <v>41057.0</v>
      </c>
      <c r="B2955" s="75" t="s">
        <v>317</v>
      </c>
    </row>
    <row r="2956">
      <c r="A2956" s="66">
        <v>41052.0</v>
      </c>
      <c r="B2956" s="75" t="s">
        <v>316</v>
      </c>
    </row>
    <row r="2957">
      <c r="A2957" s="66">
        <v>41050.0</v>
      </c>
      <c r="B2957" s="75" t="s">
        <v>315</v>
      </c>
    </row>
    <row r="2958">
      <c r="A2958" s="66">
        <v>41037.0</v>
      </c>
      <c r="B2958" s="75" t="s">
        <v>314</v>
      </c>
    </row>
    <row r="2959">
      <c r="A2959" s="66">
        <v>41033.0</v>
      </c>
      <c r="B2959" s="75" t="s">
        <v>313</v>
      </c>
    </row>
    <row r="2960">
      <c r="A2960" s="66">
        <v>41024.0</v>
      </c>
      <c r="B2960" s="75" t="s">
        <v>312</v>
      </c>
    </row>
    <row r="2961">
      <c r="A2961" s="66">
        <v>41023.0</v>
      </c>
      <c r="B2961" s="75" t="s">
        <v>311</v>
      </c>
    </row>
    <row r="2962">
      <c r="A2962" s="66">
        <v>41017.0</v>
      </c>
      <c r="B2962" s="75" t="s">
        <v>310</v>
      </c>
    </row>
    <row r="2963">
      <c r="A2963" s="66">
        <v>41015.0</v>
      </c>
      <c r="B2963" s="75" t="s">
        <v>309</v>
      </c>
    </row>
    <row r="2964">
      <c r="A2964" s="66">
        <v>41012.0</v>
      </c>
      <c r="B2964" s="75" t="s">
        <v>308</v>
      </c>
    </row>
    <row r="2965">
      <c r="A2965" s="66">
        <v>41011.0</v>
      </c>
      <c r="B2965" s="75" t="s">
        <v>307</v>
      </c>
    </row>
    <row r="2966">
      <c r="A2966" s="66">
        <v>41009.0</v>
      </c>
      <c r="B2966" s="75" t="s">
        <v>306</v>
      </c>
    </row>
    <row r="2967">
      <c r="A2967" s="66">
        <v>41008.0</v>
      </c>
      <c r="B2967" s="75" t="s">
        <v>305</v>
      </c>
    </row>
    <row r="2968">
      <c r="A2968" s="66">
        <v>41003.0</v>
      </c>
      <c r="B2968" s="75" t="s">
        <v>304</v>
      </c>
    </row>
    <row r="2969">
      <c r="A2969" s="66">
        <v>40991.0</v>
      </c>
      <c r="B2969" s="75" t="s">
        <v>303</v>
      </c>
    </row>
    <row r="2970">
      <c r="A2970" s="66">
        <v>40988.0</v>
      </c>
      <c r="B2970" s="75" t="s">
        <v>302</v>
      </c>
    </row>
    <row r="2971">
      <c r="A2971" s="66">
        <v>40987.0</v>
      </c>
      <c r="B2971" s="75" t="s">
        <v>301</v>
      </c>
    </row>
    <row r="2972">
      <c r="A2972" s="66">
        <v>40982.0</v>
      </c>
      <c r="B2972" s="75" t="s">
        <v>300</v>
      </c>
    </row>
    <row r="2973">
      <c r="A2973" s="66">
        <v>40980.0</v>
      </c>
      <c r="B2973" s="75" t="s">
        <v>299</v>
      </c>
    </row>
    <row r="2974">
      <c r="A2974" s="66">
        <v>40977.0</v>
      </c>
      <c r="B2974" s="75" t="s">
        <v>298</v>
      </c>
    </row>
    <row r="2975">
      <c r="A2975" s="66">
        <v>40976.0</v>
      </c>
      <c r="B2975" s="75" t="s">
        <v>297</v>
      </c>
    </row>
    <row r="2976">
      <c r="A2976" s="66">
        <v>40974.0</v>
      </c>
      <c r="B2976" s="75" t="s">
        <v>296</v>
      </c>
    </row>
    <row r="2977">
      <c r="A2977" s="66">
        <v>40968.0</v>
      </c>
      <c r="B2977" s="75" t="s">
        <v>295</v>
      </c>
    </row>
    <row r="2978">
      <c r="A2978" s="66">
        <v>40967.0</v>
      </c>
      <c r="B2978" s="75" t="s">
        <v>294</v>
      </c>
    </row>
    <row r="2979">
      <c r="A2979" s="66">
        <v>40962.0</v>
      </c>
      <c r="B2979" s="75" t="s">
        <v>293</v>
      </c>
    </row>
    <row r="2980">
      <c r="A2980" s="66">
        <v>40956.0</v>
      </c>
      <c r="B2980" s="75" t="s">
        <v>292</v>
      </c>
    </row>
    <row r="2981">
      <c r="A2981" s="66">
        <v>40955.0</v>
      </c>
      <c r="B2981" s="75" t="s">
        <v>291</v>
      </c>
    </row>
    <row r="2982">
      <c r="A2982" s="66">
        <v>40954.0</v>
      </c>
      <c r="B2982" s="75" t="s">
        <v>290</v>
      </c>
    </row>
    <row r="2983">
      <c r="A2983" s="66">
        <v>40953.0</v>
      </c>
      <c r="B2983" s="75" t="s">
        <v>289</v>
      </c>
    </row>
    <row r="2984">
      <c r="A2984" s="66">
        <v>40949.0</v>
      </c>
      <c r="B2984" s="75" t="s">
        <v>288</v>
      </c>
    </row>
    <row r="2985">
      <c r="A2985" s="66">
        <v>40940.0</v>
      </c>
      <c r="B2985" s="75" t="s">
        <v>287</v>
      </c>
    </row>
    <row r="2986">
      <c r="A2986" s="66">
        <v>40934.0</v>
      </c>
      <c r="B2986" s="75" t="s">
        <v>286</v>
      </c>
    </row>
    <row r="2987">
      <c r="A2987" s="66">
        <v>40932.0</v>
      </c>
      <c r="B2987" s="75" t="s">
        <v>285</v>
      </c>
    </row>
    <row r="2988">
      <c r="A2988" s="66">
        <v>40926.0</v>
      </c>
      <c r="B2988" s="75" t="s">
        <v>284</v>
      </c>
    </row>
    <row r="2989">
      <c r="A2989" s="66">
        <v>40920.0</v>
      </c>
      <c r="B2989" s="75" t="s">
        <v>283</v>
      </c>
    </row>
    <row r="2990">
      <c r="A2990" s="66">
        <v>40919.0</v>
      </c>
      <c r="B2990" s="75" t="s">
        <v>282</v>
      </c>
    </row>
    <row r="2991">
      <c r="A2991" s="66">
        <v>40918.0</v>
      </c>
      <c r="B2991" s="75" t="s">
        <v>281</v>
      </c>
    </row>
    <row r="2992">
      <c r="A2992" s="66">
        <v>40914.0</v>
      </c>
      <c r="B2992" s="75" t="s">
        <v>280</v>
      </c>
    </row>
    <row r="2993">
      <c r="A2993" s="66">
        <v>40900.0</v>
      </c>
      <c r="B2993" s="75" t="s">
        <v>279</v>
      </c>
    </row>
    <row r="2994">
      <c r="A2994" s="66">
        <v>40898.0</v>
      </c>
      <c r="B2994" s="75" t="s">
        <v>278</v>
      </c>
    </row>
    <row r="2995">
      <c r="A2995" s="66">
        <v>40897.0</v>
      </c>
      <c r="B2995" s="75" t="s">
        <v>277</v>
      </c>
    </row>
    <row r="2996">
      <c r="A2996" s="66">
        <v>40892.0</v>
      </c>
      <c r="B2996" s="75" t="s">
        <v>276</v>
      </c>
    </row>
    <row r="2997">
      <c r="A2997" s="66">
        <v>40890.0</v>
      </c>
      <c r="B2997" s="75" t="s">
        <v>275</v>
      </c>
    </row>
    <row r="2998">
      <c r="A2998" s="66">
        <v>40883.0</v>
      </c>
      <c r="B2998" s="75" t="s">
        <v>274</v>
      </c>
    </row>
    <row r="2999">
      <c r="A2999" s="66">
        <v>40879.0</v>
      </c>
      <c r="B2999" s="75" t="s">
        <v>273</v>
      </c>
    </row>
    <row r="3000">
      <c r="A3000" s="66">
        <v>40878.0</v>
      </c>
      <c r="B3000" s="75" t="s">
        <v>272</v>
      </c>
    </row>
    <row r="3001">
      <c r="A3001" s="66">
        <v>40877.0</v>
      </c>
      <c r="B3001" s="75" t="s">
        <v>271</v>
      </c>
    </row>
    <row r="3002">
      <c r="A3002" s="66">
        <v>40876.0</v>
      </c>
      <c r="B3002" s="75" t="s">
        <v>270</v>
      </c>
    </row>
    <row r="3003">
      <c r="A3003" s="66">
        <v>40870.0</v>
      </c>
      <c r="B3003" s="75" t="s">
        <v>269</v>
      </c>
    </row>
    <row r="3004">
      <c r="A3004" s="66">
        <v>40864.0</v>
      </c>
      <c r="B3004" s="75" t="s">
        <v>268</v>
      </c>
    </row>
    <row r="3005">
      <c r="A3005" s="66">
        <v>40863.0</v>
      </c>
      <c r="B3005" s="75" t="s">
        <v>267</v>
      </c>
    </row>
    <row r="3006">
      <c r="A3006" s="66">
        <v>40861.0</v>
      </c>
      <c r="B3006" s="75" t="s">
        <v>266</v>
      </c>
    </row>
    <row r="3007">
      <c r="A3007" s="66">
        <v>40858.0</v>
      </c>
      <c r="B3007" s="75" t="s">
        <v>265</v>
      </c>
    </row>
    <row r="3008">
      <c r="A3008" s="66">
        <v>40855.0</v>
      </c>
      <c r="B3008" s="75" t="s">
        <v>264</v>
      </c>
    </row>
    <row r="3009">
      <c r="A3009" s="66">
        <v>40854.0</v>
      </c>
      <c r="B3009" s="75" t="s">
        <v>263</v>
      </c>
    </row>
    <row r="3010">
      <c r="A3010" s="66">
        <v>40850.0</v>
      </c>
      <c r="B3010" s="75" t="s">
        <v>262</v>
      </c>
    </row>
    <row r="3011">
      <c r="A3011" s="66">
        <v>40849.0</v>
      </c>
      <c r="B3011" s="75" t="s">
        <v>261</v>
      </c>
    </row>
    <row r="3012">
      <c r="A3012" s="66">
        <v>40848.0</v>
      </c>
      <c r="B3012" s="75" t="s">
        <v>260</v>
      </c>
    </row>
    <row r="3013">
      <c r="A3013" s="66">
        <v>40847.0</v>
      </c>
      <c r="B3013" s="75" t="s">
        <v>259</v>
      </c>
    </row>
    <row r="3014">
      <c r="A3014" s="66">
        <v>40844.0</v>
      </c>
      <c r="B3014" s="75" t="s">
        <v>258</v>
      </c>
    </row>
    <row r="3015">
      <c r="A3015" s="66">
        <v>40840.0</v>
      </c>
      <c r="B3015" s="75" t="s">
        <v>257</v>
      </c>
    </row>
    <row r="3016">
      <c r="A3016" s="66">
        <v>40837.0</v>
      </c>
      <c r="B3016" s="75" t="s">
        <v>256</v>
      </c>
    </row>
    <row r="3017">
      <c r="A3017" s="66">
        <v>40836.0</v>
      </c>
      <c r="B3017" s="75" t="s">
        <v>255</v>
      </c>
    </row>
    <row r="3018">
      <c r="A3018" s="66">
        <v>40835.0</v>
      </c>
      <c r="B3018" s="75" t="s">
        <v>254</v>
      </c>
    </row>
    <row r="3019">
      <c r="A3019" s="66">
        <v>40834.0</v>
      </c>
      <c r="B3019" s="75" t="s">
        <v>253</v>
      </c>
    </row>
    <row r="3020">
      <c r="A3020" s="66">
        <v>40829.0</v>
      </c>
      <c r="B3020" s="75" t="s">
        <v>252</v>
      </c>
    </row>
    <row r="3021">
      <c r="A3021" s="66">
        <v>40827.0</v>
      </c>
      <c r="B3021" s="75" t="s">
        <v>251</v>
      </c>
    </row>
    <row r="3022">
      <c r="A3022" s="66">
        <v>40823.0</v>
      </c>
      <c r="B3022" s="75" t="s">
        <v>250</v>
      </c>
    </row>
    <row r="3023">
      <c r="A3023" s="66">
        <v>40822.0</v>
      </c>
      <c r="B3023" s="75" t="s">
        <v>249</v>
      </c>
    </row>
    <row r="3024">
      <c r="A3024" s="66">
        <v>40820.0</v>
      </c>
      <c r="B3024" s="75" t="s">
        <v>248</v>
      </c>
    </row>
    <row r="3025">
      <c r="A3025" s="66">
        <v>40819.0</v>
      </c>
      <c r="B3025" s="75" t="s">
        <v>247</v>
      </c>
    </row>
    <row r="3026">
      <c r="A3026" s="66">
        <v>40815.0</v>
      </c>
      <c r="B3026" s="75" t="s">
        <v>246</v>
      </c>
    </row>
    <row r="3027">
      <c r="A3027" s="66">
        <v>40814.0</v>
      </c>
      <c r="B3027" s="75" t="s">
        <v>245</v>
      </c>
    </row>
    <row r="3028">
      <c r="A3028" s="66">
        <v>40813.0</v>
      </c>
      <c r="B3028" s="75" t="s">
        <v>244</v>
      </c>
    </row>
    <row r="3029">
      <c r="A3029" s="66">
        <v>40812.0</v>
      </c>
      <c r="B3029" s="75" t="s">
        <v>243</v>
      </c>
    </row>
    <row r="3030">
      <c r="A3030" s="66">
        <v>40809.0</v>
      </c>
      <c r="B3030" s="75" t="s">
        <v>242</v>
      </c>
    </row>
    <row r="3031">
      <c r="A3031" s="66">
        <v>40808.0</v>
      </c>
      <c r="B3031" s="75" t="s">
        <v>241</v>
      </c>
    </row>
    <row r="3032">
      <c r="A3032" s="66">
        <v>40807.0</v>
      </c>
      <c r="B3032" s="75" t="s">
        <v>240</v>
      </c>
    </row>
    <row r="3033">
      <c r="A3033" s="66">
        <v>40806.0</v>
      </c>
      <c r="B3033" s="75" t="s">
        <v>239</v>
      </c>
    </row>
    <row r="3034">
      <c r="A3034" s="66">
        <v>40802.0</v>
      </c>
      <c r="B3034" s="75" t="s">
        <v>238</v>
      </c>
    </row>
    <row r="3035">
      <c r="A3035" s="66">
        <v>40800.0</v>
      </c>
      <c r="B3035" s="75" t="s">
        <v>237</v>
      </c>
    </row>
    <row r="3036">
      <c r="A3036" s="66">
        <v>40795.0</v>
      </c>
      <c r="B3036" s="75" t="s">
        <v>236</v>
      </c>
    </row>
    <row r="3037">
      <c r="A3037" s="66">
        <v>40793.0</v>
      </c>
      <c r="B3037" s="75" t="s">
        <v>235</v>
      </c>
    </row>
    <row r="3038">
      <c r="A3038" s="66">
        <v>40787.0</v>
      </c>
      <c r="B3038" s="75" t="s">
        <v>234</v>
      </c>
    </row>
    <row r="3039">
      <c r="A3039" s="66">
        <v>40786.0</v>
      </c>
      <c r="B3039" s="75" t="s">
        <v>233</v>
      </c>
    </row>
    <row r="3040">
      <c r="A3040" s="66">
        <v>40785.0</v>
      </c>
      <c r="B3040" s="75" t="s">
        <v>232</v>
      </c>
    </row>
    <row r="3041">
      <c r="A3041" s="66">
        <v>40784.0</v>
      </c>
      <c r="B3041" s="75" t="s">
        <v>231</v>
      </c>
    </row>
    <row r="3042">
      <c r="A3042" s="66">
        <v>40781.0</v>
      </c>
      <c r="B3042" s="75" t="s">
        <v>230</v>
      </c>
    </row>
    <row r="3043">
      <c r="A3043" s="66">
        <v>40779.0</v>
      </c>
      <c r="B3043" s="75" t="s">
        <v>229</v>
      </c>
    </row>
    <row r="3044">
      <c r="A3044" s="66">
        <v>40778.0</v>
      </c>
      <c r="B3044" s="75" t="s">
        <v>228</v>
      </c>
    </row>
    <row r="3045">
      <c r="A3045" s="66">
        <v>40773.0</v>
      </c>
      <c r="B3045" s="75" t="s">
        <v>227</v>
      </c>
    </row>
    <row r="3046">
      <c r="A3046" s="66">
        <v>40772.0</v>
      </c>
      <c r="B3046" s="75" t="s">
        <v>226</v>
      </c>
    </row>
    <row r="3047">
      <c r="A3047" s="66">
        <v>40771.0</v>
      </c>
      <c r="B3047" s="75" t="s">
        <v>198</v>
      </c>
    </row>
    <row r="3048">
      <c r="A3048" s="66">
        <v>40770.0</v>
      </c>
      <c r="B3048" s="75" t="s">
        <v>225</v>
      </c>
    </row>
    <row r="3049">
      <c r="A3049" s="66">
        <v>40767.0</v>
      </c>
      <c r="B3049" s="75" t="s">
        <v>224</v>
      </c>
    </row>
    <row r="3050">
      <c r="A3050" s="66">
        <v>40766.0</v>
      </c>
      <c r="B3050" s="75" t="s">
        <v>223</v>
      </c>
    </row>
    <row r="3051">
      <c r="A3051" s="66">
        <v>40765.0</v>
      </c>
      <c r="B3051" s="75" t="s">
        <v>222</v>
      </c>
    </row>
    <row r="3052">
      <c r="A3052" s="66">
        <v>40764.0</v>
      </c>
      <c r="B3052" s="75" t="s">
        <v>221</v>
      </c>
    </row>
    <row r="3053">
      <c r="A3053" s="66">
        <v>40763.0</v>
      </c>
      <c r="B3053" s="75" t="s">
        <v>220</v>
      </c>
    </row>
    <row r="3054">
      <c r="A3054" s="66">
        <v>40760.0</v>
      </c>
      <c r="B3054" s="75" t="s">
        <v>219</v>
      </c>
    </row>
    <row r="3055">
      <c r="A3055" s="66">
        <v>40759.0</v>
      </c>
      <c r="B3055" s="75" t="s">
        <v>218</v>
      </c>
    </row>
    <row r="3056">
      <c r="A3056" s="66">
        <v>40758.0</v>
      </c>
      <c r="B3056" s="75" t="s">
        <v>217</v>
      </c>
    </row>
    <row r="3057">
      <c r="A3057" s="66">
        <v>40757.0</v>
      </c>
      <c r="B3057" s="75" t="s">
        <v>216</v>
      </c>
    </row>
    <row r="3058">
      <c r="A3058" s="66">
        <v>40756.0</v>
      </c>
      <c r="B3058" s="75" t="s">
        <v>215</v>
      </c>
    </row>
    <row r="3059">
      <c r="A3059" s="66">
        <v>40750.0</v>
      </c>
      <c r="B3059" s="75" t="s">
        <v>214</v>
      </c>
    </row>
    <row r="3060">
      <c r="A3060" s="66">
        <v>40746.0</v>
      </c>
      <c r="B3060" s="75" t="s">
        <v>213</v>
      </c>
    </row>
    <row r="3061">
      <c r="A3061" s="66">
        <v>40745.0</v>
      </c>
      <c r="B3061" s="75" t="s">
        <v>212</v>
      </c>
    </row>
    <row r="3062">
      <c r="A3062" s="66">
        <v>40744.0</v>
      </c>
      <c r="B3062" s="75" t="s">
        <v>211</v>
      </c>
    </row>
    <row r="3063">
      <c r="A3063" s="66">
        <v>40743.0</v>
      </c>
      <c r="B3063" s="75" t="s">
        <v>210</v>
      </c>
    </row>
    <row r="3064">
      <c r="A3064" s="66">
        <v>40742.0</v>
      </c>
      <c r="B3064" s="75" t="s">
        <v>209</v>
      </c>
    </row>
    <row r="3065">
      <c r="A3065" s="66">
        <v>40739.0</v>
      </c>
      <c r="B3065" s="75" t="s">
        <v>208</v>
      </c>
    </row>
    <row r="3066">
      <c r="A3066" s="66">
        <v>40738.0</v>
      </c>
      <c r="B3066" s="75" t="s">
        <v>208</v>
      </c>
    </row>
    <row r="3067">
      <c r="A3067" s="66">
        <v>40737.0</v>
      </c>
      <c r="B3067" s="75" t="s">
        <v>207</v>
      </c>
    </row>
    <row r="3068">
      <c r="A3068" s="66">
        <v>40736.0</v>
      </c>
      <c r="B3068" s="75" t="s">
        <v>206</v>
      </c>
    </row>
    <row r="3069">
      <c r="A3069" s="66">
        <v>40729.0</v>
      </c>
      <c r="B3069" s="75" t="s">
        <v>205</v>
      </c>
    </row>
    <row r="3070">
      <c r="A3070" s="66">
        <v>40728.0</v>
      </c>
      <c r="B3070" s="75" t="s">
        <v>204</v>
      </c>
    </row>
    <row r="3071">
      <c r="A3071" s="66">
        <v>40725.0</v>
      </c>
      <c r="B3071" s="75" t="s">
        <v>203</v>
      </c>
    </row>
    <row r="3072">
      <c r="A3072" s="66">
        <v>40724.0</v>
      </c>
      <c r="B3072" s="75" t="s">
        <v>202</v>
      </c>
    </row>
    <row r="3073">
      <c r="A3073" s="66">
        <v>40722.0</v>
      </c>
      <c r="B3073" s="75" t="s">
        <v>201</v>
      </c>
    </row>
    <row r="3074">
      <c r="A3074" s="66">
        <v>40716.0</v>
      </c>
      <c r="B3074" s="75" t="s">
        <v>200</v>
      </c>
    </row>
    <row r="3075">
      <c r="A3075" s="66">
        <v>40704.0</v>
      </c>
      <c r="B3075" s="75" t="s">
        <v>199</v>
      </c>
    </row>
    <row r="3076">
      <c r="A3076" s="66">
        <v>40702.0</v>
      </c>
      <c r="B3076" s="75" t="s">
        <v>198</v>
      </c>
    </row>
    <row r="3077">
      <c r="A3077" s="66">
        <v>40701.0</v>
      </c>
      <c r="B3077" s="75" t="s">
        <v>197</v>
      </c>
    </row>
    <row r="3078">
      <c r="A3078" s="66">
        <v>40700.0</v>
      </c>
      <c r="B3078" s="75" t="s">
        <v>196</v>
      </c>
    </row>
    <row r="3079">
      <c r="A3079" s="66">
        <v>40697.0</v>
      </c>
      <c r="B3079" s="75" t="s">
        <v>195</v>
      </c>
    </row>
    <row r="3080">
      <c r="A3080" s="66">
        <v>40689.0</v>
      </c>
      <c r="B3080" s="75" t="s">
        <v>194</v>
      </c>
    </row>
    <row r="3081">
      <c r="A3081" s="66">
        <v>40687.0</v>
      </c>
      <c r="B3081" s="75" t="s">
        <v>193</v>
      </c>
    </row>
    <row r="3082">
      <c r="A3082" s="66">
        <v>40682.0</v>
      </c>
      <c r="B3082" s="75" t="s">
        <v>192</v>
      </c>
    </row>
    <row r="3083">
      <c r="A3083" s="66">
        <v>40673.0</v>
      </c>
      <c r="B3083" s="75" t="s">
        <v>191</v>
      </c>
    </row>
    <row r="3084">
      <c r="A3084" s="66">
        <v>40672.0</v>
      </c>
      <c r="B3084" s="75" t="s">
        <v>190</v>
      </c>
    </row>
    <row r="3085">
      <c r="A3085" s="66">
        <v>40666.0</v>
      </c>
      <c r="B3085" s="75" t="s">
        <v>189</v>
      </c>
    </row>
    <row r="3086">
      <c r="A3086" s="66">
        <v>40662.0</v>
      </c>
      <c r="B3086" s="75" t="s">
        <v>188</v>
      </c>
    </row>
    <row r="3087">
      <c r="A3087" s="66">
        <v>40658.0</v>
      </c>
      <c r="B3087" s="75" t="s">
        <v>187</v>
      </c>
    </row>
    <row r="3088">
      <c r="A3088" s="66">
        <v>40653.0</v>
      </c>
      <c r="B3088" s="75" t="s">
        <v>186</v>
      </c>
    </row>
    <row r="3089">
      <c r="A3089" s="66">
        <v>40648.0</v>
      </c>
      <c r="B3089" s="75" t="s">
        <v>185</v>
      </c>
    </row>
    <row r="3090">
      <c r="A3090" s="66">
        <v>40647.0</v>
      </c>
      <c r="B3090" s="75" t="s">
        <v>184</v>
      </c>
    </row>
    <row r="3091">
      <c r="A3091" s="66">
        <v>40646.0</v>
      </c>
      <c r="B3091" s="75" t="s">
        <v>183</v>
      </c>
    </row>
    <row r="3092">
      <c r="A3092" s="66">
        <v>40645.0</v>
      </c>
      <c r="B3092" s="75" t="s">
        <v>182</v>
      </c>
    </row>
    <row r="3093">
      <c r="A3093" s="66">
        <v>40641.0</v>
      </c>
      <c r="B3093" s="75" t="s">
        <v>181</v>
      </c>
    </row>
    <row r="3094">
      <c r="A3094" s="66">
        <v>40640.0</v>
      </c>
      <c r="B3094" s="75" t="s">
        <v>180</v>
      </c>
    </row>
    <row r="3095">
      <c r="A3095" s="66">
        <v>40637.0</v>
      </c>
      <c r="B3095" s="75" t="s">
        <v>179</v>
      </c>
    </row>
    <row r="3096">
      <c r="A3096" s="66">
        <v>40630.0</v>
      </c>
      <c r="B3096" s="75" t="s">
        <v>178</v>
      </c>
    </row>
    <row r="3097">
      <c r="A3097" s="66">
        <v>40625.0</v>
      </c>
      <c r="B3097" s="75" t="s">
        <v>177</v>
      </c>
    </row>
    <row r="3098">
      <c r="A3098" s="66">
        <v>40624.0</v>
      </c>
      <c r="B3098" s="75" t="s">
        <v>176</v>
      </c>
    </row>
    <row r="3099">
      <c r="A3099" s="66">
        <v>40620.0</v>
      </c>
      <c r="B3099" s="75" t="s">
        <v>175</v>
      </c>
    </row>
    <row r="3100">
      <c r="A3100" s="66">
        <v>40619.0</v>
      </c>
      <c r="B3100" s="75" t="s">
        <v>174</v>
      </c>
    </row>
    <row r="3101">
      <c r="A3101" s="66">
        <v>40618.0</v>
      </c>
      <c r="B3101" s="75" t="s">
        <v>173</v>
      </c>
    </row>
    <row r="3102">
      <c r="A3102" s="66">
        <v>40617.0</v>
      </c>
      <c r="B3102" s="75" t="s">
        <v>172</v>
      </c>
    </row>
    <row r="3103">
      <c r="A3103" s="66">
        <v>40616.0</v>
      </c>
      <c r="B3103" s="75" t="s">
        <v>171</v>
      </c>
    </row>
    <row r="3104">
      <c r="A3104" s="66">
        <v>40613.0</v>
      </c>
      <c r="B3104" s="75" t="s">
        <v>170</v>
      </c>
    </row>
    <row r="3105">
      <c r="A3105" s="66">
        <v>40612.0</v>
      </c>
      <c r="B3105" s="75" t="s">
        <v>170</v>
      </c>
    </row>
    <row r="3106">
      <c r="A3106" s="66">
        <v>40611.0</v>
      </c>
      <c r="B3106" s="75" t="s">
        <v>169</v>
      </c>
    </row>
    <row r="3107">
      <c r="A3107" s="66">
        <v>40605.0</v>
      </c>
      <c r="B3107" s="75" t="s">
        <v>168</v>
      </c>
    </row>
    <row r="3108">
      <c r="A3108" s="66">
        <v>40602.0</v>
      </c>
      <c r="B3108" s="75" t="s">
        <v>167</v>
      </c>
    </row>
    <row r="3109">
      <c r="A3109" s="66">
        <v>40599.0</v>
      </c>
      <c r="B3109" s="75" t="s">
        <v>166</v>
      </c>
    </row>
    <row r="3110">
      <c r="A3110" s="66">
        <v>40598.0</v>
      </c>
      <c r="B3110" s="75" t="s">
        <v>165</v>
      </c>
    </row>
    <row r="3111">
      <c r="A3111" s="66">
        <v>40597.0</v>
      </c>
      <c r="B3111" s="75" t="s">
        <v>164</v>
      </c>
    </row>
    <row r="3112">
      <c r="A3112" s="66">
        <v>40596.0</v>
      </c>
      <c r="B3112" s="75" t="s">
        <v>163</v>
      </c>
    </row>
    <row r="3113">
      <c r="A3113" s="66">
        <v>40590.0</v>
      </c>
      <c r="B3113" s="75" t="s">
        <v>162</v>
      </c>
    </row>
    <row r="3114">
      <c r="A3114" s="66">
        <v>40588.0</v>
      </c>
      <c r="B3114" s="75" t="s">
        <v>162</v>
      </c>
    </row>
    <row r="3115">
      <c r="A3115" s="66">
        <v>40582.0</v>
      </c>
      <c r="B3115" s="75" t="s">
        <v>161</v>
      </c>
    </row>
    <row r="3116">
      <c r="A3116" s="66">
        <v>40581.0</v>
      </c>
      <c r="B3116" s="75" t="s">
        <v>160</v>
      </c>
    </row>
    <row r="3117">
      <c r="A3117" s="66">
        <v>40576.0</v>
      </c>
      <c r="B3117" s="75" t="s">
        <v>159</v>
      </c>
    </row>
    <row r="3118">
      <c r="A3118" s="66">
        <v>40574.0</v>
      </c>
      <c r="B3118" s="75" t="s">
        <v>158</v>
      </c>
    </row>
    <row r="3119">
      <c r="A3119" s="66">
        <v>40571.0</v>
      </c>
      <c r="B3119" s="75" t="s">
        <v>157</v>
      </c>
    </row>
    <row r="3120">
      <c r="A3120" s="66">
        <v>40570.0</v>
      </c>
      <c r="B3120" s="75" t="s">
        <v>156</v>
      </c>
    </row>
    <row r="3121">
      <c r="A3121" s="66">
        <v>40569.0</v>
      </c>
      <c r="B3121" s="75" t="s">
        <v>155</v>
      </c>
    </row>
    <row r="3122">
      <c r="A3122" s="66">
        <v>40564.0</v>
      </c>
      <c r="B3122" s="75" t="s">
        <v>154</v>
      </c>
    </row>
    <row r="3123">
      <c r="A3123" s="66">
        <v>40563.0</v>
      </c>
      <c r="B3123" s="75" t="s">
        <v>153</v>
      </c>
    </row>
    <row r="3124">
      <c r="A3124" s="66">
        <v>40561.0</v>
      </c>
      <c r="B3124" s="75" t="s">
        <v>152</v>
      </c>
    </row>
    <row r="3125">
      <c r="A3125" s="66">
        <v>40560.0</v>
      </c>
      <c r="B3125" s="75" t="s">
        <v>151</v>
      </c>
    </row>
    <row r="3126">
      <c r="A3126" s="66">
        <v>40547.0</v>
      </c>
      <c r="B3126" s="75" t="s">
        <v>150</v>
      </c>
    </row>
    <row r="3127">
      <c r="A3127" s="66">
        <v>40535.0</v>
      </c>
      <c r="B3127" s="75" t="s">
        <v>149</v>
      </c>
    </row>
    <row r="3128">
      <c r="A3128" s="66">
        <v>40533.0</v>
      </c>
      <c r="B3128" s="75" t="s">
        <v>148</v>
      </c>
    </row>
    <row r="3129">
      <c r="A3129" s="66">
        <v>40522.0</v>
      </c>
      <c r="B3129" s="75" t="s">
        <v>147</v>
      </c>
    </row>
    <row r="3130">
      <c r="A3130" s="66">
        <v>40498.0</v>
      </c>
      <c r="B3130" s="75" t="s">
        <v>146</v>
      </c>
    </row>
    <row r="3131">
      <c r="A3131" s="66">
        <v>40497.0</v>
      </c>
      <c r="B3131" s="75" t="s">
        <v>145</v>
      </c>
    </row>
    <row r="3132">
      <c r="A3132" s="66">
        <v>40494.0</v>
      </c>
      <c r="B3132" s="75" t="s">
        <v>144</v>
      </c>
    </row>
    <row r="3133">
      <c r="A3133" s="66">
        <v>40493.0</v>
      </c>
      <c r="B3133" s="75" t="s">
        <v>143</v>
      </c>
    </row>
    <row r="3134">
      <c r="A3134" s="66">
        <v>40492.0</v>
      </c>
      <c r="B3134" s="75" t="s">
        <v>142</v>
      </c>
    </row>
    <row r="3135">
      <c r="A3135" s="66">
        <v>40491.0</v>
      </c>
      <c r="B3135" s="75" t="s">
        <v>141</v>
      </c>
    </row>
    <row r="3136">
      <c r="A3136" s="66">
        <v>40486.0</v>
      </c>
      <c r="B3136" s="75" t="s">
        <v>140</v>
      </c>
    </row>
    <row r="3137">
      <c r="A3137" s="66">
        <v>40484.0</v>
      </c>
      <c r="B3137" s="75" t="s">
        <v>139</v>
      </c>
    </row>
    <row r="3138">
      <c r="A3138" s="66">
        <v>40477.0</v>
      </c>
      <c r="B3138" s="75" t="s">
        <v>138</v>
      </c>
    </row>
    <row r="3139">
      <c r="A3139" s="66">
        <v>40472.0</v>
      </c>
      <c r="B3139" s="75" t="s">
        <v>137</v>
      </c>
    </row>
    <row r="3140">
      <c r="A3140" s="66">
        <v>40470.0</v>
      </c>
      <c r="B3140" s="75" t="s">
        <v>136</v>
      </c>
    </row>
    <row r="3141">
      <c r="A3141" s="66">
        <v>40457.0</v>
      </c>
      <c r="B3141" s="75" t="s">
        <v>135</v>
      </c>
    </row>
    <row r="3142">
      <c r="A3142" s="66">
        <v>40451.0</v>
      </c>
      <c r="B3142" s="75" t="s">
        <v>134</v>
      </c>
    </row>
    <row r="3143">
      <c r="A3143" s="66">
        <v>40443.0</v>
      </c>
      <c r="B3143" s="75" t="s">
        <v>133</v>
      </c>
    </row>
    <row r="3144">
      <c r="A3144" s="66">
        <v>40442.0</v>
      </c>
      <c r="B3144" s="75" t="s">
        <v>132</v>
      </c>
    </row>
    <row r="3145">
      <c r="A3145" s="66">
        <v>40441.0</v>
      </c>
      <c r="B3145" s="75" t="s">
        <v>131</v>
      </c>
    </row>
    <row r="3146">
      <c r="A3146" s="66">
        <v>40434.0</v>
      </c>
      <c r="B3146" s="75" t="s">
        <v>130</v>
      </c>
    </row>
    <row r="3147">
      <c r="A3147" s="66">
        <v>40431.0</v>
      </c>
      <c r="B3147" s="75" t="s">
        <v>129</v>
      </c>
    </row>
    <row r="3148">
      <c r="A3148" s="66">
        <v>40430.0</v>
      </c>
      <c r="B3148" s="75" t="s">
        <v>128</v>
      </c>
    </row>
    <row r="3149">
      <c r="A3149" s="66">
        <v>40421.0</v>
      </c>
      <c r="B3149" s="75" t="s">
        <v>127</v>
      </c>
    </row>
    <row r="3150">
      <c r="A3150" s="66">
        <v>40415.0</v>
      </c>
      <c r="B3150" s="75" t="s">
        <v>126</v>
      </c>
    </row>
    <row r="3151">
      <c r="A3151" s="66">
        <v>40408.0</v>
      </c>
      <c r="B3151" s="75" t="s">
        <v>125</v>
      </c>
    </row>
    <row r="3152">
      <c r="A3152" s="66">
        <v>40407.0</v>
      </c>
      <c r="B3152" s="75" t="s">
        <v>124</v>
      </c>
    </row>
    <row r="3153">
      <c r="A3153" s="66">
        <v>40402.0</v>
      </c>
      <c r="B3153" s="75" t="s">
        <v>123</v>
      </c>
    </row>
    <row r="3154">
      <c r="A3154" s="66">
        <v>40389.0</v>
      </c>
      <c r="B3154" s="75" t="s">
        <v>122</v>
      </c>
    </row>
    <row r="3155">
      <c r="A3155" s="66">
        <v>40388.0</v>
      </c>
      <c r="B3155" s="75" t="s">
        <v>120</v>
      </c>
    </row>
    <row r="3156">
      <c r="A3156" s="66">
        <v>40386.0</v>
      </c>
      <c r="B3156" s="75" t="s">
        <v>121</v>
      </c>
    </row>
    <row r="3157">
      <c r="A3157" s="66">
        <v>40385.0</v>
      </c>
      <c r="B3157" s="75" t="s">
        <v>120</v>
      </c>
    </row>
    <row r="3158">
      <c r="A3158" s="66">
        <v>40382.0</v>
      </c>
      <c r="B3158" s="75" t="s">
        <v>119</v>
      </c>
    </row>
    <row r="3159">
      <c r="A3159" s="66">
        <v>40373.0</v>
      </c>
      <c r="B3159" s="75" t="s">
        <v>118</v>
      </c>
    </row>
    <row r="3160">
      <c r="A3160" s="66">
        <v>40365.0</v>
      </c>
      <c r="B3160" s="75" t="s">
        <v>117</v>
      </c>
    </row>
    <row r="3161">
      <c r="A3161" s="66">
        <v>40360.0</v>
      </c>
      <c r="B3161" s="75" t="s">
        <v>116</v>
      </c>
    </row>
    <row r="3162">
      <c r="A3162" s="66">
        <v>40338.0</v>
      </c>
      <c r="B3162" s="75" t="s">
        <v>115</v>
      </c>
    </row>
    <row r="3163">
      <c r="A3163" s="66">
        <v>40309.0</v>
      </c>
      <c r="B3163" s="75" t="s">
        <v>114</v>
      </c>
    </row>
    <row r="3164">
      <c r="A3164" s="66">
        <v>40308.0</v>
      </c>
      <c r="B3164" s="75" t="s">
        <v>113</v>
      </c>
    </row>
    <row r="3165">
      <c r="A3165" s="66">
        <v>40303.0</v>
      </c>
      <c r="B3165" s="75" t="s">
        <v>112</v>
      </c>
    </row>
    <row r="3166">
      <c r="A3166" s="66">
        <v>40302.0</v>
      </c>
      <c r="B3166" s="75" t="s">
        <v>111</v>
      </c>
    </row>
    <row r="3167">
      <c r="A3167" s="66">
        <v>40301.0</v>
      </c>
      <c r="B3167" s="75" t="s">
        <v>110</v>
      </c>
    </row>
    <row r="3168">
      <c r="A3168" s="66">
        <v>40295.0</v>
      </c>
      <c r="B3168" s="75" t="s">
        <v>109</v>
      </c>
    </row>
    <row r="3169">
      <c r="A3169" s="66">
        <v>40287.0</v>
      </c>
      <c r="B3169" s="75" t="s">
        <v>108</v>
      </c>
    </row>
    <row r="3170">
      <c r="A3170" s="66">
        <v>40281.0</v>
      </c>
      <c r="B3170" s="75" t="s">
        <v>107</v>
      </c>
    </row>
    <row r="3171">
      <c r="A3171" s="66">
        <v>40280.0</v>
      </c>
      <c r="B3171" s="75" t="s">
        <v>106</v>
      </c>
    </row>
    <row r="3172">
      <c r="A3172" s="66">
        <v>40277.0</v>
      </c>
      <c r="B3172" s="75" t="s">
        <v>105</v>
      </c>
    </row>
    <row r="3173">
      <c r="A3173" s="66">
        <v>40262.0</v>
      </c>
      <c r="B3173" s="75" t="s">
        <v>104</v>
      </c>
    </row>
    <row r="3174">
      <c r="A3174" s="66">
        <v>40254.0</v>
      </c>
      <c r="B3174" s="75" t="s">
        <v>103</v>
      </c>
    </row>
    <row r="3175">
      <c r="A3175" s="66">
        <v>40253.0</v>
      </c>
      <c r="B3175" s="75" t="s">
        <v>102</v>
      </c>
    </row>
    <row r="3176">
      <c r="A3176" s="66">
        <v>40249.0</v>
      </c>
      <c r="B3176" s="75" t="s">
        <v>101</v>
      </c>
    </row>
    <row r="3177">
      <c r="A3177" s="66">
        <v>40246.0</v>
      </c>
      <c r="B3177" s="75" t="s">
        <v>100</v>
      </c>
    </row>
    <row r="3178">
      <c r="A3178" s="66">
        <v>40235.0</v>
      </c>
      <c r="B3178" s="75" t="s">
        <v>99</v>
      </c>
    </row>
    <row r="3179">
      <c r="A3179" s="66">
        <v>40231.0</v>
      </c>
      <c r="B3179" s="75" t="s">
        <v>98</v>
      </c>
    </row>
  </sheetData>
  <mergeCells count="1">
    <mergeCell ref="A1:B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17.13"/>
    <col customWidth="1" min="3" max="5" width="10.75"/>
    <col customWidth="1" min="6" max="6" width="6.38"/>
    <col customWidth="1" min="7" max="7" width="15.13"/>
    <col customWidth="1" min="8" max="8" width="16.38"/>
    <col customWidth="1" min="9" max="9" width="15.0"/>
    <col customWidth="1" min="10" max="10" width="16.88"/>
    <col customWidth="1" min="11" max="11" width="15.5"/>
    <col customWidth="1" min="12" max="12" width="10.75"/>
    <col customWidth="1" min="13" max="13" width="19.75"/>
    <col customWidth="1" min="14" max="14" width="15.5"/>
    <col customWidth="1" min="15" max="15" width="3.0"/>
    <col customWidth="1" min="16" max="16" width="14.5"/>
    <col customWidth="1" min="17" max="17" width="10.13"/>
    <col customWidth="1" min="23" max="23" width="3.0"/>
    <col customWidth="1" min="28" max="28" width="3.0"/>
    <col customWidth="1" min="29" max="29" width="24.38"/>
    <col customWidth="1" min="30" max="30" width="15.88"/>
    <col customWidth="1" min="31" max="31" width="2.5"/>
  </cols>
  <sheetData>
    <row r="1">
      <c r="A1" s="3" t="s">
        <v>14</v>
      </c>
      <c r="B1" s="3" t="s">
        <v>15</v>
      </c>
      <c r="C1" s="3" t="s">
        <v>16</v>
      </c>
      <c r="D1" s="3" t="s">
        <v>17</v>
      </c>
      <c r="E1" s="16" t="s">
        <v>18</v>
      </c>
      <c r="F1" s="3" t="s">
        <v>19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28</v>
      </c>
      <c r="M1" s="3" t="s">
        <v>33</v>
      </c>
      <c r="N1" s="3" t="s">
        <v>34</v>
      </c>
      <c r="O1" s="18"/>
      <c r="P1" s="3" t="s">
        <v>35</v>
      </c>
      <c r="Q1" s="76" t="s">
        <v>21</v>
      </c>
      <c r="R1" s="3" t="s">
        <v>36</v>
      </c>
      <c r="S1" s="3" t="s">
        <v>37</v>
      </c>
      <c r="T1" s="13" t="s">
        <v>38</v>
      </c>
      <c r="U1" s="3" t="s">
        <v>33</v>
      </c>
      <c r="V1" s="13" t="s">
        <v>39</v>
      </c>
      <c r="W1" s="18"/>
      <c r="X1" s="18"/>
      <c r="Y1" s="18"/>
      <c r="Z1" s="18"/>
      <c r="AA1" s="18"/>
      <c r="AB1" s="18"/>
      <c r="AC1" s="77" t="s">
        <v>11</v>
      </c>
      <c r="AD1" s="77" t="s">
        <v>44</v>
      </c>
      <c r="AE1" s="18"/>
    </row>
    <row r="2">
      <c r="A2" s="5" t="s">
        <v>3611</v>
      </c>
      <c r="B2" s="5" t="s">
        <v>3612</v>
      </c>
      <c r="C2" s="11">
        <v>45304.0</v>
      </c>
      <c r="D2" s="5" t="s">
        <v>42</v>
      </c>
      <c r="E2" s="19"/>
      <c r="F2" s="20">
        <f t="shared" ref="F2:F29" si="1">if($B2=0,"...", IF($E2=0,today()-$C2,$E2-$C2))</f>
        <v>692</v>
      </c>
      <c r="G2" s="78">
        <v>0.00111963</v>
      </c>
      <c r="H2" s="21">
        <v>40213.0</v>
      </c>
      <c r="I2" s="22"/>
      <c r="J2" s="79">
        <f t="shared" ref="J2:J29" si="2">if(B2=0,"...",VLOOKUP(B2,$AC$1:$AD$28,2,FALSE))
</f>
        <v>90548</v>
      </c>
      <c r="K2" s="9">
        <f t="shared" ref="K2:K29" si="3">if(B2=0,"...",$G2*H2)</f>
        <v>45.02368119</v>
      </c>
      <c r="L2" s="9">
        <f>if(B2=0,"...",$G2*(IF(D2="ABIERTA",J2,I2)*(1-VLOOKUP(A2,Config!$A$3:$B32,2,FALSE))))</f>
        <v>101.3802572</v>
      </c>
      <c r="M2" s="10">
        <f t="shared" ref="M2:M29" si="4">if(B2=0,"...",L2/K2-1)</f>
        <v>1.251709646</v>
      </c>
      <c r="N2" s="9">
        <f t="shared" ref="N2:N29" si="5">if(B2=0,"...",L2-K2)</f>
        <v>56.35657605</v>
      </c>
      <c r="O2" s="18"/>
      <c r="P2" s="9" t="str">
        <f t="array" ref="P2:P5">Unique(B2:B32)</f>
        <v>BTC</v>
      </c>
      <c r="Q2" s="80">
        <f t="shared" ref="Q2:Q23" si="6">if(P2=0,"...",sumifs($G$2:$G32,$B$2:$B32,P2,$D$2:$D32,"ABIERTA"))</f>
        <v>0.00490492</v>
      </c>
      <c r="R2" s="10">
        <f t="shared" ref="R2:R23" si="7">if(P2=0,"",T2/$Y$20)</f>
        <v>1</v>
      </c>
      <c r="S2" s="9">
        <f t="shared" ref="S2:S32" si="8">if(Q2=0,"...",if(P2=0,"...",sumifs($K$2:$K32,$B$2:$B32,P2,$D$2:$D32,"ABIERTA")/Q2))</f>
        <v>54868.17493</v>
      </c>
      <c r="T2" s="15">
        <f t="shared" ref="T2:T26" si="9">if(P2=0,"...",sumifs($L$2:$L32,$B$2:$B32,P2,$D$2:$D32,"ABIERTA"))</f>
        <v>444.1306962</v>
      </c>
      <c r="U2" s="10">
        <f t="shared" ref="U2:U32" si="10">if(Q2=0,"...",if(P2=0,"...",V2/(T2-V2)))</f>
        <v>0.6502827025</v>
      </c>
      <c r="V2" s="15">
        <f t="shared" ref="V2:V32" si="11">if(Q2=0,"...",if(P2=0,"...",sumifs($N$2:$N32,$B$2:$B32,P2,$D$2:$D32,"ABIERTA")))</f>
        <v>175.0066876</v>
      </c>
      <c r="W2" s="18"/>
      <c r="X2" s="18"/>
      <c r="Y2" s="18"/>
      <c r="Z2" s="18"/>
      <c r="AA2" s="18"/>
      <c r="AB2" s="18"/>
      <c r="AC2" s="81" t="s">
        <v>3612</v>
      </c>
      <c r="AD2" s="82">
        <f>IFERROR(__xludf.DUMMYFUNCTION("IF(AC2="""",""..."",IMPORTDATA(""https://cryptoprices.cc/""&amp;$AC2&amp;""/"","""",""en_US""))"),90548.0)</f>
        <v>90548</v>
      </c>
      <c r="AE2" s="83"/>
    </row>
    <row r="3">
      <c r="A3" s="5" t="s">
        <v>3611</v>
      </c>
      <c r="B3" s="5" t="s">
        <v>3613</v>
      </c>
      <c r="C3" s="11">
        <v>45317.0</v>
      </c>
      <c r="D3" s="5" t="s">
        <v>61</v>
      </c>
      <c r="E3" s="11">
        <v>45317.0</v>
      </c>
      <c r="F3" s="20">
        <f t="shared" si="1"/>
        <v>0</v>
      </c>
      <c r="G3" s="5">
        <v>19.0</v>
      </c>
      <c r="H3" s="84">
        <v>0.998344</v>
      </c>
      <c r="I3" s="22">
        <f t="shared" ref="I3:I4" si="12">if(B3=0,"...",VLOOKUP(B3,$AC$1:$AD$28,2,FALSE))
</f>
        <v>1</v>
      </c>
      <c r="J3" s="79">
        <f t="shared" si="2"/>
        <v>1</v>
      </c>
      <c r="K3" s="9">
        <f t="shared" si="3"/>
        <v>18.968536</v>
      </c>
      <c r="L3" s="9">
        <f>if(B3=0,"...",$G3*(IF(D3="ABIERTA",J3,I3)*(1-VLOOKUP(A3,Config!$A$3:$B32,2,FALSE))))</f>
        <v>19</v>
      </c>
      <c r="M3" s="10">
        <f t="shared" si="4"/>
        <v>0.001658746885</v>
      </c>
      <c r="N3" s="9">
        <f t="shared" si="5"/>
        <v>0.031464</v>
      </c>
      <c r="O3" s="18"/>
      <c r="P3" s="9" t="s">
        <v>3613</v>
      </c>
      <c r="Q3" s="80">
        <f t="shared" si="6"/>
        <v>0</v>
      </c>
      <c r="R3" s="10">
        <f t="shared" si="7"/>
        <v>0</v>
      </c>
      <c r="S3" s="9" t="str">
        <f t="shared" si="8"/>
        <v>...</v>
      </c>
      <c r="T3" s="15">
        <f t="shared" si="9"/>
        <v>0</v>
      </c>
      <c r="U3" s="10" t="str">
        <f t="shared" si="10"/>
        <v>...</v>
      </c>
      <c r="V3" s="15" t="str">
        <f t="shared" si="11"/>
        <v>...</v>
      </c>
      <c r="W3" s="18"/>
      <c r="X3" s="18"/>
      <c r="Y3" s="18"/>
      <c r="Z3" s="18"/>
      <c r="AA3" s="18"/>
      <c r="AB3" s="18"/>
      <c r="AC3" s="81" t="s">
        <v>3613</v>
      </c>
      <c r="AD3" s="82">
        <f>IFERROR(__xludf.DUMMYFUNCTION("IF(AC3="""",""..."",IMPORTDATA(""https://cryptoprices.cc/""&amp;$AC3&amp;""/"","""",""en_US""))"),1.0)</f>
        <v>1</v>
      </c>
      <c r="AE3" s="83"/>
    </row>
    <row r="4">
      <c r="A4" s="5" t="s">
        <v>3614</v>
      </c>
      <c r="B4" s="5" t="s">
        <v>3613</v>
      </c>
      <c r="C4" s="11">
        <v>45295.0</v>
      </c>
      <c r="D4" s="5" t="s">
        <v>61</v>
      </c>
      <c r="E4" s="11">
        <v>45295.0</v>
      </c>
      <c r="F4" s="20">
        <f t="shared" si="1"/>
        <v>0</v>
      </c>
      <c r="G4" s="5">
        <v>484.0</v>
      </c>
      <c r="H4" s="84">
        <v>0.998344</v>
      </c>
      <c r="I4" s="22">
        <f t="shared" si="12"/>
        <v>1</v>
      </c>
      <c r="J4" s="79">
        <f t="shared" si="2"/>
        <v>1</v>
      </c>
      <c r="K4" s="9">
        <f t="shared" si="3"/>
        <v>483.198496</v>
      </c>
      <c r="L4" s="9">
        <f>if(B4=0,"...",$G4*(IF(D4="ABIERTA",J4,I4)*(1-VLOOKUP(A4,Config!$A$3:$B32,2,FALSE))))</f>
        <v>484</v>
      </c>
      <c r="M4" s="10">
        <f t="shared" si="4"/>
        <v>0.001658746885</v>
      </c>
      <c r="N4" s="9">
        <f t="shared" si="5"/>
        <v>0.801504</v>
      </c>
      <c r="O4" s="18"/>
      <c r="P4" s="9" t="s">
        <v>3615</v>
      </c>
      <c r="Q4" s="80">
        <f t="shared" si="6"/>
        <v>0</v>
      </c>
      <c r="R4" s="10">
        <f t="shared" si="7"/>
        <v>0</v>
      </c>
      <c r="S4" s="9" t="str">
        <f t="shared" si="8"/>
        <v>...</v>
      </c>
      <c r="T4" s="15">
        <f t="shared" si="9"/>
        <v>0</v>
      </c>
      <c r="U4" s="10" t="str">
        <f t="shared" si="10"/>
        <v>...</v>
      </c>
      <c r="V4" s="15" t="str">
        <f t="shared" si="11"/>
        <v>...</v>
      </c>
      <c r="W4" s="18"/>
      <c r="X4" s="18"/>
      <c r="Y4" s="18"/>
      <c r="Z4" s="18"/>
      <c r="AA4" s="18"/>
      <c r="AB4" s="18"/>
      <c r="AC4" s="81" t="s">
        <v>3615</v>
      </c>
      <c r="AD4" s="82">
        <f>IFERROR(__xludf.DUMMYFUNCTION("IF(AC4="""",""..."",IMPORTDATA(""https://cryptoprices.cc/""&amp;$AC4&amp;""/"","""",""en_US""))"),3103.5)</f>
        <v>3103.5</v>
      </c>
      <c r="AE4" s="83"/>
    </row>
    <row r="5" ht="16.5" customHeight="1">
      <c r="A5" s="5" t="s">
        <v>3616</v>
      </c>
      <c r="B5" s="5" t="s">
        <v>3612</v>
      </c>
      <c r="C5" s="11">
        <v>45294.0</v>
      </c>
      <c r="D5" s="5" t="s">
        <v>42</v>
      </c>
      <c r="E5" s="19"/>
      <c r="F5" s="20">
        <f t="shared" si="1"/>
        <v>702</v>
      </c>
      <c r="G5" s="78">
        <v>0.00101719</v>
      </c>
      <c r="H5" s="21">
        <v>42273.3216</v>
      </c>
      <c r="I5" s="22"/>
      <c r="J5" s="79">
        <f t="shared" si="2"/>
        <v>90548</v>
      </c>
      <c r="K5" s="9">
        <f t="shared" si="3"/>
        <v>43</v>
      </c>
      <c r="L5" s="9">
        <f>if(B5=0,"...",$G5*(IF(D5="ABIERTA",J5,I5)*(1-VLOOKUP(A5,Config!$A$3:$B32,2,FALSE))))</f>
        <v>92.10452012</v>
      </c>
      <c r="M5" s="10">
        <f t="shared" si="4"/>
        <v>1.141965584</v>
      </c>
      <c r="N5" s="9">
        <f t="shared" si="5"/>
        <v>49.10452012</v>
      </c>
      <c r="O5" s="18"/>
      <c r="P5" s="9"/>
      <c r="Q5" s="80" t="str">
        <f t="shared" si="6"/>
        <v>...</v>
      </c>
      <c r="R5" s="10" t="str">
        <f t="shared" si="7"/>
        <v/>
      </c>
      <c r="S5" s="9" t="str">
        <f t="shared" si="8"/>
        <v>...</v>
      </c>
      <c r="T5" s="15" t="str">
        <f t="shared" si="9"/>
        <v>...</v>
      </c>
      <c r="U5" s="10" t="str">
        <f t="shared" si="10"/>
        <v>...</v>
      </c>
      <c r="V5" s="15" t="str">
        <f t="shared" si="11"/>
        <v>...</v>
      </c>
      <c r="W5" s="18"/>
      <c r="X5" s="18"/>
      <c r="Y5" s="18"/>
      <c r="Z5" s="18"/>
      <c r="AA5" s="18"/>
      <c r="AB5" s="18"/>
      <c r="AC5" s="81" t="s">
        <v>3617</v>
      </c>
      <c r="AD5" s="82">
        <f>IFERROR(__xludf.DUMMYFUNCTION("IF(AC5="""",""..."",IMPORTDATA(""https://cryptoprices.cc/""&amp;$AC5&amp;""/"","""",""en_US""))"),0.975038)</f>
        <v>0.975038</v>
      </c>
      <c r="AE5" s="83"/>
    </row>
    <row r="6">
      <c r="A6" s="5" t="s">
        <v>3618</v>
      </c>
      <c r="B6" s="5" t="s">
        <v>3615</v>
      </c>
      <c r="C6" s="11">
        <v>45300.0</v>
      </c>
      <c r="D6" s="5" t="s">
        <v>61</v>
      </c>
      <c r="E6" s="11">
        <v>45304.0</v>
      </c>
      <c r="F6" s="20">
        <f t="shared" si="1"/>
        <v>4</v>
      </c>
      <c r="G6" s="78">
        <v>0.0398768</v>
      </c>
      <c r="H6" s="21">
        <v>2266.76446</v>
      </c>
      <c r="I6" s="21">
        <v>2589.08</v>
      </c>
      <c r="J6" s="79">
        <f t="shared" si="2"/>
        <v>3103.5</v>
      </c>
      <c r="K6" s="9">
        <f t="shared" si="3"/>
        <v>90.39131302</v>
      </c>
      <c r="L6" s="9">
        <f>if(B6=0,"...",$G6*(IF(D6="ABIERTA",J6,I6)*(1-VLOOKUP(A6,Config!$A$3:$B32,2,FALSE))))</f>
        <v>103.2442253</v>
      </c>
      <c r="M6" s="10">
        <f t="shared" si="4"/>
        <v>0.1421918976</v>
      </c>
      <c r="N6" s="9">
        <f t="shared" si="5"/>
        <v>12.85291233</v>
      </c>
      <c r="O6" s="18"/>
      <c r="P6" s="9"/>
      <c r="Q6" s="80" t="str">
        <f t="shared" si="6"/>
        <v>...</v>
      </c>
      <c r="R6" s="10" t="str">
        <f t="shared" si="7"/>
        <v/>
      </c>
      <c r="S6" s="9" t="str">
        <f t="shared" si="8"/>
        <v>...</v>
      </c>
      <c r="T6" s="15" t="str">
        <f t="shared" si="9"/>
        <v>...</v>
      </c>
      <c r="U6" s="10" t="str">
        <f t="shared" si="10"/>
        <v>...</v>
      </c>
      <c r="V6" s="15" t="str">
        <f t="shared" si="11"/>
        <v>...</v>
      </c>
      <c r="W6" s="18"/>
      <c r="X6" s="18"/>
      <c r="Y6" s="18"/>
      <c r="Z6" s="18"/>
      <c r="AA6" s="18"/>
      <c r="AB6" s="18"/>
      <c r="AC6" s="85"/>
      <c r="AD6" s="82" t="str">
        <f>IFERROR(__xludf.DUMMYFUNCTION("IF(AC6="""",""..."",IMPORTDATA(""https://cryptoprices.cc/""&amp;$AC6&amp;""/"","""",""en_US""))"),"...")</f>
        <v>...</v>
      </c>
      <c r="AE6" s="83"/>
    </row>
    <row r="7">
      <c r="A7" s="5" t="s">
        <v>3614</v>
      </c>
      <c r="B7" s="5" t="s">
        <v>3613</v>
      </c>
      <c r="C7" s="11">
        <v>45328.0</v>
      </c>
      <c r="D7" s="5" t="s">
        <v>61</v>
      </c>
      <c r="E7" s="11">
        <v>45328.0</v>
      </c>
      <c r="F7" s="20">
        <f t="shared" si="1"/>
        <v>0</v>
      </c>
      <c r="G7" s="78">
        <v>824.24</v>
      </c>
      <c r="H7" s="21">
        <v>0.99973</v>
      </c>
      <c r="I7" s="22">
        <f>if(B7=0,"...",VLOOKUP(B7,$AC$1:$AD$28,2,FALSE))
</f>
        <v>1</v>
      </c>
      <c r="J7" s="79">
        <f t="shared" si="2"/>
        <v>1</v>
      </c>
      <c r="K7" s="9">
        <f t="shared" si="3"/>
        <v>824.0174552</v>
      </c>
      <c r="L7" s="9">
        <f>if(B7=0,"...",$G7*(IF(D7="ABIERTA",J7,I7)*(1-VLOOKUP(A7,Config!$A$3:$B32,2,FALSE))))</f>
        <v>824.24</v>
      </c>
      <c r="M7" s="10">
        <f t="shared" si="4"/>
        <v>0.0002700729197</v>
      </c>
      <c r="N7" s="9">
        <f t="shared" si="5"/>
        <v>0.2225448</v>
      </c>
      <c r="O7" s="18"/>
      <c r="P7" s="9"/>
      <c r="Q7" s="80" t="str">
        <f t="shared" si="6"/>
        <v>...</v>
      </c>
      <c r="R7" s="10" t="str">
        <f t="shared" si="7"/>
        <v/>
      </c>
      <c r="S7" s="9" t="str">
        <f t="shared" si="8"/>
        <v>...</v>
      </c>
      <c r="T7" s="15" t="str">
        <f t="shared" si="9"/>
        <v>...</v>
      </c>
      <c r="U7" s="10" t="str">
        <f t="shared" si="10"/>
        <v>...</v>
      </c>
      <c r="V7" s="15" t="str">
        <f t="shared" si="11"/>
        <v>...</v>
      </c>
      <c r="W7" s="18"/>
      <c r="X7" s="18"/>
      <c r="Y7" s="18"/>
      <c r="Z7" s="18"/>
      <c r="AA7" s="18"/>
      <c r="AB7" s="18"/>
      <c r="AC7" s="85"/>
      <c r="AD7" s="82" t="str">
        <f>IFERROR(__xludf.DUMMYFUNCTION("IF(AC7="""",""..."",IMPORTDATA(""https://cryptoprices.cc/""&amp;$AC7&amp;""/"","""",""en_US""))"),"...")</f>
        <v>...</v>
      </c>
      <c r="AE7" s="83"/>
    </row>
    <row r="8">
      <c r="A8" s="5" t="s">
        <v>3614</v>
      </c>
      <c r="B8" s="5" t="s">
        <v>3612</v>
      </c>
      <c r="C8" s="11">
        <v>45384.0</v>
      </c>
      <c r="D8" s="5" t="s">
        <v>61</v>
      </c>
      <c r="E8" s="11">
        <v>45397.0</v>
      </c>
      <c r="F8" s="20">
        <f t="shared" si="1"/>
        <v>13</v>
      </c>
      <c r="G8" s="78">
        <v>0.001521</v>
      </c>
      <c r="H8" s="21">
        <v>65439.2</v>
      </c>
      <c r="I8" s="21">
        <v>62982.067</v>
      </c>
      <c r="J8" s="79">
        <f t="shared" si="2"/>
        <v>90548</v>
      </c>
      <c r="K8" s="9">
        <f t="shared" si="3"/>
        <v>99.5330232</v>
      </c>
      <c r="L8" s="9">
        <f>if(B8=0,"...",$G8*(IF(D8="ABIERTA",J8,I8)*(1-VLOOKUP(A8,Config!$A$3:$B32,2,FALSE))))</f>
        <v>95.79572391</v>
      </c>
      <c r="M8" s="10">
        <f t="shared" si="4"/>
        <v>-0.03754833494</v>
      </c>
      <c r="N8" s="9">
        <f t="shared" si="5"/>
        <v>-3.737299293</v>
      </c>
      <c r="O8" s="18"/>
      <c r="P8" s="9"/>
      <c r="Q8" s="80" t="str">
        <f t="shared" si="6"/>
        <v>...</v>
      </c>
      <c r="R8" s="10" t="str">
        <f t="shared" si="7"/>
        <v/>
      </c>
      <c r="S8" s="9" t="str">
        <f t="shared" si="8"/>
        <v>...</v>
      </c>
      <c r="T8" s="15" t="str">
        <f t="shared" si="9"/>
        <v>...</v>
      </c>
      <c r="U8" s="10" t="str">
        <f t="shared" si="10"/>
        <v>...</v>
      </c>
      <c r="V8" s="15" t="str">
        <f t="shared" si="11"/>
        <v>...</v>
      </c>
      <c r="W8" s="18"/>
      <c r="X8" s="18"/>
      <c r="Y8" s="18"/>
      <c r="Z8" s="18"/>
      <c r="AA8" s="18"/>
      <c r="AB8" s="18"/>
      <c r="AC8" s="85"/>
      <c r="AD8" s="82" t="str">
        <f>IFERROR(__xludf.DUMMYFUNCTION("IF(AC8="""",""..."",IMPORTDATA(""https://cryptoprices.cc/""&amp;$AC8&amp;""/"","""",""en_US""))"),"...")</f>
        <v>...</v>
      </c>
      <c r="AE8" s="83"/>
    </row>
    <row r="9">
      <c r="A9" s="5" t="s">
        <v>3614</v>
      </c>
      <c r="B9" s="5" t="s">
        <v>3612</v>
      </c>
      <c r="C9" s="11">
        <v>45402.0</v>
      </c>
      <c r="D9" s="5" t="s">
        <v>42</v>
      </c>
      <c r="E9" s="11"/>
      <c r="F9" s="20">
        <f t="shared" si="1"/>
        <v>594</v>
      </c>
      <c r="G9" s="78">
        <v>0.002343</v>
      </c>
      <c r="H9" s="21">
        <v>64961.1</v>
      </c>
      <c r="I9" s="21"/>
      <c r="J9" s="79">
        <f t="shared" si="2"/>
        <v>90548</v>
      </c>
      <c r="K9" s="9">
        <f t="shared" si="3"/>
        <v>152.2038573</v>
      </c>
      <c r="L9" s="9">
        <f>if(B9=0,"...",$G9*(IF(D9="ABIERTA",J9,I9)*(1-VLOOKUP(A9,Config!$A$3:$B32,2,FALSE))))</f>
        <v>212.153964</v>
      </c>
      <c r="M9" s="10">
        <f t="shared" si="4"/>
        <v>0.3938803376</v>
      </c>
      <c r="N9" s="9">
        <f t="shared" si="5"/>
        <v>59.9501067</v>
      </c>
      <c r="O9" s="18"/>
      <c r="P9" s="9"/>
      <c r="Q9" s="80" t="str">
        <f t="shared" si="6"/>
        <v>...</v>
      </c>
      <c r="R9" s="10" t="str">
        <f t="shared" si="7"/>
        <v/>
      </c>
      <c r="S9" s="9" t="str">
        <f t="shared" si="8"/>
        <v>...</v>
      </c>
      <c r="T9" s="15" t="str">
        <f t="shared" si="9"/>
        <v>...</v>
      </c>
      <c r="U9" s="10" t="str">
        <f t="shared" si="10"/>
        <v>...</v>
      </c>
      <c r="V9" s="15" t="str">
        <f t="shared" si="11"/>
        <v>...</v>
      </c>
      <c r="W9" s="18"/>
      <c r="X9" s="18"/>
      <c r="Y9" s="18"/>
      <c r="Z9" s="18"/>
      <c r="AA9" s="18"/>
      <c r="AB9" s="18"/>
      <c r="AC9" s="85"/>
      <c r="AD9" s="82" t="str">
        <f>IFERROR(__xludf.DUMMYFUNCTION("IF(AC9="""",""..."",IMPORTDATA(""https://cryptoprices.cc/""&amp;$AC9&amp;""/"","""",""en_US""))"),"...")</f>
        <v>...</v>
      </c>
      <c r="AE9" s="83"/>
    </row>
    <row r="10">
      <c r="A10" s="5" t="s">
        <v>3614</v>
      </c>
      <c r="B10" s="5" t="s">
        <v>3612</v>
      </c>
      <c r="C10" s="11">
        <v>45435.0</v>
      </c>
      <c r="D10" s="5" t="s">
        <v>42</v>
      </c>
      <c r="E10" s="19"/>
      <c r="F10" s="20">
        <f t="shared" si="1"/>
        <v>561</v>
      </c>
      <c r="G10" s="78">
        <v>4.251E-4</v>
      </c>
      <c r="H10" s="21">
        <v>67975.7</v>
      </c>
      <c r="I10" s="22"/>
      <c r="J10" s="79">
        <f t="shared" si="2"/>
        <v>90548</v>
      </c>
      <c r="K10" s="9">
        <f t="shared" si="3"/>
        <v>28.89647007</v>
      </c>
      <c r="L10" s="9">
        <f>if(B10=0,"...",$G10*(IF(D10="ABIERTA",J10,I10)*(1-VLOOKUP(A10,Config!$A$3:$B32,2,FALSE))))</f>
        <v>38.4919548</v>
      </c>
      <c r="M10" s="10">
        <f t="shared" si="4"/>
        <v>0.3320642524</v>
      </c>
      <c r="N10" s="9">
        <f t="shared" si="5"/>
        <v>9.59548473</v>
      </c>
      <c r="O10" s="18"/>
      <c r="P10" s="9"/>
      <c r="Q10" s="80" t="str">
        <f t="shared" si="6"/>
        <v>...</v>
      </c>
      <c r="R10" s="10" t="str">
        <f t="shared" si="7"/>
        <v/>
      </c>
      <c r="S10" s="9" t="str">
        <f t="shared" si="8"/>
        <v>...</v>
      </c>
      <c r="T10" s="15" t="str">
        <f t="shared" si="9"/>
        <v>...</v>
      </c>
      <c r="U10" s="10" t="str">
        <f t="shared" si="10"/>
        <v>...</v>
      </c>
      <c r="V10" s="15" t="str">
        <f t="shared" si="11"/>
        <v>...</v>
      </c>
      <c r="W10" s="18"/>
      <c r="X10" s="18"/>
      <c r="Y10" s="18"/>
      <c r="Z10" s="18"/>
      <c r="AA10" s="18"/>
      <c r="AB10" s="18"/>
      <c r="AC10" s="85"/>
      <c r="AD10" s="82" t="str">
        <f>IFERROR(__xludf.DUMMYFUNCTION("IF(AC10="""",""..."",IMPORTDATA(""https://cryptoprices.cc/""&amp;$AC10&amp;""/"","""",""en_US""))"),"...")</f>
        <v>...</v>
      </c>
      <c r="AE10" s="83"/>
    </row>
    <row r="11">
      <c r="A11" s="5" t="s">
        <v>3614</v>
      </c>
      <c r="B11" s="5" t="s">
        <v>3615</v>
      </c>
      <c r="C11" s="11">
        <v>45384.0</v>
      </c>
      <c r="D11" s="5" t="s">
        <v>61</v>
      </c>
      <c r="E11" s="19">
        <v>45399.0</v>
      </c>
      <c r="F11" s="20">
        <f t="shared" si="1"/>
        <v>15</v>
      </c>
      <c r="G11" s="78">
        <v>0.0152555</v>
      </c>
      <c r="H11" s="21">
        <v>3504.82</v>
      </c>
      <c r="I11" s="21">
        <v>3088.0793</v>
      </c>
      <c r="J11" s="79">
        <f t="shared" si="2"/>
        <v>3103.5</v>
      </c>
      <c r="K11" s="9">
        <f t="shared" si="3"/>
        <v>53.46778151</v>
      </c>
      <c r="L11" s="9">
        <f>if(B11=0,"...",$G11*(IF(D11="ABIERTA",J11,I11)*(1-VLOOKUP(A11,Config!$A$3:$B32,2,FALSE))))</f>
        <v>47.11019376</v>
      </c>
      <c r="M11" s="10">
        <f t="shared" si="4"/>
        <v>-0.1189050222</v>
      </c>
      <c r="N11" s="9">
        <f t="shared" si="5"/>
        <v>-6.357587749</v>
      </c>
      <c r="O11" s="18"/>
      <c r="P11" s="9"/>
      <c r="Q11" s="80" t="str">
        <f t="shared" si="6"/>
        <v>...</v>
      </c>
      <c r="R11" s="10" t="str">
        <f t="shared" si="7"/>
        <v/>
      </c>
      <c r="S11" s="9" t="str">
        <f t="shared" si="8"/>
        <v>...</v>
      </c>
      <c r="T11" s="15" t="str">
        <f t="shared" si="9"/>
        <v>...</v>
      </c>
      <c r="U11" s="10" t="str">
        <f t="shared" si="10"/>
        <v>...</v>
      </c>
      <c r="V11" s="15" t="str">
        <f t="shared" si="11"/>
        <v>...</v>
      </c>
      <c r="W11" s="18"/>
      <c r="X11" s="18"/>
      <c r="Y11" s="18"/>
      <c r="Z11" s="18"/>
      <c r="AA11" s="18"/>
      <c r="AB11" s="18"/>
      <c r="AC11" s="85"/>
      <c r="AD11" s="82" t="str">
        <f>IFERROR(__xludf.DUMMYFUNCTION("IF(AC11="""",""..."",IMPORTDATA(""https://cryptoprices.cc/""&amp;$AC11&amp;""/"","""",""en_US""))"),"...")</f>
        <v>...</v>
      </c>
      <c r="AE11" s="83"/>
    </row>
    <row r="12">
      <c r="A12" s="5"/>
      <c r="B12" s="5"/>
      <c r="C12" s="11"/>
      <c r="D12" s="5"/>
      <c r="E12" s="19"/>
      <c r="F12" s="20" t="str">
        <f t="shared" si="1"/>
        <v>...</v>
      </c>
      <c r="G12" s="78"/>
      <c r="H12" s="21"/>
      <c r="I12" s="22"/>
      <c r="J12" s="79" t="str">
        <f t="shared" si="2"/>
        <v>...</v>
      </c>
      <c r="K12" s="9" t="str">
        <f t="shared" si="3"/>
        <v>...</v>
      </c>
      <c r="L12" s="9" t="str">
        <f>if(B12=0,"...",$G12*(IF(D12="ABIERTA",J12,I12)*(1-VLOOKUP(A12,Config!$A$3:$B32,2,FALSE))))</f>
        <v>...</v>
      </c>
      <c r="M12" s="10" t="str">
        <f t="shared" si="4"/>
        <v>...</v>
      </c>
      <c r="N12" s="20" t="str">
        <f t="shared" si="5"/>
        <v>...</v>
      </c>
      <c r="O12" s="18"/>
      <c r="P12" s="9"/>
      <c r="Q12" s="80" t="str">
        <f t="shared" si="6"/>
        <v>...</v>
      </c>
      <c r="R12" s="10" t="str">
        <f t="shared" si="7"/>
        <v/>
      </c>
      <c r="S12" s="9" t="str">
        <f t="shared" si="8"/>
        <v>...</v>
      </c>
      <c r="T12" s="15" t="str">
        <f t="shared" si="9"/>
        <v>...</v>
      </c>
      <c r="U12" s="10" t="str">
        <f t="shared" si="10"/>
        <v>...</v>
      </c>
      <c r="V12" s="15" t="str">
        <f t="shared" si="11"/>
        <v>...</v>
      </c>
      <c r="W12" s="18"/>
      <c r="X12" s="18"/>
      <c r="Y12" s="18"/>
      <c r="Z12" s="18"/>
      <c r="AA12" s="18"/>
      <c r="AB12" s="18"/>
      <c r="AC12" s="85"/>
      <c r="AD12" s="82" t="str">
        <f>IFERROR(__xludf.DUMMYFUNCTION("IF(AC12="""",""..."",IMPORTDATA(""https://cryptoprices.cc/""&amp;$AC12&amp;""/"","""",""en_US""))"),"...")</f>
        <v>...</v>
      </c>
      <c r="AE12" s="83"/>
    </row>
    <row r="13">
      <c r="A13" s="5"/>
      <c r="B13" s="5"/>
      <c r="C13" s="11"/>
      <c r="D13" s="5"/>
      <c r="E13" s="19"/>
      <c r="F13" s="20" t="str">
        <f t="shared" si="1"/>
        <v>...</v>
      </c>
      <c r="G13" s="78"/>
      <c r="H13" s="21"/>
      <c r="I13" s="22"/>
      <c r="J13" s="79" t="str">
        <f t="shared" si="2"/>
        <v>...</v>
      </c>
      <c r="K13" s="9" t="str">
        <f t="shared" si="3"/>
        <v>...</v>
      </c>
      <c r="L13" s="9" t="str">
        <f>if(B13=0,"...",$G13*(IF(D13="ABIERTA",J13,I13)*(1-VLOOKUP(A13,Config!$A$3:$B32,2,FALSE))))</f>
        <v>...</v>
      </c>
      <c r="M13" s="10" t="str">
        <f t="shared" si="4"/>
        <v>...</v>
      </c>
      <c r="N13" s="20" t="str">
        <f t="shared" si="5"/>
        <v>...</v>
      </c>
      <c r="O13" s="18"/>
      <c r="P13" s="9"/>
      <c r="Q13" s="80" t="str">
        <f t="shared" si="6"/>
        <v>...</v>
      </c>
      <c r="R13" s="10" t="str">
        <f t="shared" si="7"/>
        <v/>
      </c>
      <c r="S13" s="9" t="str">
        <f t="shared" si="8"/>
        <v>...</v>
      </c>
      <c r="T13" s="15" t="str">
        <f t="shared" si="9"/>
        <v>...</v>
      </c>
      <c r="U13" s="10" t="str">
        <f t="shared" si="10"/>
        <v>...</v>
      </c>
      <c r="V13" s="15" t="str">
        <f t="shared" si="11"/>
        <v>...</v>
      </c>
      <c r="W13" s="18"/>
      <c r="X13" s="18"/>
      <c r="Y13" s="18"/>
      <c r="Z13" s="18"/>
      <c r="AA13" s="18"/>
      <c r="AB13" s="18"/>
      <c r="AC13" s="85"/>
      <c r="AD13" s="82" t="str">
        <f>IFERROR(__xludf.DUMMYFUNCTION("IF(AC13="""",""..."",IMPORTDATA(""https://cryptoprices.cc/""&amp;$AC13&amp;""/"","""",""en_US""))"),"...")</f>
        <v>...</v>
      </c>
      <c r="AE13" s="83"/>
    </row>
    <row r="14">
      <c r="A14" s="5"/>
      <c r="B14" s="5"/>
      <c r="C14" s="11"/>
      <c r="D14" s="5"/>
      <c r="E14" s="19"/>
      <c r="F14" s="20" t="str">
        <f t="shared" si="1"/>
        <v>...</v>
      </c>
      <c r="G14" s="78"/>
      <c r="H14" s="21"/>
      <c r="I14" s="22"/>
      <c r="J14" s="79" t="str">
        <f t="shared" si="2"/>
        <v>...</v>
      </c>
      <c r="K14" s="9" t="str">
        <f t="shared" si="3"/>
        <v>...</v>
      </c>
      <c r="L14" s="9" t="str">
        <f>if(B14=0,"...",$G14*(IF(D14="ABIERTA",J14,I14)*(1-VLOOKUP(A14,Config!$A$3:$B32,2,FALSE))))</f>
        <v>...</v>
      </c>
      <c r="M14" s="10" t="str">
        <f t="shared" si="4"/>
        <v>...</v>
      </c>
      <c r="N14" s="20" t="str">
        <f t="shared" si="5"/>
        <v>...</v>
      </c>
      <c r="O14" s="18"/>
      <c r="P14" s="9"/>
      <c r="Q14" s="80" t="str">
        <f t="shared" si="6"/>
        <v>...</v>
      </c>
      <c r="R14" s="10" t="str">
        <f t="shared" si="7"/>
        <v/>
      </c>
      <c r="S14" s="9" t="str">
        <f t="shared" si="8"/>
        <v>...</v>
      </c>
      <c r="T14" s="15" t="str">
        <f t="shared" si="9"/>
        <v>...</v>
      </c>
      <c r="U14" s="10" t="str">
        <f t="shared" si="10"/>
        <v>...</v>
      </c>
      <c r="V14" s="15" t="str">
        <f t="shared" si="11"/>
        <v>...</v>
      </c>
      <c r="W14" s="18"/>
      <c r="X14" s="18"/>
      <c r="Y14" s="18"/>
      <c r="Z14" s="18"/>
      <c r="AA14" s="18"/>
      <c r="AB14" s="18"/>
      <c r="AC14" s="85"/>
      <c r="AD14" s="82" t="str">
        <f>IFERROR(__xludf.DUMMYFUNCTION("IF(AC14="""",""..."",IMPORTDATA(""https://cryptoprices.cc/""&amp;$AC14&amp;""/"","""",""en_US""))"),"...")</f>
        <v>...</v>
      </c>
      <c r="AE14" s="83"/>
    </row>
    <row r="15">
      <c r="A15" s="5"/>
      <c r="B15" s="5"/>
      <c r="C15" s="11"/>
      <c r="D15" s="5"/>
      <c r="E15" s="19"/>
      <c r="F15" s="20" t="str">
        <f t="shared" si="1"/>
        <v>...</v>
      </c>
      <c r="G15" s="78"/>
      <c r="H15" s="21"/>
      <c r="I15" s="22"/>
      <c r="J15" s="79" t="str">
        <f t="shared" si="2"/>
        <v>...</v>
      </c>
      <c r="K15" s="9" t="str">
        <f t="shared" si="3"/>
        <v>...</v>
      </c>
      <c r="L15" s="9" t="str">
        <f>if(B15=0,"...",$G15*(IF(D15="ABIERTA",J15,I15)*(1-VLOOKUP(A15,Config!$A$3:$B32,2,FALSE))))</f>
        <v>...</v>
      </c>
      <c r="M15" s="10" t="str">
        <f t="shared" si="4"/>
        <v>...</v>
      </c>
      <c r="N15" s="20" t="str">
        <f t="shared" si="5"/>
        <v>...</v>
      </c>
      <c r="O15" s="18"/>
      <c r="P15" s="9"/>
      <c r="Q15" s="80" t="str">
        <f t="shared" si="6"/>
        <v>...</v>
      </c>
      <c r="R15" s="10" t="str">
        <f t="shared" si="7"/>
        <v/>
      </c>
      <c r="S15" s="9" t="str">
        <f t="shared" si="8"/>
        <v>...</v>
      </c>
      <c r="T15" s="15" t="str">
        <f t="shared" si="9"/>
        <v>...</v>
      </c>
      <c r="U15" s="10" t="str">
        <f t="shared" si="10"/>
        <v>...</v>
      </c>
      <c r="V15" s="15" t="str">
        <f t="shared" si="11"/>
        <v>...</v>
      </c>
      <c r="W15" s="18"/>
      <c r="X15" s="18"/>
      <c r="Y15" s="18"/>
      <c r="Z15" s="18"/>
      <c r="AA15" s="18"/>
      <c r="AB15" s="18"/>
      <c r="AC15" s="85"/>
      <c r="AD15" s="82" t="str">
        <f>IFERROR(__xludf.DUMMYFUNCTION("IF(AC15="""",""..."",IMPORTDATA(""https://cryptoprices.cc/""&amp;$AC15&amp;""/"","""",""en_US""))"),"...")</f>
        <v>...</v>
      </c>
      <c r="AE15" s="83"/>
    </row>
    <row r="16">
      <c r="A16" s="5"/>
      <c r="B16" s="5"/>
      <c r="C16" s="11"/>
      <c r="D16" s="5"/>
      <c r="E16" s="19"/>
      <c r="F16" s="20" t="str">
        <f t="shared" si="1"/>
        <v>...</v>
      </c>
      <c r="G16" s="78"/>
      <c r="H16" s="21"/>
      <c r="I16" s="22"/>
      <c r="J16" s="79" t="str">
        <f t="shared" si="2"/>
        <v>...</v>
      </c>
      <c r="K16" s="9" t="str">
        <f t="shared" si="3"/>
        <v>...</v>
      </c>
      <c r="L16" s="9" t="str">
        <f>if(B16=0,"...",$G16*(IF(D16="ABIERTA",J16,I16)*(1-VLOOKUP(A16,Config!$A$3:$B32,2,FALSE))))</f>
        <v>...</v>
      </c>
      <c r="M16" s="10" t="str">
        <f t="shared" si="4"/>
        <v>...</v>
      </c>
      <c r="N16" s="20" t="str">
        <f t="shared" si="5"/>
        <v>...</v>
      </c>
      <c r="O16" s="18"/>
      <c r="P16" s="9"/>
      <c r="Q16" s="80" t="str">
        <f t="shared" si="6"/>
        <v>...</v>
      </c>
      <c r="R16" s="10" t="str">
        <f t="shared" si="7"/>
        <v/>
      </c>
      <c r="S16" s="9" t="str">
        <f t="shared" si="8"/>
        <v>...</v>
      </c>
      <c r="T16" s="15" t="str">
        <f t="shared" si="9"/>
        <v>...</v>
      </c>
      <c r="U16" s="10" t="str">
        <f t="shared" si="10"/>
        <v>...</v>
      </c>
      <c r="V16" s="15" t="str">
        <f t="shared" si="11"/>
        <v>...</v>
      </c>
      <c r="W16" s="18"/>
      <c r="X16" s="18"/>
      <c r="Y16" s="18"/>
      <c r="Z16" s="18"/>
      <c r="AA16" s="18"/>
      <c r="AB16" s="18"/>
      <c r="AC16" s="85"/>
      <c r="AD16" s="82" t="str">
        <f>IFERROR(__xludf.DUMMYFUNCTION("IF(AC16="""",""..."",IMPORTDATA(""https://cryptoprices.cc/""&amp;$AC16&amp;""/"","""",""en_US""))"),"...")</f>
        <v>...</v>
      </c>
      <c r="AE16" s="83"/>
    </row>
    <row r="17">
      <c r="A17" s="5"/>
      <c r="B17" s="5"/>
      <c r="C17" s="11"/>
      <c r="D17" s="5"/>
      <c r="E17" s="19"/>
      <c r="F17" s="20" t="str">
        <f t="shared" si="1"/>
        <v>...</v>
      </c>
      <c r="G17" s="78"/>
      <c r="H17" s="21"/>
      <c r="I17" s="22"/>
      <c r="J17" s="79" t="str">
        <f t="shared" si="2"/>
        <v>...</v>
      </c>
      <c r="K17" s="9" t="str">
        <f t="shared" si="3"/>
        <v>...</v>
      </c>
      <c r="L17" s="9" t="str">
        <f>if(B17=0,"...",$G17*(IF(D17="ABIERTA",J17,I17)*(1-VLOOKUP(A17,Config!$A$3:$B32,2,FALSE))))</f>
        <v>...</v>
      </c>
      <c r="M17" s="10" t="str">
        <f t="shared" si="4"/>
        <v>...</v>
      </c>
      <c r="N17" s="20" t="str">
        <f t="shared" si="5"/>
        <v>...</v>
      </c>
      <c r="O17" s="18"/>
      <c r="P17" s="9"/>
      <c r="Q17" s="80" t="str">
        <f t="shared" si="6"/>
        <v>...</v>
      </c>
      <c r="R17" s="10" t="str">
        <f t="shared" si="7"/>
        <v/>
      </c>
      <c r="S17" s="9" t="str">
        <f t="shared" si="8"/>
        <v>...</v>
      </c>
      <c r="T17" s="15" t="str">
        <f t="shared" si="9"/>
        <v>...</v>
      </c>
      <c r="U17" s="10" t="str">
        <f t="shared" si="10"/>
        <v>...</v>
      </c>
      <c r="V17" s="15" t="str">
        <f t="shared" si="11"/>
        <v>...</v>
      </c>
      <c r="W17" s="18"/>
      <c r="X17" s="18"/>
      <c r="Y17" s="18"/>
      <c r="Z17" s="18"/>
      <c r="AA17" s="18"/>
      <c r="AB17" s="18"/>
      <c r="AC17" s="85"/>
      <c r="AD17" s="82" t="str">
        <f>IFERROR(__xludf.DUMMYFUNCTION("IF(AC17="""",""..."",IMPORTDATA(""https://cryptoprices.cc/""&amp;$AC17&amp;""/"","""",""en_US""))"),"...")</f>
        <v>...</v>
      </c>
      <c r="AE17" s="83"/>
    </row>
    <row r="18">
      <c r="A18" s="5"/>
      <c r="B18" s="5"/>
      <c r="C18" s="11"/>
      <c r="D18" s="5"/>
      <c r="E18" s="19"/>
      <c r="F18" s="20" t="str">
        <f t="shared" si="1"/>
        <v>...</v>
      </c>
      <c r="G18" s="78"/>
      <c r="H18" s="21"/>
      <c r="I18" s="22"/>
      <c r="J18" s="79" t="str">
        <f t="shared" si="2"/>
        <v>...</v>
      </c>
      <c r="K18" s="9" t="str">
        <f t="shared" si="3"/>
        <v>...</v>
      </c>
      <c r="L18" s="9" t="str">
        <f>if(B18=0,"...",$G18*(IF(D18="ABIERTA",J18,I18)*(1-VLOOKUP(A18,Config!$A$3:$B32,2,FALSE))))</f>
        <v>...</v>
      </c>
      <c r="M18" s="10" t="str">
        <f t="shared" si="4"/>
        <v>...</v>
      </c>
      <c r="N18" s="20" t="str">
        <f t="shared" si="5"/>
        <v>...</v>
      </c>
      <c r="O18" s="18"/>
      <c r="P18" s="9"/>
      <c r="Q18" s="80" t="str">
        <f t="shared" si="6"/>
        <v>...</v>
      </c>
      <c r="R18" s="10" t="str">
        <f t="shared" si="7"/>
        <v/>
      </c>
      <c r="S18" s="9" t="str">
        <f t="shared" si="8"/>
        <v>...</v>
      </c>
      <c r="T18" s="15" t="str">
        <f t="shared" si="9"/>
        <v>...</v>
      </c>
      <c r="U18" s="10" t="str">
        <f t="shared" si="10"/>
        <v>...</v>
      </c>
      <c r="V18" s="15" t="str">
        <f t="shared" si="11"/>
        <v>...</v>
      </c>
      <c r="W18" s="18"/>
      <c r="X18" s="18"/>
      <c r="Y18" s="18"/>
      <c r="Z18" s="18"/>
      <c r="AA18" s="18"/>
      <c r="AB18" s="18"/>
      <c r="AC18" s="85"/>
      <c r="AD18" s="82" t="str">
        <f>IFERROR(__xludf.DUMMYFUNCTION("IF(AC18="""",""..."",IMPORTDATA(""https://cryptoprices.cc/""&amp;$AC18&amp;""/"","""",""en_US""))"),"...")</f>
        <v>...</v>
      </c>
      <c r="AE18" s="83"/>
    </row>
    <row r="19">
      <c r="A19" s="5"/>
      <c r="B19" s="5"/>
      <c r="C19" s="11"/>
      <c r="D19" s="5"/>
      <c r="E19" s="19"/>
      <c r="F19" s="20" t="str">
        <f t="shared" si="1"/>
        <v>...</v>
      </c>
      <c r="G19" s="78"/>
      <c r="H19" s="21"/>
      <c r="I19" s="22"/>
      <c r="J19" s="79" t="str">
        <f t="shared" si="2"/>
        <v>...</v>
      </c>
      <c r="K19" s="9" t="str">
        <f t="shared" si="3"/>
        <v>...</v>
      </c>
      <c r="L19" s="9" t="str">
        <f>if(B19=0,"...",$G19*(IF(D19="ABIERTA",J19,I19)*(1-VLOOKUP(A19,Config!$A$3:$B32,2,FALSE))))</f>
        <v>...</v>
      </c>
      <c r="M19" s="10" t="str">
        <f t="shared" si="4"/>
        <v>...</v>
      </c>
      <c r="N19" s="20" t="str">
        <f t="shared" si="5"/>
        <v>...</v>
      </c>
      <c r="O19" s="18"/>
      <c r="P19" s="9"/>
      <c r="Q19" s="80" t="str">
        <f t="shared" si="6"/>
        <v>...</v>
      </c>
      <c r="R19" s="10" t="str">
        <f t="shared" si="7"/>
        <v/>
      </c>
      <c r="S19" s="9" t="str">
        <f t="shared" si="8"/>
        <v>...</v>
      </c>
      <c r="T19" s="15" t="str">
        <f t="shared" si="9"/>
        <v>...</v>
      </c>
      <c r="U19" s="10" t="str">
        <f t="shared" si="10"/>
        <v>...</v>
      </c>
      <c r="V19" s="15" t="str">
        <f t="shared" si="11"/>
        <v>...</v>
      </c>
      <c r="W19" s="18"/>
      <c r="X19" s="18"/>
      <c r="Y19" s="18"/>
      <c r="Z19" s="18"/>
      <c r="AA19" s="18"/>
      <c r="AB19" s="18"/>
      <c r="AC19" s="85"/>
      <c r="AD19" s="82" t="str">
        <f>IFERROR(__xludf.DUMMYFUNCTION("IF(AC19="""",""..."",IMPORTDATA(""https://cryptoprices.cc/""&amp;$AC19&amp;""/"","""",""en_US""))"),"...")</f>
        <v>...</v>
      </c>
      <c r="AE19" s="83"/>
    </row>
    <row r="20">
      <c r="A20" s="5"/>
      <c r="B20" s="5"/>
      <c r="C20" s="11"/>
      <c r="D20" s="5"/>
      <c r="E20" s="19"/>
      <c r="F20" s="20" t="str">
        <f t="shared" si="1"/>
        <v>...</v>
      </c>
      <c r="G20" s="78"/>
      <c r="H20" s="21"/>
      <c r="I20" s="22"/>
      <c r="J20" s="79" t="str">
        <f t="shared" si="2"/>
        <v>...</v>
      </c>
      <c r="K20" s="9" t="str">
        <f t="shared" si="3"/>
        <v>...</v>
      </c>
      <c r="L20" s="9" t="str">
        <f>if(B20=0,"...",$G20*(IF(D20="ABIERTA",J20,I20)*(1-VLOOKUP(A20,Config!$A$3:$B32,2,FALSE))))</f>
        <v>...</v>
      </c>
      <c r="M20" s="10" t="str">
        <f t="shared" si="4"/>
        <v>...</v>
      </c>
      <c r="N20" s="20" t="str">
        <f t="shared" si="5"/>
        <v>...</v>
      </c>
      <c r="O20" s="18"/>
      <c r="P20" s="9"/>
      <c r="Q20" s="80" t="str">
        <f t="shared" si="6"/>
        <v>...</v>
      </c>
      <c r="R20" s="10" t="str">
        <f t="shared" si="7"/>
        <v/>
      </c>
      <c r="S20" s="9" t="str">
        <f t="shared" si="8"/>
        <v>...</v>
      </c>
      <c r="T20" s="15" t="str">
        <f t="shared" si="9"/>
        <v>...</v>
      </c>
      <c r="U20" s="10" t="str">
        <f t="shared" si="10"/>
        <v>...</v>
      </c>
      <c r="V20" s="15" t="str">
        <f t="shared" si="11"/>
        <v>...</v>
      </c>
      <c r="W20" s="18"/>
      <c r="X20" s="26" t="s">
        <v>57</v>
      </c>
      <c r="Y20" s="27">
        <f>sumifs(L2:L32,D2:D32,"ABIERTA")</f>
        <v>444.1306962</v>
      </c>
      <c r="Z20" s="26" t="s">
        <v>58</v>
      </c>
      <c r="AA20" s="27">
        <f>sum(L2:L32)</f>
        <v>2017.520839</v>
      </c>
      <c r="AB20" s="18"/>
      <c r="AC20" s="85"/>
      <c r="AD20" s="82" t="str">
        <f>IFERROR(__xludf.DUMMYFUNCTION("IF(AC20="""",""..."",IMPORTDATA(""https://cryptoprices.cc/""&amp;$AC20&amp;""/"","""",""en_US""))"),"...")</f>
        <v>...</v>
      </c>
      <c r="AE20" s="83"/>
    </row>
    <row r="21">
      <c r="A21" s="5"/>
      <c r="B21" s="5"/>
      <c r="C21" s="11"/>
      <c r="D21" s="5"/>
      <c r="E21" s="19"/>
      <c r="F21" s="20" t="str">
        <f t="shared" si="1"/>
        <v>...</v>
      </c>
      <c r="G21" s="78"/>
      <c r="H21" s="21"/>
      <c r="I21" s="22"/>
      <c r="J21" s="79" t="str">
        <f t="shared" si="2"/>
        <v>...</v>
      </c>
      <c r="K21" s="9" t="str">
        <f t="shared" si="3"/>
        <v>...</v>
      </c>
      <c r="L21" s="9" t="str">
        <f>if(B21=0,"...",$G21*(IF(D21="ABIERTA",J21,I21)*(1-VLOOKUP(A21,Config!$A$3:$B32,2,FALSE))))</f>
        <v>...</v>
      </c>
      <c r="M21" s="10" t="str">
        <f t="shared" si="4"/>
        <v>...</v>
      </c>
      <c r="N21" s="20" t="str">
        <f t="shared" si="5"/>
        <v>...</v>
      </c>
      <c r="O21" s="18"/>
      <c r="P21" s="9"/>
      <c r="Q21" s="80" t="str">
        <f t="shared" si="6"/>
        <v>...</v>
      </c>
      <c r="R21" s="10" t="str">
        <f t="shared" si="7"/>
        <v/>
      </c>
      <c r="S21" s="9" t="str">
        <f t="shared" si="8"/>
        <v>...</v>
      </c>
      <c r="T21" s="15" t="str">
        <f t="shared" si="9"/>
        <v>...</v>
      </c>
      <c r="U21" s="10" t="str">
        <f t="shared" si="10"/>
        <v>...</v>
      </c>
      <c r="V21" s="15" t="str">
        <f t="shared" si="11"/>
        <v>...</v>
      </c>
      <c r="W21" s="18"/>
      <c r="AB21" s="18"/>
      <c r="AC21" s="85"/>
      <c r="AD21" s="82" t="str">
        <f>IFERROR(__xludf.DUMMYFUNCTION("IF(AC21="""",""..."",IMPORTDATA(""https://cryptoprices.cc/""&amp;$AC21&amp;""/"","""",""en_US""))"),"...")</f>
        <v>...</v>
      </c>
      <c r="AE21" s="83"/>
    </row>
    <row r="22">
      <c r="A22" s="5"/>
      <c r="B22" s="5"/>
      <c r="C22" s="11"/>
      <c r="D22" s="5"/>
      <c r="E22" s="19"/>
      <c r="F22" s="20" t="str">
        <f t="shared" si="1"/>
        <v>...</v>
      </c>
      <c r="G22" s="78"/>
      <c r="H22" s="21"/>
      <c r="I22" s="22"/>
      <c r="J22" s="79" t="str">
        <f t="shared" si="2"/>
        <v>...</v>
      </c>
      <c r="K22" s="9" t="str">
        <f t="shared" si="3"/>
        <v>...</v>
      </c>
      <c r="L22" s="9" t="str">
        <f>if(B22=0,"...",$G22*(IF(D22="ABIERTA",J22,I22)*(1-VLOOKUP(A22,Config!$A$3:$B32,2,FALSE))))</f>
        <v>...</v>
      </c>
      <c r="M22" s="10" t="str">
        <f t="shared" si="4"/>
        <v>...</v>
      </c>
      <c r="N22" s="20" t="str">
        <f t="shared" si="5"/>
        <v>...</v>
      </c>
      <c r="O22" s="18"/>
      <c r="P22" s="9"/>
      <c r="Q22" s="80" t="str">
        <f t="shared" si="6"/>
        <v>...</v>
      </c>
      <c r="R22" s="10" t="str">
        <f t="shared" si="7"/>
        <v/>
      </c>
      <c r="S22" s="9" t="str">
        <f t="shared" si="8"/>
        <v>...</v>
      </c>
      <c r="T22" s="15" t="str">
        <f t="shared" si="9"/>
        <v>...</v>
      </c>
      <c r="U22" s="10" t="str">
        <f t="shared" si="10"/>
        <v>...</v>
      </c>
      <c r="V22" s="15" t="str">
        <f t="shared" si="11"/>
        <v>...</v>
      </c>
      <c r="W22" s="18"/>
      <c r="X22" s="26" t="s">
        <v>59</v>
      </c>
      <c r="Y22" s="27">
        <f>sumifs(N2:N32,D2:D32,"ABIERTA")</f>
        <v>175.0066876</v>
      </c>
      <c r="Z22" s="26" t="s">
        <v>60</v>
      </c>
      <c r="AA22" s="27">
        <f>sum(N2:N32)</f>
        <v>178.8202257</v>
      </c>
      <c r="AB22" s="18"/>
      <c r="AC22" s="85"/>
      <c r="AD22" s="82" t="str">
        <f>IFERROR(__xludf.DUMMYFUNCTION("IF(AC22="""",""..."",IMPORTDATA(""https://cryptoprices.cc/""&amp;$AC22&amp;""/"","""",""en_US""))"),"...")</f>
        <v>...</v>
      </c>
      <c r="AE22" s="83"/>
    </row>
    <row r="23" ht="15.0" customHeight="1">
      <c r="A23" s="5"/>
      <c r="B23" s="5"/>
      <c r="C23" s="11"/>
      <c r="D23" s="5"/>
      <c r="E23" s="19"/>
      <c r="F23" s="20" t="str">
        <f t="shared" si="1"/>
        <v>...</v>
      </c>
      <c r="G23" s="78"/>
      <c r="H23" s="21"/>
      <c r="I23" s="22"/>
      <c r="J23" s="79" t="str">
        <f t="shared" si="2"/>
        <v>...</v>
      </c>
      <c r="K23" s="9" t="str">
        <f t="shared" si="3"/>
        <v>...</v>
      </c>
      <c r="L23" s="9" t="str">
        <f>if(B23=0,"...",$G23*(IF(D23="ABIERTA",J23,I23)*(1-VLOOKUP(A23,Config!$A$3:$B32,2,FALSE))))</f>
        <v>...</v>
      </c>
      <c r="M23" s="10" t="str">
        <f t="shared" si="4"/>
        <v>...</v>
      </c>
      <c r="N23" s="20" t="str">
        <f t="shared" si="5"/>
        <v>...</v>
      </c>
      <c r="O23" s="18"/>
      <c r="P23" s="9"/>
      <c r="Q23" s="80" t="str">
        <f t="shared" si="6"/>
        <v>...</v>
      </c>
      <c r="R23" s="10" t="str">
        <f t="shared" si="7"/>
        <v/>
      </c>
      <c r="S23" s="9" t="str">
        <f t="shared" si="8"/>
        <v>...</v>
      </c>
      <c r="T23" s="15" t="str">
        <f t="shared" si="9"/>
        <v>...</v>
      </c>
      <c r="U23" s="10" t="str">
        <f t="shared" si="10"/>
        <v>...</v>
      </c>
      <c r="V23" s="15" t="str">
        <f t="shared" si="11"/>
        <v>...</v>
      </c>
      <c r="W23" s="18"/>
      <c r="AB23" s="18"/>
      <c r="AC23" s="85"/>
      <c r="AD23" s="82" t="str">
        <f>IFERROR(__xludf.DUMMYFUNCTION("IF(AC23="""",""..."",IMPORTDATA(""https://cryptoprices.cc/""&amp;$AC23&amp;""/"","""",""en_US""))"),"...")</f>
        <v>...</v>
      </c>
      <c r="AE23" s="83"/>
    </row>
    <row r="24">
      <c r="A24" s="5"/>
      <c r="B24" s="5"/>
      <c r="C24" s="11"/>
      <c r="D24" s="5"/>
      <c r="E24" s="19"/>
      <c r="F24" s="20" t="str">
        <f t="shared" si="1"/>
        <v>...</v>
      </c>
      <c r="G24" s="78"/>
      <c r="H24" s="21"/>
      <c r="I24" s="22"/>
      <c r="J24" s="79" t="str">
        <f t="shared" si="2"/>
        <v>...</v>
      </c>
      <c r="K24" s="9" t="str">
        <f t="shared" si="3"/>
        <v>...</v>
      </c>
      <c r="L24" s="9" t="str">
        <f>if(B24=0,"...",$G24*(IF(D24="ABIERTA",J24,I24)*(1-VLOOKUP(A24,Config!$A$3:$B32,2,FALSE))))</f>
        <v>...</v>
      </c>
      <c r="M24" s="10" t="str">
        <f t="shared" si="4"/>
        <v>...</v>
      </c>
      <c r="N24" s="20" t="str">
        <f t="shared" si="5"/>
        <v>...</v>
      </c>
      <c r="O24" s="18"/>
      <c r="P24" s="9"/>
      <c r="Q24" s="80"/>
      <c r="R24" s="10"/>
      <c r="S24" s="9" t="str">
        <f t="shared" si="8"/>
        <v>...</v>
      </c>
      <c r="T24" s="15" t="str">
        <f t="shared" si="9"/>
        <v>...</v>
      </c>
      <c r="U24" s="10" t="str">
        <f t="shared" si="10"/>
        <v>...</v>
      </c>
      <c r="V24" s="15" t="str">
        <f t="shared" si="11"/>
        <v>...</v>
      </c>
      <c r="W24" s="18"/>
      <c r="X24" s="26"/>
      <c r="Y24" s="27"/>
      <c r="Z24" s="26"/>
      <c r="AA24" s="27"/>
      <c r="AB24" s="18"/>
      <c r="AC24" s="85"/>
      <c r="AD24" s="82" t="str">
        <f>IFERROR(__xludf.DUMMYFUNCTION("IF(AC24="""",""..."",IMPORTDATA(""https://cryptoprices.cc/""&amp;$AC24&amp;""/"","""",""en_US""))"),"...")</f>
        <v>...</v>
      </c>
      <c r="AE24" s="83"/>
    </row>
    <row r="25">
      <c r="A25" s="5"/>
      <c r="B25" s="5"/>
      <c r="C25" s="11"/>
      <c r="D25" s="5"/>
      <c r="E25" s="19"/>
      <c r="F25" s="20" t="str">
        <f t="shared" si="1"/>
        <v>...</v>
      </c>
      <c r="G25" s="78"/>
      <c r="H25" s="21"/>
      <c r="I25" s="22"/>
      <c r="J25" s="79" t="str">
        <f t="shared" si="2"/>
        <v>...</v>
      </c>
      <c r="K25" s="9" t="str">
        <f t="shared" si="3"/>
        <v>...</v>
      </c>
      <c r="L25" s="9" t="str">
        <f>if(B25=0,"...",$G25*(IF(D25="ABIERTA",J25,I25)*(1-VLOOKUP(A25,Config!$A$3:$B32,2,FALSE))))</f>
        <v>...</v>
      </c>
      <c r="M25" s="10" t="str">
        <f t="shared" si="4"/>
        <v>...</v>
      </c>
      <c r="N25" s="20" t="str">
        <f t="shared" si="5"/>
        <v>...</v>
      </c>
      <c r="O25" s="18"/>
      <c r="P25" s="9"/>
      <c r="Q25" s="80"/>
      <c r="R25" s="10"/>
      <c r="S25" s="9" t="str">
        <f t="shared" si="8"/>
        <v>...</v>
      </c>
      <c r="T25" s="15" t="str">
        <f t="shared" si="9"/>
        <v>...</v>
      </c>
      <c r="U25" s="10" t="str">
        <f t="shared" si="10"/>
        <v>...</v>
      </c>
      <c r="V25" s="15" t="str">
        <f t="shared" si="11"/>
        <v>...</v>
      </c>
      <c r="W25" s="18"/>
      <c r="X25" s="26"/>
      <c r="Y25" s="27"/>
      <c r="Z25" s="26"/>
      <c r="AA25" s="27"/>
      <c r="AB25" s="18"/>
      <c r="AC25" s="85"/>
      <c r="AD25" s="82" t="str">
        <f>IFERROR(__xludf.DUMMYFUNCTION("IF(AC25="""",""..."",IMPORTDATA(""https://cryptoprices.cc/""&amp;$AC25&amp;""/"","""",""en_US""))"),"...")</f>
        <v>...</v>
      </c>
      <c r="AE25" s="83"/>
    </row>
    <row r="26">
      <c r="A26" s="5"/>
      <c r="B26" s="5"/>
      <c r="C26" s="11"/>
      <c r="D26" s="5"/>
      <c r="E26" s="19"/>
      <c r="F26" s="20" t="str">
        <f t="shared" si="1"/>
        <v>...</v>
      </c>
      <c r="G26" s="78"/>
      <c r="H26" s="21"/>
      <c r="I26" s="21"/>
      <c r="J26" s="79" t="str">
        <f t="shared" si="2"/>
        <v>...</v>
      </c>
      <c r="K26" s="9" t="str">
        <f t="shared" si="3"/>
        <v>...</v>
      </c>
      <c r="L26" s="9" t="str">
        <f>if(B26=0,"...",$G26*(IF(D26="ABIERTA",J26,I26)*(1-VLOOKUP(A26,Config!$A$3:$B32,2,FALSE))))</f>
        <v>...</v>
      </c>
      <c r="M26" s="10" t="str">
        <f t="shared" si="4"/>
        <v>...</v>
      </c>
      <c r="N26" s="20" t="str">
        <f t="shared" si="5"/>
        <v>...</v>
      </c>
      <c r="O26" s="18"/>
      <c r="P26" s="9"/>
      <c r="Q26" s="80" t="str">
        <f t="shared" ref="Q26:Q32" si="13">if(P26=0,"...",sumifs($G$2:$G32,$B$2:$B32,P26,$D$2:$D32,"ABIERTA"))</f>
        <v>...</v>
      </c>
      <c r="R26" s="10" t="str">
        <f t="shared" ref="R26:R32" si="14">if(P26=0,"",T26/$Y$20)</f>
        <v/>
      </c>
      <c r="S26" s="9" t="str">
        <f t="shared" si="8"/>
        <v>...</v>
      </c>
      <c r="T26" s="15" t="str">
        <f t="shared" si="9"/>
        <v>...</v>
      </c>
      <c r="U26" s="10" t="str">
        <f t="shared" si="10"/>
        <v>...</v>
      </c>
      <c r="V26" s="15" t="str">
        <f t="shared" si="11"/>
        <v>...</v>
      </c>
      <c r="W26" s="18"/>
      <c r="X26" s="26" t="s">
        <v>62</v>
      </c>
      <c r="Y26" s="28">
        <f>Y22/(Y20-Y22)</f>
        <v>0.6502827025</v>
      </c>
      <c r="Z26" s="26" t="s">
        <v>62</v>
      </c>
      <c r="AA26" s="28">
        <f>AA22/(AA20-AA22)</f>
        <v>0.09725358461</v>
      </c>
      <c r="AB26" s="18"/>
      <c r="AC26" s="85"/>
      <c r="AD26" s="82" t="str">
        <f>IFERROR(__xludf.DUMMYFUNCTION("IF(AC26="""",""..."",IMPORTDATA(""https://cryptoprices.cc/""&amp;$AC26&amp;""/"","""",""en_US""))"),"...")</f>
        <v>...</v>
      </c>
      <c r="AE26" s="83"/>
    </row>
    <row r="27">
      <c r="A27" s="5"/>
      <c r="B27" s="5"/>
      <c r="C27" s="11"/>
      <c r="D27" s="5"/>
      <c r="E27" s="19"/>
      <c r="F27" s="20" t="str">
        <f t="shared" si="1"/>
        <v>...</v>
      </c>
      <c r="G27" s="78"/>
      <c r="H27" s="21"/>
      <c r="I27" s="21"/>
      <c r="J27" s="79" t="str">
        <f t="shared" si="2"/>
        <v>...</v>
      </c>
      <c r="K27" s="9" t="str">
        <f t="shared" si="3"/>
        <v>...</v>
      </c>
      <c r="L27" s="9" t="str">
        <f>if(B27=0,"...",$G27*(IF(D27="ABIERTA",J27,I27)*(1-VLOOKUP(A27,Config!$A$3:$B32,2,FALSE))))</f>
        <v>...</v>
      </c>
      <c r="M27" s="10" t="str">
        <f t="shared" si="4"/>
        <v>...</v>
      </c>
      <c r="N27" s="20" t="str">
        <f t="shared" si="5"/>
        <v>...</v>
      </c>
      <c r="O27" s="18"/>
      <c r="P27" s="9"/>
      <c r="Q27" s="80" t="str">
        <f t="shared" si="13"/>
        <v>...</v>
      </c>
      <c r="R27" s="10" t="str">
        <f t="shared" si="14"/>
        <v/>
      </c>
      <c r="S27" s="9" t="str">
        <f t="shared" si="8"/>
        <v>...</v>
      </c>
      <c r="T27" s="15" t="str">
        <f t="shared" ref="T27:T29" si="15">if(P27=0,"...",sumifs(L27:L32,$B$2:$B32,P27,$D$2:$D32,"ABIERTA"))</f>
        <v>...</v>
      </c>
      <c r="U27" s="10" t="str">
        <f t="shared" si="10"/>
        <v>...</v>
      </c>
      <c r="V27" s="15" t="str">
        <f t="shared" si="11"/>
        <v>...</v>
      </c>
      <c r="W27" s="18"/>
      <c r="AB27" s="18"/>
      <c r="AC27" s="85"/>
      <c r="AD27" s="82" t="str">
        <f>IFERROR(__xludf.DUMMYFUNCTION("IF(AC27="""",""..."",IMPORTDATA(""https://cryptoprices.cc/""&amp;$AC27&amp;""/"","""",""en_US""))"),"...")</f>
        <v>...</v>
      </c>
      <c r="AE27" s="83"/>
    </row>
    <row r="28">
      <c r="A28" s="5"/>
      <c r="B28" s="5"/>
      <c r="C28" s="11"/>
      <c r="D28" s="5"/>
      <c r="E28" s="19"/>
      <c r="F28" s="20" t="str">
        <f t="shared" si="1"/>
        <v>...</v>
      </c>
      <c r="G28" s="78"/>
      <c r="H28" s="21"/>
      <c r="I28" s="21"/>
      <c r="J28" s="79" t="str">
        <f t="shared" si="2"/>
        <v>...</v>
      </c>
      <c r="K28" s="9" t="str">
        <f t="shared" si="3"/>
        <v>...</v>
      </c>
      <c r="L28" s="9" t="str">
        <f>if(B28=0,"...",$G28*(IF(D28="ABIERTA",J28,I28)*(1-VLOOKUP(A28,Config!$A$3:$B32,2,FALSE))))</f>
        <v>...</v>
      </c>
      <c r="M28" s="10" t="str">
        <f t="shared" si="4"/>
        <v>...</v>
      </c>
      <c r="N28" s="20" t="str">
        <f t="shared" si="5"/>
        <v>...</v>
      </c>
      <c r="O28" s="18"/>
      <c r="P28" s="9"/>
      <c r="Q28" s="80" t="str">
        <f t="shared" si="13"/>
        <v>...</v>
      </c>
      <c r="R28" s="10" t="str">
        <f t="shared" si="14"/>
        <v/>
      </c>
      <c r="S28" s="9" t="str">
        <f t="shared" si="8"/>
        <v>...</v>
      </c>
      <c r="T28" s="15" t="str">
        <f t="shared" si="15"/>
        <v>...</v>
      </c>
      <c r="U28" s="10" t="str">
        <f t="shared" si="10"/>
        <v>...</v>
      </c>
      <c r="V28" s="15" t="str">
        <f t="shared" si="11"/>
        <v>...</v>
      </c>
      <c r="W28" s="18"/>
      <c r="X28" s="18"/>
      <c r="Y28" s="18"/>
      <c r="Z28" s="18"/>
      <c r="AA28" s="18"/>
      <c r="AB28" s="18"/>
      <c r="AC28" s="85"/>
      <c r="AD28" s="82" t="str">
        <f>IFERROR(__xludf.DUMMYFUNCTION("IF(AC28="""",""..."",IMPORTDATA(""https://cryptoprices.cc/""&amp;$AC28&amp;""/"","""",""en_US""))"),"...")</f>
        <v>...</v>
      </c>
      <c r="AE28" s="83"/>
    </row>
    <row r="29">
      <c r="A29" s="5"/>
      <c r="B29" s="5"/>
      <c r="C29" s="11"/>
      <c r="D29" s="5"/>
      <c r="E29" s="19"/>
      <c r="F29" s="20" t="str">
        <f t="shared" si="1"/>
        <v>...</v>
      </c>
      <c r="G29" s="78"/>
      <c r="H29" s="21"/>
      <c r="I29" s="21"/>
      <c r="J29" s="79" t="str">
        <f t="shared" si="2"/>
        <v>...</v>
      </c>
      <c r="K29" s="9" t="str">
        <f t="shared" si="3"/>
        <v>...</v>
      </c>
      <c r="L29" s="9" t="str">
        <f>if(B29=0,"...",$G29*(IF(D29="ABIERTA",J29,I29)*(1-VLOOKUP(A29,Config!$A$3:$B32,2,FALSE))))</f>
        <v>...</v>
      </c>
      <c r="M29" s="10" t="str">
        <f t="shared" si="4"/>
        <v>...</v>
      </c>
      <c r="N29" s="20" t="str">
        <f t="shared" si="5"/>
        <v>...</v>
      </c>
      <c r="O29" s="18"/>
      <c r="P29" s="9"/>
      <c r="Q29" s="80" t="str">
        <f t="shared" si="13"/>
        <v>...</v>
      </c>
      <c r="R29" s="10" t="str">
        <f t="shared" si="14"/>
        <v/>
      </c>
      <c r="S29" s="9" t="str">
        <f t="shared" si="8"/>
        <v>...</v>
      </c>
      <c r="T29" s="15" t="str">
        <f t="shared" si="15"/>
        <v>...</v>
      </c>
      <c r="U29" s="10" t="str">
        <f t="shared" si="10"/>
        <v>...</v>
      </c>
      <c r="V29" s="15" t="str">
        <f t="shared" si="11"/>
        <v>...</v>
      </c>
      <c r="W29" s="18"/>
      <c r="X29" s="18"/>
      <c r="Y29" s="18"/>
      <c r="Z29" s="18"/>
      <c r="AA29" s="18"/>
      <c r="AB29" s="18"/>
      <c r="AC29" s="85"/>
      <c r="AD29" s="82" t="str">
        <f>IFERROR(__xludf.DUMMYFUNCTION("IF(AC29="""",""..."",IMPORTDATA(""https://cryptoprices.cc/""&amp;$AC29&amp;""/"","""",""en_US""))"),"...")</f>
        <v>...</v>
      </c>
      <c r="AE29" s="83"/>
    </row>
    <row r="30">
      <c r="O30" s="18"/>
      <c r="P30" s="9"/>
      <c r="Q30" s="80" t="str">
        <f t="shared" si="13"/>
        <v>...</v>
      </c>
      <c r="R30" s="10" t="str">
        <f t="shared" si="14"/>
        <v/>
      </c>
      <c r="S30" s="9" t="str">
        <f t="shared" si="8"/>
        <v>...</v>
      </c>
      <c r="T30" s="15" t="str">
        <f t="shared" ref="T30:T32" si="16">if(P30=0,"...",sumifs($L$2:$L32,$B$2:$B32,P30,$D$2:$D32,"ABIERTA"))</f>
        <v>...</v>
      </c>
      <c r="U30" s="10" t="str">
        <f t="shared" si="10"/>
        <v>...</v>
      </c>
      <c r="V30" s="15" t="str">
        <f t="shared" si="11"/>
        <v>...</v>
      </c>
      <c r="W30" s="18"/>
      <c r="X30" s="18"/>
      <c r="Y30" s="18"/>
      <c r="Z30" s="18"/>
      <c r="AA30" s="18"/>
      <c r="AB30" s="18"/>
      <c r="AC30" s="86"/>
      <c r="AD30" s="87"/>
      <c r="AE30" s="83"/>
    </row>
    <row r="31">
      <c r="O31" s="18"/>
      <c r="P31" s="9"/>
      <c r="Q31" s="80" t="str">
        <f t="shared" si="13"/>
        <v>...</v>
      </c>
      <c r="R31" s="10" t="str">
        <f t="shared" si="14"/>
        <v/>
      </c>
      <c r="S31" s="9" t="str">
        <f t="shared" si="8"/>
        <v>...</v>
      </c>
      <c r="T31" s="15" t="str">
        <f t="shared" si="16"/>
        <v>...</v>
      </c>
      <c r="U31" s="10" t="str">
        <f t="shared" si="10"/>
        <v>...</v>
      </c>
      <c r="V31" s="15" t="str">
        <f t="shared" si="11"/>
        <v>...</v>
      </c>
      <c r="W31" s="18"/>
      <c r="X31" s="18"/>
      <c r="Y31" s="18"/>
      <c r="Z31" s="18"/>
      <c r="AA31" s="18"/>
      <c r="AB31" s="18"/>
      <c r="AC31" s="86"/>
      <c r="AD31" s="87"/>
      <c r="AE31" s="83"/>
    </row>
    <row r="32">
      <c r="O32" s="18"/>
      <c r="P32" s="9"/>
      <c r="Q32" s="80" t="str">
        <f t="shared" si="13"/>
        <v>...</v>
      </c>
      <c r="R32" s="10" t="str">
        <f t="shared" si="14"/>
        <v/>
      </c>
      <c r="S32" s="9" t="str">
        <f t="shared" si="8"/>
        <v>...</v>
      </c>
      <c r="T32" s="15" t="str">
        <f t="shared" si="16"/>
        <v>...</v>
      </c>
      <c r="U32" s="10" t="str">
        <f t="shared" si="10"/>
        <v>...</v>
      </c>
      <c r="V32" s="15" t="str">
        <f t="shared" si="11"/>
        <v>...</v>
      </c>
      <c r="W32" s="18"/>
      <c r="X32" s="18"/>
      <c r="Y32" s="18"/>
      <c r="Z32" s="18"/>
      <c r="AA32" s="18"/>
      <c r="AB32" s="18"/>
      <c r="AC32" s="86"/>
      <c r="AD32" s="87"/>
      <c r="AE32" s="83"/>
    </row>
  </sheetData>
  <mergeCells count="12">
    <mergeCell ref="X22:X23"/>
    <mergeCell ref="X26:X27"/>
    <mergeCell ref="Y26:Y27"/>
    <mergeCell ref="Z26:Z27"/>
    <mergeCell ref="AA26:AA27"/>
    <mergeCell ref="X20:X21"/>
    <mergeCell ref="Y20:Y21"/>
    <mergeCell ref="Z20:Z21"/>
    <mergeCell ref="AA20:AA21"/>
    <mergeCell ref="Y22:Y23"/>
    <mergeCell ref="Z22:Z23"/>
    <mergeCell ref="AA22:AA23"/>
  </mergeCells>
  <conditionalFormatting sqref="M2:M32">
    <cfRule type="cellIs" dxfId="0" priority="1" operator="greaterThanOrEqual">
      <formula>"10%"</formula>
    </cfRule>
  </conditionalFormatting>
  <conditionalFormatting sqref="M2:M32">
    <cfRule type="cellIs" dxfId="1" priority="2" operator="between">
      <formula>"1%"</formula>
      <formula>"10%"</formula>
    </cfRule>
  </conditionalFormatting>
  <conditionalFormatting sqref="M2:M32">
    <cfRule type="cellIs" dxfId="2" priority="3" operator="lessThanOrEqual">
      <formula>"-10%"</formula>
    </cfRule>
  </conditionalFormatting>
  <conditionalFormatting sqref="M2:M32">
    <cfRule type="cellIs" dxfId="3" priority="4" operator="between">
      <formula>"-1%"</formula>
      <formula>"-10%"</formula>
    </cfRule>
  </conditionalFormatting>
  <conditionalFormatting sqref="M2:M32">
    <cfRule type="cellIs" dxfId="4" priority="5" operator="between">
      <formula>"-1%"</formula>
      <formula>"1%"</formula>
    </cfRule>
  </conditionalFormatting>
  <conditionalFormatting sqref="J2:J32">
    <cfRule type="expression" dxfId="5" priority="6">
      <formula>J2&gt;H2</formula>
    </cfRule>
  </conditionalFormatting>
  <conditionalFormatting sqref="J2:J32">
    <cfRule type="expression" dxfId="6" priority="7">
      <formula>J2&lt;H2</formula>
    </cfRule>
  </conditionalFormatting>
  <conditionalFormatting sqref="D2:D32">
    <cfRule type="containsText" dxfId="7" priority="8" operator="containsText" text="ABIERTA">
      <formula>NOT(ISERROR(SEARCH(("ABIERTA"),(D2))))</formula>
    </cfRule>
  </conditionalFormatting>
  <conditionalFormatting sqref="D2:D32">
    <cfRule type="containsText" dxfId="8" priority="9" operator="containsText" text="CERRADA">
      <formula>NOT(ISERROR(SEARCH(("CERRADA"),(D2))))</formula>
    </cfRule>
  </conditionalFormatting>
  <dataValidations>
    <dataValidation type="list" allowBlank="1" sqref="D2:D29">
      <formula1>"ABIERTA,CERRADA"</formula1>
    </dataValidation>
    <dataValidation type="list" allowBlank="1" showErrorMessage="1" sqref="B2:B29">
      <formula1>Cryptos!$AC$2:$AC32</formula1>
    </dataValidation>
    <dataValidation type="custom" allowBlank="1" showDropDown="1" sqref="C2:C29 E2:E29">
      <formula1>OR(NOT(ISERROR(DATEVALUE(C2))), AND(ISNUMBER(C2), LEFT(CELL("format", C2))="D"))</formula1>
    </dataValidation>
    <dataValidation type="list" allowBlank="1" sqref="A2:A29">
      <formula1>Config!$A$3:$A32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  <col customWidth="1" min="5" max="5" width="15.13"/>
    <col customWidth="1" min="6" max="6" width="26.0"/>
    <col customWidth="1" min="7" max="7" width="19.0"/>
    <col customWidth="1" min="8" max="8" width="22.38"/>
    <col customWidth="1" min="9" max="10" width="27.25"/>
  </cols>
  <sheetData>
    <row r="1">
      <c r="A1" s="88" t="s">
        <v>3619</v>
      </c>
      <c r="B1" s="89"/>
      <c r="C1" s="90" t="s">
        <v>3620</v>
      </c>
      <c r="D1" s="89"/>
      <c r="E1" s="90" t="s">
        <v>3621</v>
      </c>
      <c r="F1" s="89"/>
      <c r="G1" s="89"/>
      <c r="H1" s="90" t="s">
        <v>3622</v>
      </c>
      <c r="I1" s="90" t="s">
        <v>3623</v>
      </c>
      <c r="J1" s="90" t="s">
        <v>3624</v>
      </c>
      <c r="L1" s="90" t="s">
        <v>3625</v>
      </c>
      <c r="M1" s="89"/>
    </row>
    <row r="2">
      <c r="A2" s="91" t="s">
        <v>14</v>
      </c>
      <c r="B2" s="92" t="s">
        <v>3626</v>
      </c>
      <c r="C2" s="93" t="s">
        <v>14</v>
      </c>
      <c r="D2" s="92" t="s">
        <v>3627</v>
      </c>
      <c r="E2" s="93" t="s">
        <v>14</v>
      </c>
      <c r="F2" s="91" t="s">
        <v>3628</v>
      </c>
      <c r="G2" s="91" t="s">
        <v>3629</v>
      </c>
      <c r="H2" s="93" t="s">
        <v>14</v>
      </c>
      <c r="I2" s="93" t="s">
        <v>14</v>
      </c>
      <c r="J2" s="93" t="s">
        <v>14</v>
      </c>
      <c r="L2" s="94" t="s">
        <v>15</v>
      </c>
      <c r="M2" s="94" t="s">
        <v>3630</v>
      </c>
    </row>
    <row r="3">
      <c r="A3" s="95" t="s">
        <v>40</v>
      </c>
      <c r="B3" s="96">
        <v>5.0E-5</v>
      </c>
      <c r="C3" s="97" t="s">
        <v>2505</v>
      </c>
      <c r="D3" s="98">
        <v>1266.4</v>
      </c>
      <c r="E3" s="97" t="s">
        <v>3631</v>
      </c>
      <c r="F3" s="99" t="s">
        <v>3632</v>
      </c>
      <c r="G3" s="100" t="s">
        <v>3633</v>
      </c>
      <c r="H3" s="97" t="s">
        <v>3634</v>
      </c>
      <c r="I3" s="97" t="s">
        <v>7</v>
      </c>
      <c r="J3" s="97" t="s">
        <v>43</v>
      </c>
      <c r="L3" s="101" t="s">
        <v>48</v>
      </c>
      <c r="M3" s="101" t="s">
        <v>1144</v>
      </c>
    </row>
    <row r="4">
      <c r="A4" s="95" t="s">
        <v>3611</v>
      </c>
      <c r="B4" s="95">
        <v>0.0</v>
      </c>
      <c r="C4" s="97" t="s">
        <v>96</v>
      </c>
      <c r="D4" s="98">
        <v>1269.0</v>
      </c>
      <c r="E4" s="97" t="s">
        <v>3635</v>
      </c>
      <c r="F4" s="99"/>
      <c r="G4" s="99"/>
      <c r="H4" s="97" t="s">
        <v>3636</v>
      </c>
      <c r="I4" s="97" t="s">
        <v>8</v>
      </c>
      <c r="J4" s="97" t="s">
        <v>44</v>
      </c>
      <c r="L4" s="101" t="s">
        <v>47</v>
      </c>
      <c r="M4" s="101" t="s">
        <v>1144</v>
      </c>
    </row>
    <row r="5">
      <c r="A5" s="95" t="s">
        <v>3614</v>
      </c>
      <c r="B5" s="95">
        <v>0.0</v>
      </c>
      <c r="C5" s="97"/>
      <c r="D5" s="102"/>
      <c r="E5" s="97" t="s">
        <v>3637</v>
      </c>
      <c r="F5" s="99"/>
      <c r="G5" s="99"/>
      <c r="H5" s="97"/>
      <c r="I5" s="97" t="s">
        <v>9</v>
      </c>
      <c r="J5" s="97"/>
      <c r="L5" s="101" t="s">
        <v>3638</v>
      </c>
      <c r="M5" s="101" t="s">
        <v>1144</v>
      </c>
    </row>
    <row r="6">
      <c r="A6" s="95" t="s">
        <v>3616</v>
      </c>
      <c r="B6" s="95">
        <v>0.0</v>
      </c>
      <c r="C6" s="97"/>
      <c r="D6" s="102"/>
      <c r="E6" s="97"/>
      <c r="F6" s="99"/>
      <c r="G6" s="99"/>
      <c r="H6" s="97"/>
      <c r="I6" s="97" t="s">
        <v>6</v>
      </c>
      <c r="J6" s="97"/>
      <c r="L6" s="101" t="s">
        <v>3639</v>
      </c>
      <c r="M6" s="101" t="s">
        <v>3640</v>
      </c>
    </row>
    <row r="7">
      <c r="A7" s="95" t="s">
        <v>3618</v>
      </c>
      <c r="B7" s="95">
        <v>0.0</v>
      </c>
      <c r="C7" s="95"/>
      <c r="D7" s="102"/>
      <c r="E7" s="95"/>
      <c r="F7" s="99"/>
      <c r="G7" s="99"/>
      <c r="H7" s="95"/>
      <c r="I7" s="95" t="s">
        <v>10</v>
      </c>
      <c r="J7" s="95"/>
      <c r="L7" s="101" t="s">
        <v>41</v>
      </c>
      <c r="M7" s="101" t="s">
        <v>1144</v>
      </c>
    </row>
    <row r="8">
      <c r="A8" s="95"/>
      <c r="B8" s="96"/>
      <c r="C8" s="95"/>
      <c r="D8" s="102"/>
      <c r="E8" s="95"/>
      <c r="F8" s="99"/>
      <c r="G8" s="99"/>
      <c r="H8" s="95"/>
      <c r="I8" s="95" t="s">
        <v>11</v>
      </c>
      <c r="J8" s="95"/>
      <c r="L8" s="101" t="s">
        <v>3641</v>
      </c>
      <c r="M8" s="101" t="s">
        <v>665</v>
      </c>
    </row>
    <row r="9">
      <c r="A9" s="95"/>
      <c r="B9" s="96"/>
      <c r="C9" s="95"/>
      <c r="D9" s="102"/>
      <c r="E9" s="95"/>
      <c r="F9" s="99"/>
      <c r="G9" s="99"/>
      <c r="H9" s="95"/>
      <c r="I9" s="95"/>
      <c r="J9" s="95"/>
      <c r="L9" s="101" t="s">
        <v>3642</v>
      </c>
      <c r="M9" s="101" t="s">
        <v>3643</v>
      </c>
    </row>
    <row r="10">
      <c r="A10" s="95"/>
      <c r="B10" s="96"/>
      <c r="C10" s="95"/>
      <c r="D10" s="102"/>
      <c r="E10" s="95"/>
      <c r="F10" s="99"/>
      <c r="G10" s="99"/>
      <c r="H10" s="95"/>
      <c r="I10" s="95"/>
      <c r="J10" s="95"/>
      <c r="L10" s="101" t="s">
        <v>3644</v>
      </c>
      <c r="M10" s="101" t="s">
        <v>3645</v>
      </c>
    </row>
    <row r="11">
      <c r="A11" s="95"/>
      <c r="B11" s="96"/>
      <c r="C11" s="95"/>
      <c r="D11" s="102"/>
      <c r="E11" s="95"/>
      <c r="F11" s="99"/>
      <c r="G11" s="99"/>
      <c r="H11" s="95"/>
      <c r="I11" s="95"/>
      <c r="J11" s="95"/>
      <c r="L11" s="101" t="s">
        <v>3646</v>
      </c>
      <c r="M11" s="101" t="s">
        <v>3647</v>
      </c>
    </row>
    <row r="12">
      <c r="A12" s="95"/>
      <c r="B12" s="96"/>
      <c r="C12" s="95"/>
      <c r="D12" s="102"/>
      <c r="E12" s="95"/>
      <c r="F12" s="99"/>
      <c r="G12" s="99"/>
      <c r="H12" s="95"/>
      <c r="I12" s="95"/>
      <c r="J12" s="95"/>
      <c r="L12" s="101" t="s">
        <v>3648</v>
      </c>
      <c r="M12" s="101" t="s">
        <v>3649</v>
      </c>
    </row>
    <row r="13">
      <c r="A13" s="95"/>
      <c r="B13" s="96"/>
      <c r="C13" s="95"/>
      <c r="D13" s="102"/>
      <c r="E13" s="95"/>
      <c r="F13" s="99"/>
      <c r="G13" s="99"/>
      <c r="H13" s="95"/>
      <c r="I13" s="95"/>
      <c r="J13" s="95"/>
      <c r="L13" s="101" t="s">
        <v>3650</v>
      </c>
      <c r="M13" s="101" t="s">
        <v>3651</v>
      </c>
    </row>
    <row r="14">
      <c r="A14" s="95"/>
      <c r="B14" s="96"/>
      <c r="C14" s="95"/>
      <c r="D14" s="102"/>
      <c r="E14" s="95"/>
      <c r="F14" s="99"/>
      <c r="G14" s="99"/>
      <c r="H14" s="95"/>
      <c r="I14" s="95"/>
      <c r="J14" s="95"/>
      <c r="L14" s="101" t="s">
        <v>3652</v>
      </c>
      <c r="M14" s="101" t="s">
        <v>752</v>
      </c>
    </row>
    <row r="15">
      <c r="A15" s="95"/>
      <c r="B15" s="96"/>
      <c r="C15" s="95"/>
      <c r="D15" s="102"/>
      <c r="E15" s="95"/>
      <c r="F15" s="99"/>
      <c r="G15" s="99"/>
      <c r="H15" s="95"/>
      <c r="I15" s="95"/>
      <c r="J15" s="95"/>
      <c r="L15" s="101" t="s">
        <v>3653</v>
      </c>
      <c r="M15" s="101" t="s">
        <v>3654</v>
      </c>
    </row>
    <row r="16">
      <c r="A16" s="95"/>
      <c r="B16" s="96"/>
      <c r="C16" s="95"/>
      <c r="D16" s="102"/>
      <c r="E16" s="95"/>
      <c r="F16" s="99"/>
      <c r="G16" s="99"/>
      <c r="H16" s="95"/>
      <c r="I16" s="95"/>
      <c r="J16" s="95"/>
      <c r="L16" s="101" t="s">
        <v>3655</v>
      </c>
      <c r="M16" s="101" t="s">
        <v>3649</v>
      </c>
    </row>
    <row r="17">
      <c r="A17" s="95"/>
      <c r="B17" s="96"/>
      <c r="C17" s="95"/>
      <c r="D17" s="102"/>
      <c r="E17" s="95"/>
      <c r="F17" s="99"/>
      <c r="G17" s="99"/>
      <c r="H17" s="95"/>
      <c r="I17" s="95"/>
      <c r="J17" s="95"/>
      <c r="L17" s="101" t="s">
        <v>3656</v>
      </c>
      <c r="M17" s="101" t="s">
        <v>3647</v>
      </c>
    </row>
    <row r="18">
      <c r="A18" s="95"/>
      <c r="B18" s="96"/>
      <c r="C18" s="95"/>
      <c r="D18" s="102"/>
      <c r="E18" s="95"/>
      <c r="F18" s="99"/>
      <c r="G18" s="99"/>
      <c r="H18" s="95"/>
      <c r="I18" s="95"/>
      <c r="J18" s="95"/>
      <c r="L18" s="101" t="s">
        <v>3657</v>
      </c>
      <c r="M18" s="101" t="s">
        <v>3658</v>
      </c>
    </row>
    <row r="19">
      <c r="A19" s="95"/>
      <c r="B19" s="96"/>
      <c r="C19" s="95"/>
      <c r="D19" s="102"/>
      <c r="E19" s="95"/>
      <c r="F19" s="99"/>
      <c r="G19" s="99"/>
      <c r="H19" s="95"/>
      <c r="I19" s="95"/>
      <c r="J19" s="95"/>
      <c r="L19" s="101" t="s">
        <v>3659</v>
      </c>
      <c r="M19" s="101" t="s">
        <v>3660</v>
      </c>
    </row>
    <row r="20">
      <c r="A20" s="95"/>
      <c r="B20" s="96"/>
      <c r="C20" s="95"/>
      <c r="D20" s="102"/>
      <c r="E20" s="95"/>
      <c r="F20" s="99"/>
      <c r="G20" s="99"/>
      <c r="H20" s="95"/>
      <c r="I20" s="95"/>
      <c r="J20" s="95"/>
      <c r="L20" s="101" t="s">
        <v>3661</v>
      </c>
      <c r="M20" s="101" t="s">
        <v>3647</v>
      </c>
    </row>
    <row r="21">
      <c r="A21" s="95"/>
      <c r="B21" s="96"/>
      <c r="C21" s="95"/>
      <c r="D21" s="102"/>
      <c r="E21" s="95"/>
      <c r="F21" s="99"/>
      <c r="G21" s="99"/>
      <c r="H21" s="95"/>
      <c r="I21" s="95"/>
      <c r="J21" s="95"/>
      <c r="L21" s="101" t="s">
        <v>3662</v>
      </c>
      <c r="M21" s="101" t="s">
        <v>3660</v>
      </c>
    </row>
    <row r="22">
      <c r="A22" s="95"/>
      <c r="B22" s="96"/>
      <c r="C22" s="95"/>
      <c r="D22" s="102"/>
      <c r="E22" s="95"/>
      <c r="F22" s="99"/>
      <c r="G22" s="99"/>
      <c r="H22" s="95"/>
      <c r="I22" s="95"/>
      <c r="J22" s="95"/>
      <c r="L22" s="101" t="s">
        <v>3663</v>
      </c>
      <c r="M22" s="101" t="s">
        <v>665</v>
      </c>
    </row>
    <row r="23">
      <c r="A23" s="95"/>
      <c r="B23" s="96"/>
      <c r="C23" s="95"/>
      <c r="D23" s="102"/>
      <c r="E23" s="95"/>
      <c r="F23" s="99"/>
      <c r="G23" s="99"/>
      <c r="H23" s="95"/>
      <c r="I23" s="95"/>
      <c r="J23" s="95"/>
      <c r="L23" s="101" t="s">
        <v>3664</v>
      </c>
      <c r="M23" s="101" t="s">
        <v>665</v>
      </c>
    </row>
    <row r="24">
      <c r="A24" s="95"/>
      <c r="B24" s="96"/>
      <c r="C24" s="95"/>
      <c r="D24" s="102"/>
      <c r="E24" s="95"/>
      <c r="F24" s="99"/>
      <c r="G24" s="99"/>
      <c r="H24" s="95"/>
      <c r="I24" s="95"/>
      <c r="J24" s="95"/>
      <c r="L24" s="101" t="s">
        <v>3665</v>
      </c>
      <c r="M24" s="101" t="s">
        <v>3647</v>
      </c>
    </row>
    <row r="25">
      <c r="A25" s="95"/>
      <c r="B25" s="96"/>
      <c r="C25" s="95"/>
      <c r="D25" s="102"/>
      <c r="E25" s="95"/>
      <c r="F25" s="99"/>
      <c r="G25" s="99"/>
      <c r="H25" s="95"/>
      <c r="I25" s="95"/>
      <c r="J25" s="95"/>
      <c r="L25" s="101" t="s">
        <v>3666</v>
      </c>
      <c r="M25" s="101" t="s">
        <v>3667</v>
      </c>
    </row>
    <row r="26">
      <c r="A26" s="95"/>
      <c r="B26" s="96"/>
      <c r="C26" s="95"/>
      <c r="D26" s="102"/>
      <c r="E26" s="95"/>
      <c r="F26" s="99"/>
      <c r="G26" s="99"/>
      <c r="H26" s="95"/>
      <c r="I26" s="95"/>
      <c r="J26" s="95"/>
      <c r="L26" s="101" t="s">
        <v>3668</v>
      </c>
      <c r="M26" s="101" t="s">
        <v>3647</v>
      </c>
    </row>
    <row r="27">
      <c r="A27" s="95"/>
      <c r="B27" s="96"/>
      <c r="C27" s="95"/>
      <c r="D27" s="102"/>
      <c r="E27" s="95"/>
      <c r="F27" s="99"/>
      <c r="G27" s="99"/>
      <c r="H27" s="95"/>
      <c r="I27" s="95"/>
      <c r="J27" s="95"/>
      <c r="L27" s="101" t="s">
        <v>3669</v>
      </c>
      <c r="M27" s="101" t="s">
        <v>3651</v>
      </c>
    </row>
    <row r="28">
      <c r="A28" s="95"/>
      <c r="B28" s="96"/>
      <c r="C28" s="95"/>
      <c r="D28" s="102"/>
      <c r="E28" s="95"/>
      <c r="F28" s="99"/>
      <c r="G28" s="99"/>
      <c r="H28" s="95"/>
      <c r="I28" s="95"/>
      <c r="J28" s="95"/>
      <c r="L28" s="101" t="s">
        <v>3670</v>
      </c>
      <c r="M28" s="101" t="s">
        <v>1144</v>
      </c>
    </row>
    <row r="29">
      <c r="A29" s="95"/>
      <c r="B29" s="96"/>
      <c r="C29" s="95"/>
      <c r="D29" s="102"/>
      <c r="E29" s="95"/>
      <c r="F29" s="99"/>
      <c r="G29" s="99"/>
      <c r="H29" s="95"/>
      <c r="I29" s="95"/>
      <c r="J29" s="95"/>
      <c r="L29" s="101" t="s">
        <v>3671</v>
      </c>
      <c r="M29" s="101" t="s">
        <v>3645</v>
      </c>
    </row>
    <row r="30">
      <c r="A30" s="95"/>
      <c r="B30" s="96"/>
      <c r="C30" s="95"/>
      <c r="D30" s="102"/>
      <c r="E30" s="95"/>
      <c r="F30" s="99"/>
      <c r="G30" s="99"/>
      <c r="H30" s="95"/>
      <c r="I30" s="95"/>
      <c r="J30" s="95"/>
      <c r="L30" s="101" t="s">
        <v>3672</v>
      </c>
      <c r="M30" s="101" t="s">
        <v>3647</v>
      </c>
    </row>
    <row r="31">
      <c r="A31" s="95"/>
      <c r="B31" s="96"/>
      <c r="C31" s="95"/>
      <c r="D31" s="102"/>
      <c r="E31" s="95"/>
      <c r="F31" s="99"/>
      <c r="G31" s="99"/>
      <c r="H31" s="95"/>
      <c r="I31" s="95"/>
      <c r="J31" s="95"/>
      <c r="L31" s="101" t="s">
        <v>3673</v>
      </c>
      <c r="M31" s="101" t="s">
        <v>3674</v>
      </c>
    </row>
    <row r="32">
      <c r="A32" s="95"/>
      <c r="B32" s="96"/>
      <c r="C32" s="95"/>
      <c r="D32" s="102"/>
      <c r="E32" s="95"/>
      <c r="F32" s="99"/>
      <c r="G32" s="99"/>
      <c r="H32" s="95"/>
      <c r="I32" s="95"/>
      <c r="J32" s="95"/>
      <c r="L32" s="101" t="s">
        <v>3675</v>
      </c>
      <c r="M32" s="101" t="s">
        <v>3676</v>
      </c>
    </row>
    <row r="33">
      <c r="A33" s="95"/>
      <c r="B33" s="96"/>
      <c r="C33" s="95"/>
      <c r="D33" s="102"/>
      <c r="E33" s="95"/>
      <c r="F33" s="99"/>
      <c r="G33" s="99"/>
      <c r="H33" s="95"/>
      <c r="I33" s="95"/>
      <c r="J33" s="95"/>
      <c r="L33" s="101" t="s">
        <v>3677</v>
      </c>
      <c r="M33" s="101" t="s">
        <v>3660</v>
      </c>
    </row>
    <row r="34">
      <c r="A34" s="95"/>
      <c r="B34" s="96"/>
      <c r="C34" s="95"/>
      <c r="D34" s="102"/>
      <c r="E34" s="95"/>
      <c r="F34" s="99"/>
      <c r="G34" s="99"/>
      <c r="H34" s="95"/>
      <c r="I34" s="95"/>
      <c r="J34" s="95"/>
      <c r="L34" s="101" t="s">
        <v>3678</v>
      </c>
      <c r="M34" s="101" t="s">
        <v>3640</v>
      </c>
    </row>
    <row r="35">
      <c r="A35" s="95"/>
      <c r="B35" s="96"/>
      <c r="C35" s="95"/>
      <c r="D35" s="102"/>
      <c r="E35" s="95"/>
      <c r="F35" s="99"/>
      <c r="G35" s="99"/>
      <c r="H35" s="95"/>
      <c r="I35" s="95"/>
      <c r="J35" s="95"/>
      <c r="L35" s="101" t="s">
        <v>3679</v>
      </c>
      <c r="M35" s="101" t="s">
        <v>3654</v>
      </c>
    </row>
    <row r="36">
      <c r="A36" s="95"/>
      <c r="B36" s="96"/>
      <c r="C36" s="95"/>
      <c r="D36" s="102"/>
      <c r="E36" s="95"/>
      <c r="F36" s="99"/>
      <c r="G36" s="99"/>
      <c r="H36" s="95"/>
      <c r="I36" s="95"/>
      <c r="J36" s="95"/>
      <c r="L36" s="101" t="s">
        <v>3680</v>
      </c>
      <c r="M36" s="101" t="s">
        <v>522</v>
      </c>
    </row>
    <row r="37">
      <c r="A37" s="95"/>
      <c r="B37" s="96"/>
      <c r="C37" s="95"/>
      <c r="D37" s="102"/>
      <c r="E37" s="95"/>
      <c r="F37" s="99"/>
      <c r="G37" s="99"/>
      <c r="H37" s="95"/>
      <c r="I37" s="95"/>
      <c r="J37" s="95"/>
      <c r="L37" s="101" t="s">
        <v>3681</v>
      </c>
      <c r="M37" s="101" t="s">
        <v>3640</v>
      </c>
    </row>
    <row r="38">
      <c r="A38" s="95"/>
      <c r="B38" s="96"/>
      <c r="C38" s="95"/>
      <c r="D38" s="102"/>
      <c r="E38" s="95"/>
      <c r="F38" s="99"/>
      <c r="G38" s="99"/>
      <c r="H38" s="95"/>
      <c r="I38" s="95"/>
      <c r="J38" s="95"/>
      <c r="L38" s="101" t="s">
        <v>3682</v>
      </c>
      <c r="M38" s="101" t="s">
        <v>3640</v>
      </c>
    </row>
    <row r="39">
      <c r="A39" s="95"/>
      <c r="B39" s="96"/>
      <c r="C39" s="95"/>
      <c r="D39" s="102"/>
      <c r="E39" s="95"/>
      <c r="F39" s="99"/>
      <c r="G39" s="99"/>
      <c r="H39" s="95"/>
      <c r="I39" s="95"/>
      <c r="J39" s="95"/>
      <c r="L39" s="101" t="s">
        <v>3683</v>
      </c>
      <c r="M39" s="101" t="s">
        <v>3658</v>
      </c>
    </row>
    <row r="40">
      <c r="A40" s="95"/>
      <c r="B40" s="96"/>
      <c r="C40" s="95"/>
      <c r="D40" s="102"/>
      <c r="E40" s="95"/>
      <c r="F40" s="99"/>
      <c r="G40" s="99"/>
      <c r="H40" s="95"/>
      <c r="I40" s="95"/>
      <c r="J40" s="95"/>
      <c r="L40" s="101" t="s">
        <v>3684</v>
      </c>
      <c r="M40" s="101" t="s">
        <v>3658</v>
      </c>
    </row>
    <row r="41">
      <c r="A41" s="95"/>
      <c r="B41" s="96"/>
      <c r="C41" s="95"/>
      <c r="D41" s="102"/>
      <c r="E41" s="95"/>
      <c r="F41" s="99"/>
      <c r="G41" s="99"/>
      <c r="H41" s="95"/>
      <c r="I41" s="95"/>
      <c r="J41" s="95"/>
      <c r="L41" s="101" t="s">
        <v>3685</v>
      </c>
      <c r="M41" s="101" t="s">
        <v>3647</v>
      </c>
    </row>
    <row r="42">
      <c r="A42" s="95"/>
      <c r="B42" s="96"/>
      <c r="C42" s="95"/>
      <c r="D42" s="102"/>
      <c r="E42" s="95"/>
      <c r="F42" s="99"/>
      <c r="G42" s="99"/>
      <c r="H42" s="95"/>
      <c r="I42" s="95"/>
      <c r="J42" s="95"/>
      <c r="L42" s="101" t="s">
        <v>3686</v>
      </c>
      <c r="M42" s="101" t="s">
        <v>3647</v>
      </c>
    </row>
    <row r="43">
      <c r="A43" s="95"/>
      <c r="B43" s="96"/>
      <c r="C43" s="95"/>
      <c r="D43" s="102"/>
      <c r="E43" s="95"/>
      <c r="F43" s="99"/>
      <c r="G43" s="99"/>
      <c r="H43" s="95"/>
      <c r="I43" s="95"/>
      <c r="J43" s="95"/>
      <c r="L43" s="101" t="s">
        <v>3687</v>
      </c>
      <c r="M43" s="101" t="s">
        <v>3647</v>
      </c>
    </row>
    <row r="44">
      <c r="A44" s="95"/>
      <c r="B44" s="96"/>
      <c r="C44" s="95"/>
      <c r="D44" s="102"/>
      <c r="E44" s="95"/>
      <c r="F44" s="99"/>
      <c r="G44" s="99"/>
      <c r="H44" s="95"/>
      <c r="I44" s="95"/>
      <c r="J44" s="95"/>
      <c r="L44" s="101" t="s">
        <v>3688</v>
      </c>
      <c r="M44" s="101" t="s">
        <v>3640</v>
      </c>
    </row>
    <row r="45">
      <c r="A45" s="95"/>
      <c r="B45" s="96"/>
      <c r="C45" s="95"/>
      <c r="D45" s="102"/>
      <c r="E45" s="95"/>
      <c r="F45" s="99"/>
      <c r="G45" s="99"/>
      <c r="H45" s="95"/>
      <c r="I45" s="95"/>
      <c r="J45" s="95"/>
      <c r="L45" s="101" t="s">
        <v>3689</v>
      </c>
      <c r="M45" s="101" t="s">
        <v>3690</v>
      </c>
    </row>
    <row r="46">
      <c r="A46" s="95"/>
      <c r="B46" s="96"/>
      <c r="C46" s="95"/>
      <c r="D46" s="102"/>
      <c r="E46" s="95"/>
      <c r="F46" s="99"/>
      <c r="G46" s="99"/>
      <c r="H46" s="95"/>
      <c r="I46" s="95"/>
      <c r="J46" s="95"/>
      <c r="L46" s="101" t="s">
        <v>3691</v>
      </c>
      <c r="M46" s="101" t="s">
        <v>3692</v>
      </c>
    </row>
    <row r="47">
      <c r="A47" s="95"/>
      <c r="B47" s="96"/>
      <c r="C47" s="95"/>
      <c r="D47" s="102"/>
      <c r="E47" s="95"/>
      <c r="F47" s="99"/>
      <c r="G47" s="99"/>
      <c r="H47" s="95"/>
      <c r="I47" s="95"/>
      <c r="J47" s="95"/>
      <c r="L47" s="101" t="s">
        <v>3693</v>
      </c>
      <c r="M47" s="101" t="s">
        <v>3651</v>
      </c>
    </row>
    <row r="48">
      <c r="A48" s="95"/>
      <c r="B48" s="96"/>
      <c r="C48" s="95"/>
      <c r="D48" s="102"/>
      <c r="E48" s="95"/>
      <c r="F48" s="99"/>
      <c r="G48" s="99"/>
      <c r="H48" s="95"/>
      <c r="I48" s="95"/>
      <c r="J48" s="95"/>
      <c r="L48" s="101" t="s">
        <v>3694</v>
      </c>
      <c r="M48" s="101" t="s">
        <v>3640</v>
      </c>
    </row>
    <row r="49">
      <c r="A49" s="95"/>
      <c r="B49" s="96"/>
      <c r="C49" s="95"/>
      <c r="D49" s="102"/>
      <c r="E49" s="95"/>
      <c r="F49" s="99"/>
      <c r="G49" s="99"/>
      <c r="H49" s="95"/>
      <c r="I49" s="95"/>
      <c r="J49" s="95"/>
      <c r="L49" s="101" t="s">
        <v>3695</v>
      </c>
      <c r="M49" s="101" t="s">
        <v>3658</v>
      </c>
    </row>
    <row r="50">
      <c r="A50" s="95"/>
      <c r="B50" s="96"/>
      <c r="C50" s="95"/>
      <c r="D50" s="102"/>
      <c r="E50" s="95"/>
      <c r="F50" s="99"/>
      <c r="G50" s="99"/>
      <c r="H50" s="95"/>
      <c r="I50" s="95"/>
      <c r="J50" s="95"/>
      <c r="L50" s="101" t="s">
        <v>3696</v>
      </c>
      <c r="M50" s="101" t="s">
        <v>3660</v>
      </c>
    </row>
    <row r="51">
      <c r="A51" s="95"/>
      <c r="B51" s="96"/>
      <c r="C51" s="95"/>
      <c r="D51" s="102"/>
      <c r="E51" s="95"/>
      <c r="F51" s="99"/>
      <c r="G51" s="99"/>
      <c r="H51" s="95"/>
      <c r="I51" s="95"/>
      <c r="J51" s="95"/>
      <c r="L51" s="101" t="s">
        <v>3697</v>
      </c>
      <c r="M51" s="101" t="s">
        <v>3660</v>
      </c>
    </row>
    <row r="52">
      <c r="A52" s="95"/>
      <c r="B52" s="96"/>
      <c r="C52" s="95"/>
      <c r="D52" s="102"/>
      <c r="E52" s="95"/>
      <c r="F52" s="99"/>
      <c r="G52" s="99"/>
      <c r="H52" s="95"/>
      <c r="I52" s="95"/>
      <c r="J52" s="95"/>
      <c r="L52" s="101" t="s">
        <v>3698</v>
      </c>
      <c r="M52" s="101" t="s">
        <v>3643</v>
      </c>
    </row>
    <row r="53">
      <c r="A53" s="95"/>
      <c r="B53" s="96"/>
      <c r="C53" s="95"/>
      <c r="D53" s="102"/>
      <c r="E53" s="95"/>
      <c r="F53" s="99"/>
      <c r="G53" s="99"/>
      <c r="H53" s="95"/>
      <c r="I53" s="95"/>
      <c r="J53" s="95"/>
      <c r="L53" s="101" t="s">
        <v>50</v>
      </c>
      <c r="M53" s="101" t="s">
        <v>3649</v>
      </c>
    </row>
    <row r="54">
      <c r="A54" s="95"/>
      <c r="B54" s="96"/>
      <c r="C54" s="95"/>
      <c r="D54" s="102"/>
      <c r="E54" s="95"/>
      <c r="F54" s="99"/>
      <c r="G54" s="99"/>
      <c r="H54" s="95"/>
      <c r="I54" s="95"/>
      <c r="J54" s="95"/>
      <c r="L54" s="101" t="s">
        <v>3699</v>
      </c>
      <c r="M54" s="101" t="s">
        <v>3647</v>
      </c>
    </row>
    <row r="55">
      <c r="A55" s="95"/>
      <c r="B55" s="96"/>
      <c r="C55" s="95"/>
      <c r="D55" s="102"/>
      <c r="E55" s="95"/>
      <c r="F55" s="99"/>
      <c r="G55" s="99"/>
      <c r="H55" s="95"/>
      <c r="I55" s="95"/>
      <c r="J55" s="95"/>
      <c r="L55" s="101" t="s">
        <v>3700</v>
      </c>
      <c r="M55" s="101" t="s">
        <v>1144</v>
      </c>
    </row>
    <row r="56">
      <c r="A56" s="95"/>
      <c r="B56" s="96"/>
      <c r="C56" s="95"/>
      <c r="D56" s="102"/>
      <c r="E56" s="95"/>
      <c r="F56" s="99"/>
      <c r="G56" s="99"/>
      <c r="H56" s="95"/>
      <c r="I56" s="95"/>
      <c r="J56" s="95"/>
      <c r="L56" s="101" t="s">
        <v>3701</v>
      </c>
      <c r="M56" s="101" t="s">
        <v>3658</v>
      </c>
    </row>
    <row r="57">
      <c r="A57" s="95"/>
      <c r="B57" s="96"/>
      <c r="C57" s="95"/>
      <c r="D57" s="102"/>
      <c r="E57" s="95"/>
      <c r="F57" s="99"/>
      <c r="G57" s="99"/>
      <c r="H57" s="95"/>
      <c r="I57" s="95"/>
      <c r="J57" s="95"/>
      <c r="L57" s="101" t="s">
        <v>3702</v>
      </c>
      <c r="M57" s="101" t="s">
        <v>3703</v>
      </c>
    </row>
    <row r="58">
      <c r="A58" s="95"/>
      <c r="B58" s="96"/>
      <c r="C58" s="95"/>
      <c r="D58" s="102"/>
      <c r="E58" s="95"/>
      <c r="F58" s="99"/>
      <c r="G58" s="99"/>
      <c r="H58" s="95"/>
      <c r="I58" s="95"/>
      <c r="J58" s="95"/>
      <c r="L58" s="101" t="s">
        <v>3704</v>
      </c>
      <c r="M58" s="101" t="s">
        <v>3658</v>
      </c>
    </row>
    <row r="59">
      <c r="A59" s="95"/>
      <c r="B59" s="96"/>
      <c r="C59" s="95"/>
      <c r="D59" s="102"/>
      <c r="E59" s="95"/>
      <c r="F59" s="99"/>
      <c r="G59" s="99"/>
      <c r="H59" s="95"/>
      <c r="I59" s="95"/>
      <c r="J59" s="95"/>
      <c r="L59" s="101" t="s">
        <v>3705</v>
      </c>
      <c r="M59" s="101" t="s">
        <v>3640</v>
      </c>
    </row>
    <row r="60">
      <c r="A60" s="95"/>
      <c r="B60" s="96"/>
      <c r="C60" s="95"/>
      <c r="D60" s="102"/>
      <c r="E60" s="95"/>
      <c r="F60" s="99"/>
      <c r="G60" s="99"/>
      <c r="H60" s="95"/>
      <c r="I60" s="95"/>
      <c r="J60" s="95"/>
      <c r="L60" s="101" t="s">
        <v>3706</v>
      </c>
      <c r="M60" s="101" t="s">
        <v>3707</v>
      </c>
    </row>
    <row r="61">
      <c r="A61" s="95"/>
      <c r="B61" s="96"/>
      <c r="C61" s="95"/>
      <c r="D61" s="102"/>
      <c r="E61" s="95"/>
      <c r="F61" s="99"/>
      <c r="G61" s="99"/>
      <c r="H61" s="95"/>
      <c r="I61" s="95"/>
      <c r="J61" s="95"/>
      <c r="L61" s="101" t="s">
        <v>3708</v>
      </c>
      <c r="M61" s="101" t="s">
        <v>1144</v>
      </c>
    </row>
    <row r="62">
      <c r="A62" s="95"/>
      <c r="B62" s="96"/>
      <c r="C62" s="95"/>
      <c r="D62" s="102"/>
      <c r="E62" s="95"/>
      <c r="F62" s="99"/>
      <c r="G62" s="99"/>
      <c r="H62" s="95"/>
      <c r="I62" s="95"/>
      <c r="J62" s="95"/>
      <c r="L62" s="101" t="s">
        <v>3709</v>
      </c>
      <c r="M62" s="101" t="s">
        <v>3647</v>
      </c>
    </row>
    <row r="63">
      <c r="A63" s="95"/>
      <c r="B63" s="96"/>
      <c r="C63" s="95"/>
      <c r="D63" s="102"/>
      <c r="E63" s="95"/>
      <c r="F63" s="99"/>
      <c r="G63" s="99"/>
      <c r="H63" s="95"/>
      <c r="I63" s="95"/>
      <c r="J63" s="95"/>
      <c r="L63" s="101" t="s">
        <v>3710</v>
      </c>
      <c r="M63" s="101" t="s">
        <v>3647</v>
      </c>
    </row>
    <row r="64">
      <c r="A64" s="95"/>
      <c r="B64" s="96"/>
      <c r="C64" s="95"/>
      <c r="D64" s="102"/>
      <c r="E64" s="95"/>
      <c r="F64" s="99"/>
      <c r="G64" s="99"/>
      <c r="H64" s="95"/>
      <c r="I64" s="95"/>
      <c r="J64" s="95"/>
      <c r="L64" s="101" t="s">
        <v>3711</v>
      </c>
      <c r="M64" s="101" t="s">
        <v>3658</v>
      </c>
    </row>
    <row r="65">
      <c r="A65" s="95"/>
      <c r="B65" s="96"/>
      <c r="C65" s="95"/>
      <c r="D65" s="102"/>
      <c r="E65" s="95"/>
      <c r="F65" s="99"/>
      <c r="G65" s="99"/>
      <c r="H65" s="95"/>
      <c r="I65" s="95"/>
      <c r="J65" s="95"/>
      <c r="L65" s="101" t="s">
        <v>3712</v>
      </c>
      <c r="M65" s="101" t="s">
        <v>3713</v>
      </c>
    </row>
    <row r="66">
      <c r="A66" s="95"/>
      <c r="B66" s="96"/>
      <c r="C66" s="95"/>
      <c r="D66" s="102"/>
      <c r="E66" s="95"/>
      <c r="F66" s="99"/>
      <c r="G66" s="99"/>
      <c r="H66" s="95"/>
      <c r="I66" s="95"/>
      <c r="J66" s="95"/>
      <c r="L66" s="101" t="s">
        <v>3714</v>
      </c>
      <c r="M66" s="101" t="s">
        <v>3715</v>
      </c>
    </row>
    <row r="67">
      <c r="A67" s="95"/>
      <c r="B67" s="96"/>
      <c r="C67" s="95"/>
      <c r="D67" s="102"/>
      <c r="E67" s="95"/>
      <c r="F67" s="99"/>
      <c r="G67" s="99"/>
      <c r="H67" s="95"/>
      <c r="I67" s="95"/>
      <c r="J67" s="95"/>
      <c r="L67" s="101" t="s">
        <v>3716</v>
      </c>
      <c r="M67" s="101" t="s">
        <v>3676</v>
      </c>
    </row>
    <row r="68">
      <c r="A68" s="95"/>
      <c r="B68" s="96"/>
      <c r="C68" s="95"/>
      <c r="D68" s="102"/>
      <c r="E68" s="95"/>
      <c r="F68" s="99"/>
      <c r="G68" s="99"/>
      <c r="H68" s="95"/>
      <c r="I68" s="95"/>
      <c r="J68" s="95"/>
      <c r="L68" s="101" t="s">
        <v>3717</v>
      </c>
      <c r="M68" s="101" t="s">
        <v>3647</v>
      </c>
    </row>
    <row r="69">
      <c r="A69" s="95"/>
      <c r="B69" s="96"/>
      <c r="C69" s="95"/>
      <c r="D69" s="102"/>
      <c r="E69" s="95"/>
      <c r="F69" s="99"/>
      <c r="G69" s="99"/>
      <c r="H69" s="95"/>
      <c r="I69" s="95"/>
      <c r="J69" s="95"/>
      <c r="L69" s="101" t="s">
        <v>3718</v>
      </c>
      <c r="M69" s="101" t="s">
        <v>3660</v>
      </c>
    </row>
    <row r="70">
      <c r="A70" s="95"/>
      <c r="B70" s="96"/>
      <c r="C70" s="95"/>
      <c r="D70" s="102"/>
      <c r="E70" s="95"/>
      <c r="F70" s="99"/>
      <c r="G70" s="99"/>
      <c r="H70" s="95"/>
      <c r="I70" s="95"/>
      <c r="J70" s="95"/>
      <c r="L70" s="101" t="s">
        <v>3719</v>
      </c>
      <c r="M70" s="101" t="s">
        <v>3720</v>
      </c>
    </row>
    <row r="71">
      <c r="A71" s="95"/>
      <c r="B71" s="96"/>
      <c r="C71" s="95"/>
      <c r="D71" s="102"/>
      <c r="E71" s="95"/>
      <c r="F71" s="99"/>
      <c r="G71" s="99"/>
      <c r="H71" s="95"/>
      <c r="I71" s="95"/>
      <c r="J71" s="95"/>
      <c r="L71" s="101" t="s">
        <v>3721</v>
      </c>
      <c r="M71" s="101" t="s">
        <v>3647</v>
      </c>
    </row>
    <row r="72">
      <c r="A72" s="95"/>
      <c r="B72" s="96"/>
      <c r="C72" s="95"/>
      <c r="D72" s="102"/>
      <c r="E72" s="95"/>
      <c r="F72" s="99"/>
      <c r="G72" s="99"/>
      <c r="H72" s="95"/>
      <c r="I72" s="95"/>
      <c r="J72" s="95"/>
      <c r="L72" s="101" t="s">
        <v>3722</v>
      </c>
      <c r="M72" s="101" t="s">
        <v>3660</v>
      </c>
    </row>
    <row r="73">
      <c r="A73" s="95"/>
      <c r="B73" s="96"/>
      <c r="C73" s="95"/>
      <c r="D73" s="102"/>
      <c r="E73" s="95"/>
      <c r="F73" s="99"/>
      <c r="G73" s="99"/>
      <c r="H73" s="95"/>
      <c r="I73" s="95"/>
      <c r="J73" s="95"/>
      <c r="L73" s="101" t="s">
        <v>3723</v>
      </c>
      <c r="M73" s="101" t="s">
        <v>3724</v>
      </c>
    </row>
    <row r="74">
      <c r="A74" s="95"/>
      <c r="B74" s="96"/>
      <c r="C74" s="95"/>
      <c r="D74" s="102"/>
      <c r="E74" s="95"/>
      <c r="F74" s="99"/>
      <c r="G74" s="99"/>
      <c r="H74" s="95"/>
      <c r="I74" s="95"/>
      <c r="J74" s="95"/>
      <c r="L74" s="101" t="s">
        <v>3725</v>
      </c>
      <c r="M74" s="101" t="s">
        <v>3654</v>
      </c>
    </row>
    <row r="75">
      <c r="A75" s="95"/>
      <c r="B75" s="96"/>
      <c r="C75" s="95"/>
      <c r="D75" s="102"/>
      <c r="E75" s="95"/>
      <c r="F75" s="99"/>
      <c r="G75" s="99"/>
      <c r="H75" s="95"/>
      <c r="I75" s="95"/>
      <c r="J75" s="95"/>
      <c r="L75" s="101" t="s">
        <v>3726</v>
      </c>
      <c r="M75" s="101" t="s">
        <v>3647</v>
      </c>
    </row>
    <row r="76">
      <c r="A76" s="95"/>
      <c r="B76" s="96"/>
      <c r="C76" s="95"/>
      <c r="D76" s="102"/>
      <c r="E76" s="95"/>
      <c r="F76" s="99"/>
      <c r="G76" s="99"/>
      <c r="H76" s="95"/>
      <c r="I76" s="95"/>
      <c r="J76" s="95"/>
      <c r="L76" s="101" t="s">
        <v>3727</v>
      </c>
      <c r="M76" s="101" t="s">
        <v>637</v>
      </c>
    </row>
    <row r="77">
      <c r="A77" s="95"/>
      <c r="B77" s="96"/>
      <c r="C77" s="95"/>
      <c r="D77" s="102"/>
      <c r="E77" s="95"/>
      <c r="F77" s="99"/>
      <c r="G77" s="99"/>
      <c r="H77" s="95"/>
      <c r="I77" s="95"/>
      <c r="J77" s="95"/>
      <c r="L77" s="101" t="s">
        <v>3728</v>
      </c>
      <c r="M77" s="101" t="s">
        <v>3649</v>
      </c>
    </row>
    <row r="78">
      <c r="A78" s="95"/>
      <c r="B78" s="96"/>
      <c r="C78" s="95"/>
      <c r="D78" s="102"/>
      <c r="E78" s="95"/>
      <c r="F78" s="99"/>
      <c r="G78" s="99"/>
      <c r="H78" s="95"/>
      <c r="I78" s="95"/>
      <c r="J78" s="95"/>
      <c r="L78" s="101" t="s">
        <v>3729</v>
      </c>
      <c r="M78" s="101" t="s">
        <v>3654</v>
      </c>
    </row>
    <row r="79">
      <c r="A79" s="95"/>
      <c r="B79" s="96"/>
      <c r="C79" s="95"/>
      <c r="D79" s="102"/>
      <c r="E79" s="95"/>
      <c r="F79" s="99"/>
      <c r="G79" s="99"/>
      <c r="H79" s="95"/>
      <c r="I79" s="95"/>
      <c r="J79" s="95"/>
      <c r="L79" s="101" t="s">
        <v>3730</v>
      </c>
      <c r="M79" s="101" t="s">
        <v>3658</v>
      </c>
    </row>
    <row r="80">
      <c r="A80" s="95"/>
      <c r="B80" s="96"/>
      <c r="C80" s="95"/>
      <c r="D80" s="102"/>
      <c r="E80" s="95"/>
      <c r="F80" s="99"/>
      <c r="G80" s="99"/>
      <c r="H80" s="95"/>
      <c r="I80" s="95"/>
      <c r="J80" s="95"/>
      <c r="L80" s="101" t="s">
        <v>3731</v>
      </c>
      <c r="M80" s="101" t="s">
        <v>3645</v>
      </c>
    </row>
    <row r="81">
      <c r="A81" s="95"/>
      <c r="B81" s="96"/>
      <c r="C81" s="95"/>
      <c r="D81" s="102"/>
      <c r="E81" s="95"/>
      <c r="F81" s="99"/>
      <c r="G81" s="99"/>
      <c r="H81" s="95"/>
      <c r="I81" s="95"/>
      <c r="J81" s="95"/>
      <c r="L81" s="101" t="s">
        <v>3732</v>
      </c>
      <c r="M81" s="101" t="s">
        <v>922</v>
      </c>
    </row>
    <row r="82">
      <c r="A82" s="95"/>
      <c r="B82" s="96"/>
      <c r="C82" s="95"/>
      <c r="D82" s="102"/>
      <c r="E82" s="95"/>
      <c r="F82" s="99"/>
      <c r="G82" s="99"/>
      <c r="H82" s="95"/>
      <c r="I82" s="95"/>
      <c r="J82" s="95"/>
      <c r="L82" s="101" t="s">
        <v>3733</v>
      </c>
      <c r="M82" s="101" t="s">
        <v>3640</v>
      </c>
    </row>
    <row r="83">
      <c r="A83" s="95"/>
      <c r="B83" s="96"/>
      <c r="C83" s="95"/>
      <c r="D83" s="102"/>
      <c r="E83" s="95"/>
      <c r="F83" s="99"/>
      <c r="G83" s="99"/>
      <c r="H83" s="95"/>
      <c r="I83" s="95"/>
      <c r="J83" s="95"/>
      <c r="L83" s="101" t="s">
        <v>3734</v>
      </c>
      <c r="M83" s="101" t="s">
        <v>3703</v>
      </c>
    </row>
    <row r="84">
      <c r="A84" s="95"/>
      <c r="B84" s="96"/>
      <c r="C84" s="95"/>
      <c r="D84" s="102"/>
      <c r="E84" s="95"/>
      <c r="F84" s="99"/>
      <c r="G84" s="99"/>
      <c r="H84" s="95"/>
      <c r="I84" s="95"/>
      <c r="J84" s="95"/>
      <c r="L84" s="101" t="s">
        <v>3735</v>
      </c>
      <c r="M84" s="101" t="s">
        <v>1017</v>
      </c>
    </row>
    <row r="85">
      <c r="A85" s="95"/>
      <c r="B85" s="96"/>
      <c r="C85" s="95"/>
      <c r="D85" s="102"/>
      <c r="E85" s="95"/>
      <c r="F85" s="99"/>
      <c r="G85" s="99"/>
      <c r="H85" s="95"/>
      <c r="I85" s="95"/>
      <c r="J85" s="95"/>
      <c r="L85" s="101" t="s">
        <v>3736</v>
      </c>
      <c r="M85" s="101" t="s">
        <v>3643</v>
      </c>
    </row>
    <row r="86">
      <c r="A86" s="95"/>
      <c r="B86" s="96"/>
      <c r="C86" s="95"/>
      <c r="D86" s="102"/>
      <c r="E86" s="95"/>
      <c r="F86" s="99"/>
      <c r="G86" s="99"/>
      <c r="H86" s="95"/>
      <c r="I86" s="95"/>
      <c r="J86" s="95"/>
      <c r="L86" s="101" t="s">
        <v>3737</v>
      </c>
      <c r="M86" s="101" t="s">
        <v>3654</v>
      </c>
    </row>
    <row r="87">
      <c r="A87" s="95"/>
      <c r="B87" s="96"/>
      <c r="C87" s="95"/>
      <c r="D87" s="102"/>
      <c r="E87" s="95"/>
      <c r="F87" s="99"/>
      <c r="G87" s="99"/>
      <c r="H87" s="95"/>
      <c r="I87" s="95"/>
      <c r="J87" s="95"/>
      <c r="L87" s="101" t="s">
        <v>3738</v>
      </c>
      <c r="M87" s="101" t="s">
        <v>3640</v>
      </c>
    </row>
    <row r="88">
      <c r="A88" s="95"/>
      <c r="B88" s="96"/>
      <c r="C88" s="95"/>
      <c r="D88" s="102"/>
      <c r="E88" s="95"/>
      <c r="F88" s="99"/>
      <c r="G88" s="99"/>
      <c r="H88" s="95"/>
      <c r="I88" s="95"/>
      <c r="J88" s="95"/>
      <c r="L88" s="101" t="s">
        <v>3739</v>
      </c>
      <c r="M88" s="101" t="s">
        <v>3647</v>
      </c>
    </row>
    <row r="89">
      <c r="A89" s="95"/>
      <c r="B89" s="96"/>
      <c r="C89" s="95"/>
      <c r="D89" s="102"/>
      <c r="E89" s="95"/>
      <c r="F89" s="99"/>
      <c r="G89" s="99"/>
      <c r="H89" s="95"/>
      <c r="I89" s="95"/>
      <c r="J89" s="95"/>
      <c r="L89" s="101" t="s">
        <v>3740</v>
      </c>
      <c r="M89" s="101" t="s">
        <v>1017</v>
      </c>
    </row>
    <row r="90">
      <c r="A90" s="95"/>
      <c r="B90" s="96"/>
      <c r="C90" s="95"/>
      <c r="D90" s="102"/>
      <c r="E90" s="95"/>
      <c r="F90" s="99"/>
      <c r="G90" s="99"/>
      <c r="H90" s="95"/>
      <c r="I90" s="95"/>
      <c r="J90" s="95"/>
      <c r="L90" s="101" t="s">
        <v>3741</v>
      </c>
      <c r="M90" s="101" t="s">
        <v>3658</v>
      </c>
    </row>
    <row r="91">
      <c r="A91" s="95"/>
      <c r="B91" s="96"/>
      <c r="C91" s="95"/>
      <c r="D91" s="102"/>
      <c r="E91" s="95"/>
      <c r="F91" s="99"/>
      <c r="G91" s="99"/>
      <c r="H91" s="95"/>
      <c r="I91" s="95"/>
      <c r="J91" s="95"/>
      <c r="L91" s="101" t="s">
        <v>3742</v>
      </c>
      <c r="M91" s="101" t="s">
        <v>665</v>
      </c>
    </row>
    <row r="92">
      <c r="A92" s="95"/>
      <c r="B92" s="96"/>
      <c r="C92" s="95"/>
      <c r="D92" s="102"/>
      <c r="E92" s="95"/>
      <c r="F92" s="99"/>
      <c r="G92" s="99"/>
      <c r="H92" s="95"/>
      <c r="I92" s="95"/>
      <c r="J92" s="95"/>
      <c r="L92" s="101" t="s">
        <v>3743</v>
      </c>
      <c r="M92" s="101" t="s">
        <v>3647</v>
      </c>
    </row>
    <row r="93">
      <c r="A93" s="95"/>
      <c r="B93" s="96"/>
      <c r="C93" s="95"/>
      <c r="D93" s="102"/>
      <c r="E93" s="95"/>
      <c r="F93" s="99"/>
      <c r="G93" s="99"/>
      <c r="H93" s="95"/>
      <c r="I93" s="95"/>
      <c r="J93" s="95"/>
      <c r="L93" s="101" t="s">
        <v>3744</v>
      </c>
      <c r="M93" s="101" t="s">
        <v>3654</v>
      </c>
    </row>
    <row r="94">
      <c r="A94" s="95"/>
      <c r="B94" s="96"/>
      <c r="C94" s="95"/>
      <c r="D94" s="102"/>
      <c r="E94" s="95"/>
      <c r="F94" s="99"/>
      <c r="G94" s="99"/>
      <c r="H94" s="95"/>
      <c r="I94" s="95"/>
      <c r="J94" s="95"/>
      <c r="L94" s="101" t="s">
        <v>3745</v>
      </c>
      <c r="M94" s="101" t="s">
        <v>3647</v>
      </c>
    </row>
    <row r="95">
      <c r="A95" s="95"/>
      <c r="B95" s="96"/>
      <c r="C95" s="95"/>
      <c r="D95" s="102"/>
      <c r="E95" s="95"/>
      <c r="F95" s="99"/>
      <c r="G95" s="99"/>
      <c r="H95" s="95"/>
      <c r="I95" s="95"/>
      <c r="J95" s="95"/>
      <c r="L95" s="101" t="s">
        <v>3746</v>
      </c>
      <c r="M95" s="101" t="s">
        <v>3658</v>
      </c>
    </row>
    <row r="96">
      <c r="A96" s="95"/>
      <c r="B96" s="96"/>
      <c r="C96" s="95"/>
      <c r="D96" s="102"/>
      <c r="E96" s="95"/>
      <c r="F96" s="99"/>
      <c r="G96" s="99"/>
      <c r="H96" s="95"/>
      <c r="I96" s="95"/>
      <c r="J96" s="95"/>
      <c r="L96" s="101" t="s">
        <v>3747</v>
      </c>
      <c r="M96" s="101" t="s">
        <v>3720</v>
      </c>
    </row>
    <row r="97">
      <c r="A97" s="95"/>
      <c r="B97" s="96"/>
      <c r="C97" s="95"/>
      <c r="D97" s="102"/>
      <c r="E97" s="95"/>
      <c r="F97" s="99"/>
      <c r="G97" s="99"/>
      <c r="H97" s="95"/>
      <c r="I97" s="95"/>
      <c r="J97" s="95"/>
      <c r="L97" s="101" t="s">
        <v>3748</v>
      </c>
      <c r="M97" s="101" t="s">
        <v>3647</v>
      </c>
    </row>
    <row r="98">
      <c r="A98" s="95"/>
      <c r="B98" s="96"/>
      <c r="C98" s="95"/>
      <c r="D98" s="102"/>
      <c r="E98" s="95"/>
      <c r="F98" s="99"/>
      <c r="G98" s="99"/>
      <c r="H98" s="95"/>
      <c r="I98" s="95"/>
      <c r="J98" s="95"/>
      <c r="L98" s="101" t="s">
        <v>3749</v>
      </c>
      <c r="M98" s="101" t="s">
        <v>3703</v>
      </c>
    </row>
    <row r="99">
      <c r="A99" s="95"/>
      <c r="B99" s="96"/>
      <c r="C99" s="95"/>
      <c r="D99" s="102"/>
      <c r="E99" s="95"/>
      <c r="F99" s="99"/>
      <c r="G99" s="99"/>
      <c r="H99" s="95"/>
      <c r="I99" s="95"/>
      <c r="J99" s="95"/>
      <c r="L99" s="101" t="s">
        <v>3750</v>
      </c>
      <c r="M99" s="101" t="s">
        <v>3645</v>
      </c>
    </row>
    <row r="100">
      <c r="A100" s="95"/>
      <c r="B100" s="96"/>
      <c r="C100" s="95"/>
      <c r="D100" s="102"/>
      <c r="E100" s="95"/>
      <c r="F100" s="99"/>
      <c r="G100" s="99"/>
      <c r="H100" s="95"/>
      <c r="I100" s="95"/>
      <c r="J100" s="95"/>
      <c r="L100" s="101" t="s">
        <v>3751</v>
      </c>
      <c r="M100" s="101" t="s">
        <v>3676</v>
      </c>
    </row>
    <row r="101">
      <c r="A101" s="95"/>
      <c r="B101" s="96"/>
      <c r="C101" s="95"/>
      <c r="D101" s="102"/>
      <c r="E101" s="95"/>
      <c r="F101" s="99"/>
      <c r="G101" s="99"/>
      <c r="H101" s="95"/>
      <c r="I101" s="95"/>
      <c r="J101" s="95"/>
      <c r="L101" s="101" t="s">
        <v>3752</v>
      </c>
      <c r="M101" s="101" t="s">
        <v>3645</v>
      </c>
    </row>
    <row r="102">
      <c r="A102" s="95"/>
      <c r="B102" s="96"/>
      <c r="C102" s="95"/>
      <c r="D102" s="102"/>
      <c r="E102" s="95"/>
      <c r="F102" s="99"/>
      <c r="G102" s="99"/>
      <c r="H102" s="95"/>
      <c r="I102" s="95"/>
      <c r="J102" s="95"/>
      <c r="L102" s="101" t="s">
        <v>3753</v>
      </c>
      <c r="M102" s="101" t="s">
        <v>3654</v>
      </c>
    </row>
    <row r="103">
      <c r="A103" s="95"/>
      <c r="B103" s="96"/>
      <c r="C103" s="95"/>
      <c r="D103" s="102"/>
      <c r="E103" s="95"/>
      <c r="F103" s="99"/>
      <c r="G103" s="99"/>
      <c r="H103" s="95"/>
      <c r="I103" s="95"/>
      <c r="J103" s="95"/>
      <c r="L103" s="101" t="s">
        <v>3754</v>
      </c>
      <c r="M103" s="101">
        <v>2.0</v>
      </c>
    </row>
    <row r="104">
      <c r="A104" s="95"/>
      <c r="B104" s="96"/>
      <c r="C104" s="95"/>
      <c r="D104" s="102"/>
      <c r="E104" s="95"/>
      <c r="F104" s="99"/>
      <c r="G104" s="99"/>
      <c r="H104" s="95"/>
      <c r="I104" s="95"/>
      <c r="J104" s="95"/>
      <c r="L104" s="101" t="s">
        <v>3755</v>
      </c>
      <c r="M104" s="101" t="s">
        <v>3756</v>
      </c>
    </row>
    <row r="105">
      <c r="A105" s="95"/>
      <c r="B105" s="96"/>
      <c r="C105" s="95"/>
      <c r="D105" s="102"/>
      <c r="E105" s="95"/>
      <c r="F105" s="99"/>
      <c r="G105" s="99"/>
      <c r="H105" s="95"/>
      <c r="I105" s="95"/>
      <c r="J105" s="95"/>
      <c r="L105" s="101" t="s">
        <v>3757</v>
      </c>
      <c r="M105" s="101" t="s">
        <v>3647</v>
      </c>
    </row>
    <row r="106">
      <c r="A106" s="95"/>
      <c r="B106" s="96"/>
      <c r="C106" s="95"/>
      <c r="D106" s="102"/>
      <c r="E106" s="95"/>
      <c r="F106" s="99"/>
      <c r="G106" s="99"/>
      <c r="H106" s="95"/>
      <c r="I106" s="95"/>
      <c r="J106" s="95"/>
      <c r="L106" s="101" t="s">
        <v>3758</v>
      </c>
      <c r="M106" s="101" t="s">
        <v>3658</v>
      </c>
    </row>
    <row r="107">
      <c r="A107" s="95"/>
      <c r="B107" s="96"/>
      <c r="C107" s="95"/>
      <c r="D107" s="102"/>
      <c r="E107" s="95"/>
      <c r="F107" s="99"/>
      <c r="G107" s="99"/>
      <c r="H107" s="95"/>
      <c r="I107" s="95"/>
      <c r="J107" s="95"/>
      <c r="L107" s="101" t="s">
        <v>3759</v>
      </c>
      <c r="M107" s="101" t="s">
        <v>3692</v>
      </c>
    </row>
    <row r="108">
      <c r="A108" s="95"/>
      <c r="B108" s="96"/>
      <c r="C108" s="95"/>
      <c r="D108" s="102"/>
      <c r="E108" s="95"/>
      <c r="F108" s="99"/>
      <c r="G108" s="99"/>
      <c r="H108" s="95"/>
      <c r="I108" s="95"/>
      <c r="J108" s="95"/>
      <c r="L108" s="101" t="s">
        <v>3760</v>
      </c>
      <c r="M108" s="101" t="s">
        <v>3645</v>
      </c>
    </row>
    <row r="109">
      <c r="A109" s="95"/>
      <c r="B109" s="96"/>
      <c r="C109" s="95"/>
      <c r="D109" s="102"/>
      <c r="E109" s="95"/>
      <c r="F109" s="99"/>
      <c r="G109" s="99"/>
      <c r="H109" s="95"/>
      <c r="I109" s="95"/>
      <c r="J109" s="95"/>
      <c r="L109" s="101" t="s">
        <v>3761</v>
      </c>
      <c r="M109" s="101" t="s">
        <v>3640</v>
      </c>
    </row>
    <row r="110">
      <c r="A110" s="95"/>
      <c r="B110" s="96"/>
      <c r="C110" s="95"/>
      <c r="D110" s="102"/>
      <c r="E110" s="95"/>
      <c r="F110" s="99"/>
      <c r="G110" s="99"/>
      <c r="H110" s="95"/>
      <c r="I110" s="95"/>
      <c r="J110" s="95"/>
      <c r="L110" s="101" t="s">
        <v>3762</v>
      </c>
      <c r="M110" s="101" t="s">
        <v>3763</v>
      </c>
    </row>
    <row r="111">
      <c r="A111" s="95"/>
      <c r="B111" s="96"/>
      <c r="C111" s="95"/>
      <c r="D111" s="102"/>
      <c r="E111" s="95"/>
      <c r="F111" s="99"/>
      <c r="G111" s="99"/>
      <c r="H111" s="95"/>
      <c r="I111" s="95"/>
      <c r="J111" s="95"/>
      <c r="L111" s="101" t="s">
        <v>3764</v>
      </c>
      <c r="M111" s="101" t="s">
        <v>3640</v>
      </c>
    </row>
    <row r="112">
      <c r="A112" s="95"/>
      <c r="B112" s="96"/>
      <c r="C112" s="95"/>
      <c r="D112" s="102"/>
      <c r="E112" s="95"/>
      <c r="F112" s="99"/>
      <c r="G112" s="99"/>
      <c r="H112" s="95"/>
      <c r="I112" s="95"/>
      <c r="J112" s="95"/>
      <c r="L112" s="101" t="s">
        <v>3765</v>
      </c>
      <c r="M112" s="101" t="s">
        <v>3640</v>
      </c>
    </row>
    <row r="113">
      <c r="A113" s="95"/>
      <c r="B113" s="96"/>
      <c r="C113" s="95"/>
      <c r="D113" s="102"/>
      <c r="E113" s="95"/>
      <c r="F113" s="99"/>
      <c r="G113" s="99"/>
      <c r="H113" s="95"/>
      <c r="I113" s="95"/>
      <c r="J113" s="95"/>
      <c r="L113" s="101" t="s">
        <v>3766</v>
      </c>
      <c r="M113" s="101" t="s">
        <v>3647</v>
      </c>
    </row>
    <row r="114">
      <c r="A114" s="95"/>
      <c r="B114" s="96"/>
      <c r="C114" s="95"/>
      <c r="D114" s="102"/>
      <c r="E114" s="95"/>
      <c r="F114" s="99"/>
      <c r="G114" s="99"/>
      <c r="H114" s="95"/>
      <c r="I114" s="95"/>
      <c r="J114" s="95"/>
      <c r="L114" s="101" t="s">
        <v>3767</v>
      </c>
      <c r="M114" s="101" t="s">
        <v>3647</v>
      </c>
    </row>
    <row r="115">
      <c r="A115" s="95"/>
      <c r="B115" s="96"/>
      <c r="C115" s="95"/>
      <c r="D115" s="102"/>
      <c r="E115" s="95"/>
      <c r="F115" s="99"/>
      <c r="G115" s="99"/>
      <c r="H115" s="95"/>
      <c r="I115" s="95"/>
      <c r="J115" s="95"/>
      <c r="L115" s="101" t="s">
        <v>51</v>
      </c>
      <c r="M115" s="101" t="s">
        <v>3647</v>
      </c>
    </row>
    <row r="116">
      <c r="A116" s="95"/>
      <c r="B116" s="96"/>
      <c r="C116" s="95"/>
      <c r="D116" s="102"/>
      <c r="E116" s="95"/>
      <c r="F116" s="99"/>
      <c r="G116" s="99"/>
      <c r="H116" s="95"/>
      <c r="I116" s="95"/>
      <c r="J116" s="95"/>
      <c r="L116" s="101" t="s">
        <v>3768</v>
      </c>
      <c r="M116" s="101" t="s">
        <v>3647</v>
      </c>
    </row>
    <row r="117">
      <c r="A117" s="95"/>
      <c r="B117" s="96"/>
      <c r="C117" s="95"/>
      <c r="D117" s="102"/>
      <c r="E117" s="95"/>
      <c r="F117" s="99"/>
      <c r="G117" s="99"/>
      <c r="H117" s="95"/>
      <c r="I117" s="95"/>
      <c r="J117" s="95"/>
      <c r="L117" s="101" t="s">
        <v>3769</v>
      </c>
      <c r="M117" s="101" t="s">
        <v>3658</v>
      </c>
    </row>
    <row r="118">
      <c r="A118" s="95"/>
      <c r="B118" s="96"/>
      <c r="C118" s="95"/>
      <c r="D118" s="102"/>
      <c r="E118" s="95"/>
      <c r="F118" s="99"/>
      <c r="G118" s="99"/>
      <c r="H118" s="95"/>
      <c r="I118" s="95"/>
      <c r="J118" s="95"/>
      <c r="L118" s="101" t="s">
        <v>3770</v>
      </c>
      <c r="M118" s="101" t="s">
        <v>3720</v>
      </c>
    </row>
    <row r="119">
      <c r="A119" s="95"/>
      <c r="B119" s="96"/>
      <c r="C119" s="95"/>
      <c r="D119" s="102"/>
      <c r="E119" s="95"/>
      <c r="F119" s="99"/>
      <c r="G119" s="99"/>
      <c r="H119" s="95"/>
      <c r="I119" s="95"/>
      <c r="J119" s="95"/>
      <c r="L119" s="101" t="s">
        <v>3771</v>
      </c>
      <c r="M119" s="101" t="s">
        <v>3647</v>
      </c>
    </row>
    <row r="120">
      <c r="A120" s="95"/>
      <c r="B120" s="96"/>
      <c r="C120" s="95"/>
      <c r="D120" s="102"/>
      <c r="E120" s="95"/>
      <c r="F120" s="99"/>
      <c r="G120" s="99"/>
      <c r="H120" s="95"/>
      <c r="I120" s="95"/>
      <c r="J120" s="95"/>
      <c r="L120" s="101" t="s">
        <v>3772</v>
      </c>
      <c r="M120" s="101" t="s">
        <v>3640</v>
      </c>
    </row>
    <row r="121">
      <c r="A121" s="95"/>
      <c r="B121" s="96"/>
      <c r="C121" s="95"/>
      <c r="D121" s="102"/>
      <c r="E121" s="95"/>
      <c r="F121" s="99"/>
      <c r="G121" s="99"/>
      <c r="H121" s="95"/>
      <c r="I121" s="95"/>
      <c r="J121" s="95"/>
      <c r="L121" s="101" t="s">
        <v>3773</v>
      </c>
      <c r="M121" s="101" t="s">
        <v>3774</v>
      </c>
    </row>
    <row r="122">
      <c r="A122" s="95"/>
      <c r="B122" s="96"/>
      <c r="C122" s="95"/>
      <c r="D122" s="102"/>
      <c r="E122" s="95"/>
      <c r="F122" s="99"/>
      <c r="G122" s="99"/>
      <c r="H122" s="95"/>
      <c r="I122" s="95"/>
      <c r="J122" s="95"/>
      <c r="L122" s="101" t="s">
        <v>3775</v>
      </c>
      <c r="M122" s="101" t="s">
        <v>3647</v>
      </c>
    </row>
    <row r="123">
      <c r="A123" s="95"/>
      <c r="B123" s="96"/>
      <c r="C123" s="95"/>
      <c r="D123" s="102"/>
      <c r="E123" s="95"/>
      <c r="F123" s="99"/>
      <c r="G123" s="99"/>
      <c r="H123" s="95"/>
      <c r="I123" s="95"/>
      <c r="J123" s="95"/>
      <c r="L123" s="101" t="s">
        <v>3776</v>
      </c>
      <c r="M123" s="101" t="s">
        <v>3660</v>
      </c>
    </row>
    <row r="124">
      <c r="A124" s="95"/>
      <c r="B124" s="96"/>
      <c r="C124" s="95"/>
      <c r="D124" s="102"/>
      <c r="E124" s="95"/>
      <c r="F124" s="99"/>
      <c r="G124" s="99"/>
      <c r="H124" s="95"/>
      <c r="I124" s="95"/>
      <c r="J124" s="95"/>
      <c r="L124" s="101" t="s">
        <v>3777</v>
      </c>
      <c r="M124" s="101" t="s">
        <v>3647</v>
      </c>
    </row>
    <row r="125">
      <c r="A125" s="95"/>
      <c r="B125" s="96"/>
      <c r="C125" s="95"/>
      <c r="D125" s="102"/>
      <c r="E125" s="95"/>
      <c r="F125" s="99"/>
      <c r="G125" s="99"/>
      <c r="H125" s="95"/>
      <c r="I125" s="95"/>
      <c r="J125" s="95"/>
      <c r="L125" s="101" t="s">
        <v>3778</v>
      </c>
      <c r="M125" s="101" t="s">
        <v>637</v>
      </c>
    </row>
    <row r="126">
      <c r="A126" s="95"/>
      <c r="B126" s="96"/>
      <c r="C126" s="95"/>
      <c r="D126" s="102"/>
      <c r="E126" s="95"/>
      <c r="F126" s="99"/>
      <c r="G126" s="99"/>
      <c r="H126" s="95"/>
      <c r="I126" s="95"/>
      <c r="J126" s="95"/>
      <c r="L126" s="101" t="s">
        <v>3779</v>
      </c>
      <c r="M126" s="101" t="s">
        <v>3647</v>
      </c>
    </row>
    <row r="127">
      <c r="A127" s="95"/>
      <c r="B127" s="96"/>
      <c r="C127" s="95"/>
      <c r="D127" s="102"/>
      <c r="E127" s="95"/>
      <c r="F127" s="99"/>
      <c r="G127" s="99"/>
      <c r="H127" s="95"/>
      <c r="I127" s="95"/>
      <c r="J127" s="95"/>
      <c r="L127" s="101" t="s">
        <v>3780</v>
      </c>
      <c r="M127" s="101" t="s">
        <v>3658</v>
      </c>
    </row>
    <row r="128">
      <c r="A128" s="95"/>
      <c r="B128" s="96"/>
      <c r="C128" s="95"/>
      <c r="D128" s="102"/>
      <c r="E128" s="95"/>
      <c r="F128" s="99"/>
      <c r="G128" s="99"/>
      <c r="H128" s="95"/>
      <c r="I128" s="95"/>
      <c r="J128" s="95"/>
      <c r="L128" s="101" t="s">
        <v>52</v>
      </c>
      <c r="M128" s="101" t="s">
        <v>3660</v>
      </c>
    </row>
    <row r="129">
      <c r="A129" s="95"/>
      <c r="B129" s="96"/>
      <c r="C129" s="95"/>
      <c r="D129" s="102"/>
      <c r="E129" s="95"/>
      <c r="F129" s="99"/>
      <c r="G129" s="99"/>
      <c r="H129" s="95"/>
      <c r="I129" s="95"/>
      <c r="J129" s="95"/>
      <c r="L129" s="101" t="s">
        <v>3781</v>
      </c>
      <c r="M129" s="101" t="s">
        <v>3645</v>
      </c>
    </row>
    <row r="130">
      <c r="A130" s="95"/>
      <c r="B130" s="96"/>
      <c r="C130" s="95"/>
      <c r="D130" s="102"/>
      <c r="E130" s="95"/>
      <c r="F130" s="99"/>
      <c r="G130" s="99"/>
      <c r="H130" s="95"/>
      <c r="I130" s="95"/>
      <c r="J130" s="95"/>
      <c r="L130" s="101" t="s">
        <v>3782</v>
      </c>
      <c r="M130" s="101" t="s">
        <v>3647</v>
      </c>
    </row>
    <row r="131">
      <c r="A131" s="95"/>
      <c r="B131" s="96"/>
      <c r="C131" s="95"/>
      <c r="D131" s="102"/>
      <c r="E131" s="95"/>
      <c r="F131" s="99"/>
      <c r="G131" s="99"/>
      <c r="H131" s="95"/>
      <c r="I131" s="95"/>
      <c r="J131" s="95"/>
      <c r="L131" s="101" t="s">
        <v>3783</v>
      </c>
      <c r="M131" s="101" t="s">
        <v>3640</v>
      </c>
    </row>
    <row r="132">
      <c r="A132" s="95"/>
      <c r="B132" s="96"/>
      <c r="C132" s="95"/>
      <c r="D132" s="102"/>
      <c r="E132" s="95"/>
      <c r="F132" s="99"/>
      <c r="G132" s="99"/>
      <c r="H132" s="95"/>
      <c r="I132" s="95"/>
      <c r="J132" s="95"/>
      <c r="L132" s="101" t="s">
        <v>3784</v>
      </c>
      <c r="M132" s="101" t="s">
        <v>3640</v>
      </c>
    </row>
    <row r="133">
      <c r="A133" s="95"/>
      <c r="B133" s="96"/>
      <c r="C133" s="95"/>
      <c r="D133" s="102"/>
      <c r="E133" s="95"/>
      <c r="F133" s="99"/>
      <c r="G133" s="99"/>
      <c r="H133" s="95"/>
      <c r="I133" s="95"/>
      <c r="J133" s="95"/>
      <c r="L133" s="101" t="s">
        <v>49</v>
      </c>
      <c r="M133" s="101" t="s">
        <v>752</v>
      </c>
    </row>
    <row r="134">
      <c r="A134" s="95"/>
      <c r="B134" s="96"/>
      <c r="C134" s="95"/>
      <c r="D134" s="102"/>
      <c r="E134" s="95"/>
      <c r="F134" s="99"/>
      <c r="G134" s="99"/>
      <c r="H134" s="95"/>
      <c r="I134" s="95"/>
      <c r="J134" s="95"/>
      <c r="L134" s="101" t="s">
        <v>3785</v>
      </c>
      <c r="M134" s="101" t="s">
        <v>3660</v>
      </c>
    </row>
    <row r="135">
      <c r="A135" s="95"/>
      <c r="B135" s="96"/>
      <c r="C135" s="95"/>
      <c r="D135" s="102"/>
      <c r="E135" s="95"/>
      <c r="F135" s="99"/>
      <c r="G135" s="99"/>
      <c r="H135" s="95"/>
      <c r="I135" s="95"/>
      <c r="J135" s="95"/>
      <c r="L135" s="101" t="s">
        <v>3786</v>
      </c>
      <c r="M135" s="101" t="s">
        <v>3640</v>
      </c>
    </row>
    <row r="136">
      <c r="A136" s="95"/>
      <c r="B136" s="96"/>
      <c r="C136" s="95"/>
      <c r="D136" s="102"/>
      <c r="E136" s="95"/>
      <c r="F136" s="99"/>
      <c r="G136" s="99"/>
      <c r="H136" s="95"/>
      <c r="I136" s="95"/>
      <c r="J136" s="95"/>
      <c r="L136" s="101" t="s">
        <v>3787</v>
      </c>
      <c r="M136" s="101" t="s">
        <v>3647</v>
      </c>
    </row>
    <row r="137">
      <c r="A137" s="95"/>
      <c r="B137" s="96"/>
      <c r="C137" s="95"/>
      <c r="D137" s="102"/>
      <c r="E137" s="95"/>
      <c r="F137" s="99"/>
      <c r="G137" s="99"/>
      <c r="H137" s="95"/>
      <c r="I137" s="95"/>
      <c r="J137" s="95"/>
      <c r="L137" s="101" t="s">
        <v>3788</v>
      </c>
      <c r="M137" s="101" t="s">
        <v>3647</v>
      </c>
    </row>
    <row r="138">
      <c r="A138" s="95"/>
      <c r="B138" s="96"/>
      <c r="C138" s="95"/>
      <c r="D138" s="102"/>
      <c r="E138" s="95"/>
      <c r="F138" s="99"/>
      <c r="G138" s="99"/>
      <c r="H138" s="95"/>
      <c r="I138" s="95"/>
      <c r="J138" s="95"/>
      <c r="L138" s="101" t="s">
        <v>3789</v>
      </c>
      <c r="M138" s="101" t="s">
        <v>3654</v>
      </c>
    </row>
    <row r="139">
      <c r="A139" s="95"/>
      <c r="B139" s="96"/>
      <c r="C139" s="95"/>
      <c r="D139" s="102"/>
      <c r="E139" s="95"/>
      <c r="F139" s="99"/>
      <c r="G139" s="99"/>
      <c r="H139" s="95"/>
      <c r="I139" s="95"/>
      <c r="J139" s="95"/>
      <c r="L139" s="101" t="s">
        <v>45</v>
      </c>
      <c r="M139" s="101" t="s">
        <v>3660</v>
      </c>
    </row>
    <row r="140">
      <c r="A140" s="95"/>
      <c r="B140" s="96"/>
      <c r="C140" s="95"/>
      <c r="D140" s="102"/>
      <c r="E140" s="95"/>
      <c r="F140" s="99"/>
      <c r="G140" s="99"/>
      <c r="H140" s="95"/>
      <c r="I140" s="95"/>
      <c r="J140" s="95"/>
      <c r="L140" s="101" t="s">
        <v>3790</v>
      </c>
      <c r="M140" s="101" t="s">
        <v>3640</v>
      </c>
    </row>
    <row r="141">
      <c r="A141" s="95"/>
      <c r="B141" s="96"/>
      <c r="C141" s="95"/>
      <c r="D141" s="102"/>
      <c r="E141" s="95"/>
      <c r="F141" s="99"/>
      <c r="G141" s="99"/>
      <c r="H141" s="95"/>
      <c r="I141" s="95"/>
      <c r="J141" s="95"/>
      <c r="L141" s="101" t="s">
        <v>3791</v>
      </c>
      <c r="M141" s="101" t="s">
        <v>3640</v>
      </c>
    </row>
    <row r="142">
      <c r="A142" s="95"/>
      <c r="B142" s="96"/>
      <c r="C142" s="95"/>
      <c r="D142" s="102"/>
      <c r="E142" s="95"/>
      <c r="F142" s="99"/>
      <c r="G142" s="99"/>
      <c r="H142" s="95"/>
      <c r="I142" s="95"/>
      <c r="J142" s="95"/>
      <c r="L142" s="101" t="s">
        <v>3792</v>
      </c>
      <c r="M142" s="101" t="s">
        <v>3645</v>
      </c>
    </row>
    <row r="143">
      <c r="A143" s="95"/>
      <c r="B143" s="96"/>
      <c r="C143" s="95"/>
      <c r="D143" s="102"/>
      <c r="E143" s="95"/>
      <c r="F143" s="99"/>
      <c r="G143" s="99"/>
      <c r="H143" s="95"/>
      <c r="I143" s="95"/>
      <c r="J143" s="95"/>
      <c r="L143" s="101" t="s">
        <v>3793</v>
      </c>
      <c r="M143" s="101" t="s">
        <v>3720</v>
      </c>
    </row>
    <row r="144">
      <c r="A144" s="95"/>
      <c r="B144" s="96"/>
      <c r="C144" s="95"/>
      <c r="D144" s="102"/>
      <c r="E144" s="95"/>
      <c r="F144" s="99"/>
      <c r="G144" s="99"/>
      <c r="H144" s="95"/>
      <c r="I144" s="95"/>
      <c r="J144" s="95"/>
      <c r="L144" s="101" t="s">
        <v>3794</v>
      </c>
      <c r="M144" s="101" t="s">
        <v>1144</v>
      </c>
    </row>
    <row r="145">
      <c r="A145" s="95"/>
      <c r="B145" s="96"/>
      <c r="C145" s="95"/>
      <c r="D145" s="102"/>
      <c r="E145" s="95"/>
      <c r="F145" s="99"/>
      <c r="G145" s="99"/>
      <c r="H145" s="95"/>
      <c r="I145" s="95"/>
      <c r="J145" s="95"/>
      <c r="L145" s="101" t="s">
        <v>3795</v>
      </c>
      <c r="M145" s="101" t="s">
        <v>3796</v>
      </c>
    </row>
    <row r="146">
      <c r="A146" s="95"/>
      <c r="B146" s="96"/>
      <c r="C146" s="95"/>
      <c r="D146" s="102"/>
      <c r="E146" s="95"/>
      <c r="F146" s="99"/>
      <c r="G146" s="99"/>
      <c r="H146" s="95"/>
      <c r="I146" s="95"/>
      <c r="J146" s="95"/>
      <c r="L146" s="101" t="s">
        <v>3797</v>
      </c>
      <c r="M146" s="101" t="s">
        <v>3640</v>
      </c>
    </row>
    <row r="147">
      <c r="A147" s="95"/>
      <c r="B147" s="96"/>
      <c r="C147" s="95"/>
      <c r="D147" s="102"/>
      <c r="E147" s="95"/>
      <c r="F147" s="99"/>
      <c r="G147" s="99"/>
      <c r="H147" s="95"/>
      <c r="I147" s="95"/>
      <c r="J147" s="95"/>
      <c r="L147" s="101" t="s">
        <v>3798</v>
      </c>
      <c r="M147" s="101" t="s">
        <v>3640</v>
      </c>
    </row>
    <row r="148">
      <c r="A148" s="95"/>
      <c r="B148" s="96"/>
      <c r="C148" s="95"/>
      <c r="D148" s="102"/>
      <c r="E148" s="95"/>
      <c r="F148" s="99"/>
      <c r="G148" s="99"/>
      <c r="H148" s="95"/>
      <c r="I148" s="95"/>
      <c r="J148" s="95"/>
      <c r="L148" s="101" t="s">
        <v>3799</v>
      </c>
      <c r="M148" s="101" t="s">
        <v>3800</v>
      </c>
    </row>
    <row r="149">
      <c r="A149" s="95"/>
      <c r="B149" s="96"/>
      <c r="C149" s="95"/>
      <c r="D149" s="102"/>
      <c r="E149" s="95"/>
      <c r="F149" s="99"/>
      <c r="G149" s="99"/>
      <c r="H149" s="95"/>
      <c r="I149" s="95"/>
      <c r="J149" s="95"/>
      <c r="L149" s="101" t="s">
        <v>3801</v>
      </c>
      <c r="M149" s="101" t="s">
        <v>3645</v>
      </c>
    </row>
    <row r="150">
      <c r="A150" s="95"/>
      <c r="B150" s="96"/>
      <c r="C150" s="95"/>
      <c r="D150" s="102"/>
      <c r="E150" s="95"/>
      <c r="F150" s="99"/>
      <c r="G150" s="99"/>
      <c r="H150" s="95"/>
      <c r="I150" s="95"/>
      <c r="J150" s="95"/>
      <c r="L150" s="101" t="s">
        <v>3802</v>
      </c>
      <c r="M150" s="101" t="s">
        <v>3640</v>
      </c>
    </row>
    <row r="151">
      <c r="A151" s="95"/>
      <c r="B151" s="96"/>
      <c r="C151" s="95"/>
      <c r="D151" s="102"/>
      <c r="E151" s="95"/>
      <c r="F151" s="99"/>
      <c r="G151" s="99"/>
      <c r="H151" s="95"/>
      <c r="I151" s="95"/>
      <c r="J151" s="95"/>
      <c r="L151" s="101" t="s">
        <v>3803</v>
      </c>
      <c r="M151" s="101" t="s">
        <v>3804</v>
      </c>
    </row>
    <row r="152">
      <c r="A152" s="95"/>
      <c r="B152" s="96"/>
      <c r="C152" s="95"/>
      <c r="D152" s="102"/>
      <c r="E152" s="95"/>
      <c r="F152" s="99"/>
      <c r="G152" s="99"/>
      <c r="H152" s="95"/>
      <c r="I152" s="95"/>
      <c r="J152" s="95"/>
      <c r="L152" s="101" t="s">
        <v>3805</v>
      </c>
      <c r="M152" s="101" t="s">
        <v>3645</v>
      </c>
    </row>
    <row r="153">
      <c r="A153" s="95"/>
      <c r="B153" s="96"/>
      <c r="C153" s="95"/>
      <c r="D153" s="102"/>
      <c r="E153" s="95"/>
      <c r="F153" s="99"/>
      <c r="G153" s="99"/>
      <c r="H153" s="95"/>
      <c r="I153" s="95"/>
      <c r="J153" s="95"/>
      <c r="L153" s="101" t="s">
        <v>53</v>
      </c>
      <c r="M153" s="101" t="s">
        <v>3806</v>
      </c>
    </row>
    <row r="154">
      <c r="A154" s="95"/>
      <c r="B154" s="96"/>
      <c r="C154" s="95"/>
      <c r="D154" s="102"/>
      <c r="E154" s="95"/>
      <c r="F154" s="99"/>
      <c r="G154" s="99"/>
      <c r="H154" s="95"/>
      <c r="I154" s="95"/>
      <c r="J154" s="95"/>
      <c r="L154" s="101" t="s">
        <v>3807</v>
      </c>
      <c r="M154" s="101" t="s">
        <v>3804</v>
      </c>
    </row>
    <row r="155">
      <c r="A155" s="95"/>
      <c r="B155" s="96"/>
      <c r="C155" s="95"/>
      <c r="D155" s="102"/>
      <c r="E155" s="95"/>
      <c r="F155" s="99"/>
      <c r="G155" s="99"/>
      <c r="H155" s="95"/>
      <c r="I155" s="95"/>
      <c r="J155" s="95"/>
      <c r="L155" s="101" t="s">
        <v>3808</v>
      </c>
      <c r="M155" s="101" t="s">
        <v>3647</v>
      </c>
    </row>
    <row r="156">
      <c r="A156" s="95"/>
      <c r="B156" s="96"/>
      <c r="C156" s="95"/>
      <c r="D156" s="102"/>
      <c r="E156" s="95"/>
      <c r="F156" s="99"/>
      <c r="G156" s="99"/>
      <c r="H156" s="95"/>
      <c r="I156" s="95"/>
      <c r="J156" s="95"/>
      <c r="L156" s="101" t="s">
        <v>3809</v>
      </c>
      <c r="M156" s="101" t="s">
        <v>1017</v>
      </c>
    </row>
    <row r="157">
      <c r="A157" s="95"/>
      <c r="B157" s="96"/>
      <c r="C157" s="95"/>
      <c r="D157" s="102"/>
      <c r="E157" s="95"/>
      <c r="F157" s="99"/>
      <c r="G157" s="99"/>
      <c r="H157" s="95"/>
      <c r="I157" s="95"/>
      <c r="J157" s="95"/>
      <c r="L157" s="101" t="s">
        <v>3810</v>
      </c>
      <c r="M157" s="101" t="s">
        <v>3660</v>
      </c>
    </row>
    <row r="158">
      <c r="A158" s="95"/>
      <c r="B158" s="96"/>
      <c r="C158" s="95"/>
      <c r="D158" s="102"/>
      <c r="E158" s="95"/>
      <c r="F158" s="99"/>
      <c r="G158" s="99"/>
      <c r="H158" s="95"/>
      <c r="I158" s="95"/>
      <c r="J158" s="95"/>
      <c r="L158" s="101" t="s">
        <v>3811</v>
      </c>
      <c r="M158" s="101" t="s">
        <v>3645</v>
      </c>
    </row>
    <row r="159">
      <c r="A159" s="95"/>
      <c r="B159" s="96"/>
      <c r="C159" s="95"/>
      <c r="D159" s="102"/>
      <c r="E159" s="95"/>
      <c r="F159" s="99"/>
      <c r="G159" s="99"/>
      <c r="H159" s="95"/>
      <c r="I159" s="95"/>
      <c r="J159" s="95"/>
      <c r="L159" s="101" t="s">
        <v>3812</v>
      </c>
      <c r="M159" s="101" t="s">
        <v>3660</v>
      </c>
    </row>
    <row r="160">
      <c r="A160" s="95"/>
      <c r="B160" s="96"/>
      <c r="C160" s="95"/>
      <c r="D160" s="102"/>
      <c r="E160" s="95"/>
      <c r="F160" s="99"/>
      <c r="G160" s="99"/>
      <c r="H160" s="95"/>
      <c r="I160" s="95"/>
      <c r="J160" s="95"/>
      <c r="L160" s="101" t="s">
        <v>54</v>
      </c>
      <c r="M160" s="101" t="s">
        <v>3813</v>
      </c>
    </row>
    <row r="161">
      <c r="A161" s="95"/>
      <c r="B161" s="96"/>
      <c r="C161" s="95"/>
      <c r="D161" s="102"/>
      <c r="E161" s="95"/>
      <c r="F161" s="99"/>
      <c r="G161" s="99"/>
      <c r="H161" s="95"/>
      <c r="I161" s="95"/>
      <c r="J161" s="95"/>
      <c r="L161" s="101" t="s">
        <v>3814</v>
      </c>
      <c r="M161" s="101" t="s">
        <v>1144</v>
      </c>
    </row>
    <row r="162">
      <c r="A162" s="95"/>
      <c r="B162" s="96"/>
      <c r="C162" s="95"/>
      <c r="D162" s="102"/>
      <c r="E162" s="95"/>
      <c r="F162" s="99"/>
      <c r="G162" s="99"/>
      <c r="H162" s="95"/>
      <c r="I162" s="95"/>
      <c r="J162" s="95"/>
      <c r="L162" s="101" t="s">
        <v>3815</v>
      </c>
      <c r="M162" s="101" t="s">
        <v>3647</v>
      </c>
    </row>
    <row r="163">
      <c r="A163" s="95"/>
      <c r="B163" s="96"/>
      <c r="C163" s="95"/>
      <c r="D163" s="102"/>
      <c r="E163" s="95"/>
      <c r="F163" s="99"/>
      <c r="G163" s="99"/>
      <c r="H163" s="95"/>
      <c r="I163" s="95"/>
      <c r="J163" s="95"/>
      <c r="L163" s="101" t="s">
        <v>3816</v>
      </c>
      <c r="M163" s="101" t="s">
        <v>3643</v>
      </c>
    </row>
    <row r="164">
      <c r="A164" s="95"/>
      <c r="B164" s="96"/>
      <c r="C164" s="95"/>
      <c r="D164" s="102"/>
      <c r="E164" s="95"/>
      <c r="F164" s="99"/>
      <c r="G164" s="99"/>
      <c r="H164" s="95"/>
      <c r="I164" s="95"/>
      <c r="J164" s="95"/>
      <c r="L164" s="101" t="s">
        <v>3817</v>
      </c>
      <c r="M164" s="101" t="s">
        <v>3658</v>
      </c>
    </row>
    <row r="165">
      <c r="A165" s="95"/>
      <c r="B165" s="96"/>
      <c r="C165" s="95"/>
      <c r="D165" s="102"/>
      <c r="E165" s="95"/>
      <c r="F165" s="99"/>
      <c r="G165" s="99"/>
      <c r="H165" s="95"/>
      <c r="I165" s="95"/>
      <c r="J165" s="95"/>
      <c r="L165" s="101" t="s">
        <v>3818</v>
      </c>
      <c r="M165" s="101" t="s">
        <v>1017</v>
      </c>
    </row>
    <row r="166">
      <c r="A166" s="95"/>
      <c r="B166" s="96"/>
      <c r="C166" s="95"/>
      <c r="D166" s="102"/>
      <c r="E166" s="95"/>
      <c r="F166" s="99"/>
      <c r="G166" s="99"/>
      <c r="H166" s="95"/>
      <c r="I166" s="95"/>
      <c r="J166" s="95"/>
      <c r="L166" s="101" t="s">
        <v>3819</v>
      </c>
      <c r="M166" s="101" t="s">
        <v>3703</v>
      </c>
    </row>
    <row r="167">
      <c r="A167" s="95"/>
      <c r="B167" s="96"/>
      <c r="C167" s="95"/>
      <c r="D167" s="102"/>
      <c r="E167" s="95"/>
      <c r="F167" s="99"/>
      <c r="G167" s="99"/>
      <c r="H167" s="95"/>
      <c r="I167" s="95"/>
      <c r="J167" s="95"/>
      <c r="L167" s="101" t="s">
        <v>3820</v>
      </c>
      <c r="M167" s="101" t="s">
        <v>3640</v>
      </c>
    </row>
    <row r="168">
      <c r="A168" s="95"/>
      <c r="B168" s="96"/>
      <c r="C168" s="95"/>
      <c r="D168" s="102"/>
      <c r="E168" s="95"/>
      <c r="F168" s="99"/>
      <c r="G168" s="99"/>
      <c r="H168" s="95"/>
      <c r="I168" s="95"/>
      <c r="J168" s="95"/>
      <c r="L168" s="101" t="s">
        <v>3821</v>
      </c>
      <c r="M168" s="101" t="s">
        <v>3645</v>
      </c>
    </row>
    <row r="169">
      <c r="A169" s="95"/>
      <c r="B169" s="96"/>
      <c r="C169" s="95"/>
      <c r="D169" s="102"/>
      <c r="E169" s="95"/>
      <c r="F169" s="99"/>
      <c r="G169" s="99"/>
      <c r="H169" s="95"/>
      <c r="I169" s="95"/>
      <c r="J169" s="95"/>
      <c r="L169" s="101" t="s">
        <v>3822</v>
      </c>
      <c r="M169" s="101" t="s">
        <v>637</v>
      </c>
    </row>
    <row r="170">
      <c r="A170" s="95"/>
      <c r="B170" s="96"/>
      <c r="C170" s="95"/>
      <c r="D170" s="102"/>
      <c r="E170" s="95"/>
      <c r="F170" s="99"/>
      <c r="G170" s="99"/>
      <c r="H170" s="95"/>
      <c r="I170" s="95"/>
      <c r="J170" s="95"/>
      <c r="L170" s="101" t="s">
        <v>3823</v>
      </c>
      <c r="M170" s="101" t="s">
        <v>3640</v>
      </c>
    </row>
    <row r="171">
      <c r="A171" s="95"/>
      <c r="B171" s="96"/>
      <c r="C171" s="95"/>
      <c r="D171" s="102"/>
      <c r="E171" s="95"/>
      <c r="F171" s="99"/>
      <c r="G171" s="99"/>
      <c r="H171" s="95"/>
      <c r="I171" s="95"/>
      <c r="J171" s="95"/>
      <c r="L171" s="101" t="s">
        <v>3824</v>
      </c>
      <c r="M171" s="101" t="s">
        <v>3647</v>
      </c>
    </row>
    <row r="172">
      <c r="A172" s="95"/>
      <c r="B172" s="96"/>
      <c r="C172" s="95"/>
      <c r="D172" s="102"/>
      <c r="E172" s="95"/>
      <c r="F172" s="99"/>
      <c r="G172" s="99"/>
      <c r="H172" s="95"/>
      <c r="I172" s="95"/>
      <c r="J172" s="95"/>
      <c r="L172" s="101" t="s">
        <v>3825</v>
      </c>
      <c r="M172" s="101" t="s">
        <v>3647</v>
      </c>
    </row>
    <row r="173">
      <c r="A173" s="95"/>
      <c r="B173" s="96"/>
      <c r="C173" s="95"/>
      <c r="D173" s="102"/>
      <c r="E173" s="95"/>
      <c r="F173" s="99"/>
      <c r="G173" s="99"/>
      <c r="H173" s="95"/>
      <c r="I173" s="95"/>
      <c r="J173" s="95"/>
      <c r="L173" s="101" t="s">
        <v>3826</v>
      </c>
      <c r="M173" s="101" t="s">
        <v>3647</v>
      </c>
    </row>
    <row r="174">
      <c r="A174" s="95"/>
      <c r="B174" s="96"/>
      <c r="C174" s="95"/>
      <c r="D174" s="102"/>
      <c r="E174" s="95"/>
      <c r="F174" s="99"/>
      <c r="G174" s="99"/>
      <c r="H174" s="95"/>
      <c r="I174" s="95"/>
      <c r="J174" s="95"/>
      <c r="L174" s="101" t="s">
        <v>3827</v>
      </c>
      <c r="M174" s="101" t="s">
        <v>3647</v>
      </c>
    </row>
    <row r="175">
      <c r="A175" s="95"/>
      <c r="B175" s="96"/>
      <c r="C175" s="95"/>
      <c r="D175" s="102"/>
      <c r="E175" s="95"/>
      <c r="F175" s="99"/>
      <c r="G175" s="99"/>
      <c r="H175" s="95"/>
      <c r="I175" s="95"/>
      <c r="J175" s="95"/>
      <c r="L175" s="101" t="s">
        <v>3828</v>
      </c>
      <c r="M175" s="101" t="s">
        <v>922</v>
      </c>
    </row>
    <row r="176">
      <c r="A176" s="95"/>
      <c r="B176" s="96"/>
      <c r="C176" s="95"/>
      <c r="D176" s="102"/>
      <c r="E176" s="95"/>
      <c r="F176" s="99"/>
      <c r="G176" s="99"/>
      <c r="H176" s="95"/>
      <c r="I176" s="95"/>
      <c r="J176" s="95"/>
      <c r="L176" s="101" t="s">
        <v>3829</v>
      </c>
      <c r="M176" s="101" t="s">
        <v>1017</v>
      </c>
    </row>
    <row r="177">
      <c r="A177" s="95"/>
      <c r="B177" s="96"/>
      <c r="C177" s="95"/>
      <c r="D177" s="102"/>
      <c r="E177" s="95"/>
      <c r="F177" s="99"/>
      <c r="G177" s="99"/>
      <c r="H177" s="95"/>
      <c r="I177" s="95"/>
      <c r="J177" s="95"/>
      <c r="L177" s="101" t="s">
        <v>3830</v>
      </c>
      <c r="M177" s="101" t="s">
        <v>3804</v>
      </c>
    </row>
    <row r="178">
      <c r="A178" s="95"/>
      <c r="B178" s="96"/>
      <c r="C178" s="95"/>
      <c r="D178" s="102"/>
      <c r="E178" s="95"/>
      <c r="F178" s="99"/>
      <c r="G178" s="99"/>
      <c r="H178" s="95"/>
      <c r="I178" s="95"/>
      <c r="J178" s="95"/>
      <c r="L178" s="101" t="s">
        <v>3831</v>
      </c>
      <c r="M178" s="101" t="s">
        <v>3645</v>
      </c>
    </row>
    <row r="179">
      <c r="A179" s="95"/>
      <c r="B179" s="96"/>
      <c r="C179" s="95"/>
      <c r="D179" s="102"/>
      <c r="E179" s="95"/>
      <c r="F179" s="99"/>
      <c r="G179" s="99"/>
      <c r="H179" s="95"/>
      <c r="I179" s="95"/>
      <c r="J179" s="95"/>
      <c r="L179" s="101" t="s">
        <v>3832</v>
      </c>
      <c r="M179" s="101" t="s">
        <v>3640</v>
      </c>
    </row>
    <row r="180">
      <c r="A180" s="95"/>
      <c r="B180" s="96"/>
      <c r="C180" s="95"/>
      <c r="D180" s="102"/>
      <c r="E180" s="95"/>
      <c r="F180" s="99"/>
      <c r="G180" s="99"/>
      <c r="H180" s="95"/>
      <c r="I180" s="95"/>
      <c r="J180" s="95"/>
      <c r="L180" s="101" t="s">
        <v>3833</v>
      </c>
      <c r="M180" s="101" t="s">
        <v>3647</v>
      </c>
    </row>
    <row r="181">
      <c r="A181" s="95"/>
      <c r="B181" s="96"/>
      <c r="C181" s="95"/>
      <c r="D181" s="102"/>
      <c r="E181" s="95"/>
      <c r="F181" s="99"/>
      <c r="G181" s="99"/>
      <c r="H181" s="95"/>
      <c r="I181" s="95"/>
      <c r="J181" s="95"/>
      <c r="L181" s="101" t="s">
        <v>3834</v>
      </c>
      <c r="M181" s="101" t="s">
        <v>3658</v>
      </c>
    </row>
    <row r="182">
      <c r="A182" s="95"/>
      <c r="B182" s="96"/>
      <c r="C182" s="95"/>
      <c r="D182" s="102"/>
      <c r="E182" s="95"/>
      <c r="F182" s="99"/>
      <c r="G182" s="99"/>
      <c r="H182" s="95"/>
      <c r="I182" s="95"/>
      <c r="J182" s="95"/>
      <c r="L182" s="101" t="s">
        <v>3835</v>
      </c>
      <c r="M182" s="101" t="s">
        <v>3658</v>
      </c>
    </row>
    <row r="183">
      <c r="A183" s="95"/>
      <c r="B183" s="96"/>
      <c r="C183" s="95"/>
      <c r="D183" s="102"/>
      <c r="E183" s="95"/>
      <c r="F183" s="99"/>
      <c r="G183" s="99"/>
      <c r="H183" s="95"/>
      <c r="I183" s="95"/>
      <c r="J183" s="95"/>
      <c r="L183" s="101" t="s">
        <v>3836</v>
      </c>
      <c r="M183" s="101" t="s">
        <v>1017</v>
      </c>
    </row>
    <row r="184">
      <c r="A184" s="95"/>
      <c r="B184" s="96"/>
      <c r="C184" s="95"/>
      <c r="D184" s="102"/>
      <c r="E184" s="95"/>
      <c r="F184" s="99"/>
      <c r="G184" s="99"/>
      <c r="H184" s="95"/>
      <c r="I184" s="95"/>
      <c r="J184" s="95"/>
      <c r="L184" s="101" t="s">
        <v>3837</v>
      </c>
      <c r="M184" s="101" t="s">
        <v>3647</v>
      </c>
    </row>
    <row r="185">
      <c r="A185" s="95"/>
      <c r="B185" s="96"/>
      <c r="C185" s="95"/>
      <c r="D185" s="102"/>
      <c r="E185" s="95"/>
      <c r="F185" s="99"/>
      <c r="G185" s="99"/>
      <c r="H185" s="95"/>
      <c r="I185" s="95"/>
      <c r="J185" s="95"/>
      <c r="L185" s="101" t="s">
        <v>3838</v>
      </c>
      <c r="M185" s="101" t="s">
        <v>3647</v>
      </c>
    </row>
    <row r="186">
      <c r="A186" s="95"/>
      <c r="B186" s="96"/>
      <c r="C186" s="95"/>
      <c r="D186" s="102"/>
      <c r="E186" s="95"/>
      <c r="F186" s="99"/>
      <c r="G186" s="99"/>
      <c r="H186" s="95"/>
      <c r="I186" s="95"/>
      <c r="J186" s="95"/>
      <c r="L186" s="101" t="s">
        <v>3839</v>
      </c>
      <c r="M186" s="101" t="s">
        <v>3658</v>
      </c>
    </row>
    <row r="187">
      <c r="A187" s="95"/>
      <c r="B187" s="96"/>
      <c r="C187" s="95"/>
      <c r="D187" s="102"/>
      <c r="E187" s="95"/>
      <c r="F187" s="99"/>
      <c r="G187" s="99"/>
      <c r="H187" s="95"/>
      <c r="I187" s="95"/>
      <c r="J187" s="95"/>
      <c r="L187" s="101" t="s">
        <v>3840</v>
      </c>
      <c r="M187" s="101" t="s">
        <v>3640</v>
      </c>
    </row>
    <row r="188">
      <c r="A188" s="95"/>
      <c r="B188" s="96"/>
      <c r="C188" s="95"/>
      <c r="D188" s="102"/>
      <c r="E188" s="95"/>
      <c r="F188" s="99"/>
      <c r="G188" s="99"/>
      <c r="H188" s="95"/>
      <c r="I188" s="95"/>
      <c r="J188" s="95"/>
      <c r="L188" s="101" t="s">
        <v>3841</v>
      </c>
      <c r="M188" s="101" t="s">
        <v>3654</v>
      </c>
    </row>
    <row r="189">
      <c r="A189" s="95"/>
      <c r="B189" s="96"/>
      <c r="C189" s="95"/>
      <c r="D189" s="102"/>
      <c r="E189" s="95"/>
      <c r="F189" s="99"/>
      <c r="G189" s="99"/>
      <c r="H189" s="95"/>
      <c r="I189" s="95"/>
      <c r="J189" s="95"/>
      <c r="L189" s="101" t="s">
        <v>3842</v>
      </c>
      <c r="M189" s="101" t="s">
        <v>3640</v>
      </c>
    </row>
    <row r="190">
      <c r="A190" s="95"/>
      <c r="B190" s="96"/>
      <c r="C190" s="95"/>
      <c r="D190" s="102"/>
      <c r="E190" s="95"/>
      <c r="F190" s="99"/>
      <c r="G190" s="99"/>
      <c r="H190" s="95"/>
      <c r="I190" s="95"/>
      <c r="J190" s="95"/>
      <c r="L190" s="101" t="s">
        <v>3843</v>
      </c>
      <c r="M190" s="101" t="s">
        <v>3660</v>
      </c>
    </row>
    <row r="191">
      <c r="A191" s="95"/>
      <c r="B191" s="96"/>
      <c r="C191" s="95"/>
      <c r="D191" s="102"/>
      <c r="E191" s="95"/>
      <c r="F191" s="99"/>
      <c r="G191" s="99"/>
      <c r="H191" s="95"/>
      <c r="I191" s="95"/>
      <c r="J191" s="95"/>
      <c r="L191" s="101" t="s">
        <v>3844</v>
      </c>
      <c r="M191" s="101" t="s">
        <v>3660</v>
      </c>
    </row>
    <row r="192">
      <c r="A192" s="95"/>
      <c r="B192" s="96"/>
      <c r="C192" s="95"/>
      <c r="D192" s="102"/>
      <c r="E192" s="95"/>
      <c r="F192" s="99"/>
      <c r="G192" s="99"/>
      <c r="H192" s="95"/>
      <c r="I192" s="95"/>
      <c r="J192" s="95"/>
      <c r="L192" s="101" t="s">
        <v>3845</v>
      </c>
      <c r="M192" s="101" t="s">
        <v>3658</v>
      </c>
    </row>
    <row r="193">
      <c r="A193" s="95"/>
      <c r="B193" s="96"/>
      <c r="C193" s="95"/>
      <c r="D193" s="102"/>
      <c r="E193" s="95"/>
      <c r="F193" s="99"/>
      <c r="G193" s="99"/>
      <c r="H193" s="95"/>
      <c r="I193" s="95"/>
      <c r="J193" s="95"/>
      <c r="L193" s="101" t="s">
        <v>3846</v>
      </c>
      <c r="M193" s="101" t="s">
        <v>3647</v>
      </c>
    </row>
    <row r="194">
      <c r="A194" s="95"/>
      <c r="B194" s="96"/>
      <c r="C194" s="95"/>
      <c r="D194" s="102"/>
      <c r="E194" s="95"/>
      <c r="F194" s="99"/>
      <c r="G194" s="99"/>
      <c r="H194" s="95"/>
      <c r="I194" s="95"/>
      <c r="J194" s="95"/>
      <c r="L194" s="101" t="s">
        <v>3847</v>
      </c>
      <c r="M194" s="101" t="s">
        <v>3654</v>
      </c>
    </row>
    <row r="195">
      <c r="A195" s="95"/>
      <c r="B195" s="96"/>
      <c r="C195" s="95"/>
      <c r="D195" s="102"/>
      <c r="E195" s="95"/>
      <c r="F195" s="99"/>
      <c r="G195" s="99"/>
      <c r="H195" s="95"/>
      <c r="I195" s="95"/>
      <c r="J195" s="95"/>
      <c r="L195" s="101" t="s">
        <v>3848</v>
      </c>
      <c r="M195" s="101" t="s">
        <v>3645</v>
      </c>
    </row>
    <row r="196">
      <c r="A196" s="95"/>
      <c r="B196" s="96"/>
      <c r="C196" s="95"/>
      <c r="D196" s="102"/>
      <c r="E196" s="95"/>
      <c r="F196" s="99"/>
      <c r="G196" s="99"/>
      <c r="H196" s="95"/>
      <c r="I196" s="95"/>
      <c r="J196" s="95"/>
      <c r="L196" s="101" t="s">
        <v>3849</v>
      </c>
      <c r="M196" s="101" t="s">
        <v>3720</v>
      </c>
    </row>
    <row r="197">
      <c r="A197" s="95"/>
      <c r="B197" s="96"/>
      <c r="C197" s="95"/>
      <c r="D197" s="102"/>
      <c r="E197" s="95"/>
      <c r="F197" s="99"/>
      <c r="G197" s="99"/>
      <c r="H197" s="95"/>
      <c r="I197" s="95"/>
      <c r="J197" s="95"/>
      <c r="L197" s="101" t="s">
        <v>3850</v>
      </c>
      <c r="M197" s="101" t="s">
        <v>3690</v>
      </c>
    </row>
    <row r="198">
      <c r="A198" s="95"/>
      <c r="B198" s="96"/>
      <c r="C198" s="95"/>
      <c r="D198" s="102"/>
      <c r="E198" s="95"/>
      <c r="F198" s="99"/>
      <c r="G198" s="99"/>
      <c r="H198" s="95"/>
      <c r="I198" s="95"/>
      <c r="J198" s="95"/>
      <c r="L198" s="101" t="s">
        <v>3851</v>
      </c>
      <c r="M198" s="101" t="s">
        <v>3645</v>
      </c>
    </row>
    <row r="199">
      <c r="A199" s="95"/>
      <c r="B199" s="96"/>
      <c r="C199" s="95"/>
      <c r="D199" s="102"/>
      <c r="E199" s="95"/>
      <c r="F199" s="99"/>
      <c r="G199" s="99"/>
      <c r="H199" s="95"/>
      <c r="I199" s="95"/>
      <c r="J199" s="95"/>
      <c r="L199" s="101" t="s">
        <v>3852</v>
      </c>
      <c r="M199" s="101" t="s">
        <v>3645</v>
      </c>
    </row>
    <row r="200">
      <c r="A200" s="95"/>
      <c r="B200" s="96"/>
      <c r="C200" s="95"/>
      <c r="D200" s="102"/>
      <c r="E200" s="95"/>
      <c r="F200" s="99"/>
      <c r="G200" s="99"/>
      <c r="H200" s="95"/>
      <c r="I200" s="95"/>
      <c r="J200" s="95"/>
      <c r="L200" s="101" t="s">
        <v>3853</v>
      </c>
      <c r="M200" s="101" t="s">
        <v>3660</v>
      </c>
    </row>
    <row r="201">
      <c r="A201" s="95"/>
      <c r="B201" s="96"/>
      <c r="C201" s="95"/>
      <c r="D201" s="102"/>
      <c r="E201" s="95"/>
      <c r="F201" s="99"/>
      <c r="G201" s="99"/>
      <c r="H201" s="95"/>
      <c r="I201" s="95"/>
      <c r="J201" s="95"/>
      <c r="L201" s="101" t="s">
        <v>3854</v>
      </c>
      <c r="M201" s="101" t="s">
        <v>3703</v>
      </c>
    </row>
    <row r="202">
      <c r="A202" s="95"/>
      <c r="B202" s="96"/>
      <c r="C202" s="95"/>
      <c r="D202" s="102"/>
      <c r="E202" s="95"/>
      <c r="F202" s="99"/>
      <c r="G202" s="99"/>
      <c r="H202" s="95"/>
      <c r="I202" s="95"/>
      <c r="J202" s="95"/>
      <c r="L202" s="101" t="s">
        <v>3855</v>
      </c>
      <c r="M202" s="101" t="s">
        <v>3654</v>
      </c>
    </row>
    <row r="203">
      <c r="A203" s="95"/>
      <c r="B203" s="96"/>
      <c r="C203" s="95"/>
      <c r="D203" s="102"/>
      <c r="E203" s="95"/>
      <c r="F203" s="99"/>
      <c r="G203" s="99"/>
      <c r="H203" s="95"/>
      <c r="I203" s="95"/>
      <c r="J203" s="95"/>
      <c r="L203" s="101" t="s">
        <v>3856</v>
      </c>
      <c r="M203" s="101" t="s">
        <v>3651</v>
      </c>
    </row>
    <row r="204">
      <c r="A204" s="95"/>
      <c r="B204" s="96"/>
      <c r="C204" s="95"/>
      <c r="D204" s="102"/>
      <c r="E204" s="95"/>
      <c r="F204" s="99"/>
      <c r="G204" s="99"/>
      <c r="H204" s="95"/>
      <c r="I204" s="95"/>
      <c r="J204" s="95"/>
      <c r="L204" s="101" t="s">
        <v>3857</v>
      </c>
      <c r="M204" s="101" t="s">
        <v>3645</v>
      </c>
    </row>
    <row r="205">
      <c r="A205" s="95"/>
      <c r="B205" s="96"/>
      <c r="C205" s="95"/>
      <c r="D205" s="102"/>
      <c r="E205" s="95"/>
      <c r="F205" s="99"/>
      <c r="G205" s="99"/>
      <c r="H205" s="95"/>
      <c r="I205" s="95"/>
      <c r="J205" s="95"/>
      <c r="L205" s="101" t="s">
        <v>3858</v>
      </c>
      <c r="M205" s="101" t="s">
        <v>3640</v>
      </c>
    </row>
    <row r="206">
      <c r="A206" s="95"/>
      <c r="B206" s="96"/>
      <c r="C206" s="95"/>
      <c r="D206" s="102"/>
      <c r="E206" s="95"/>
      <c r="F206" s="99"/>
      <c r="G206" s="99"/>
      <c r="H206" s="95"/>
      <c r="I206" s="95"/>
      <c r="J206" s="95"/>
      <c r="L206" s="101" t="s">
        <v>3859</v>
      </c>
      <c r="M206" s="101" t="s">
        <v>3763</v>
      </c>
    </row>
    <row r="207">
      <c r="A207" s="95"/>
      <c r="B207" s="96"/>
      <c r="C207" s="95"/>
      <c r="D207" s="102"/>
      <c r="E207" s="95"/>
      <c r="F207" s="99"/>
      <c r="G207" s="99"/>
      <c r="H207" s="95"/>
      <c r="I207" s="95"/>
      <c r="J207" s="95"/>
      <c r="L207" s="101" t="s">
        <v>3860</v>
      </c>
      <c r="M207" s="101" t="s">
        <v>3640</v>
      </c>
    </row>
    <row r="208">
      <c r="A208" s="95"/>
      <c r="B208" s="96"/>
      <c r="C208" s="95"/>
      <c r="D208" s="102"/>
      <c r="E208" s="95"/>
      <c r="F208" s="99"/>
      <c r="G208" s="99"/>
      <c r="H208" s="95"/>
      <c r="I208" s="95"/>
      <c r="J208" s="95"/>
      <c r="L208" s="101" t="s">
        <v>3861</v>
      </c>
      <c r="M208" s="101" t="s">
        <v>3862</v>
      </c>
    </row>
    <row r="209">
      <c r="A209" s="95"/>
      <c r="B209" s="96"/>
      <c r="C209" s="95"/>
      <c r="D209" s="102"/>
      <c r="E209" s="95"/>
      <c r="F209" s="99"/>
      <c r="G209" s="99"/>
      <c r="H209" s="95"/>
      <c r="I209" s="95"/>
      <c r="J209" s="95"/>
      <c r="L209" s="101" t="s">
        <v>3863</v>
      </c>
      <c r="M209" s="101" t="s">
        <v>3864</v>
      </c>
    </row>
    <row r="210">
      <c r="A210" s="95"/>
      <c r="B210" s="96"/>
      <c r="C210" s="95"/>
      <c r="D210" s="102"/>
      <c r="E210" s="95"/>
      <c r="F210" s="99"/>
      <c r="G210" s="99"/>
      <c r="H210" s="95"/>
      <c r="I210" s="95"/>
      <c r="J210" s="95"/>
      <c r="L210" s="101" t="s">
        <v>3865</v>
      </c>
      <c r="M210" s="101" t="s">
        <v>3658</v>
      </c>
    </row>
    <row r="211">
      <c r="A211" s="95"/>
      <c r="B211" s="96"/>
      <c r="C211" s="95"/>
      <c r="D211" s="102"/>
      <c r="E211" s="95"/>
      <c r="F211" s="99"/>
      <c r="G211" s="99"/>
      <c r="H211" s="95"/>
      <c r="I211" s="95"/>
      <c r="J211" s="95"/>
      <c r="L211" s="101" t="s">
        <v>3866</v>
      </c>
      <c r="M211" s="101" t="s">
        <v>3658</v>
      </c>
    </row>
    <row r="212">
      <c r="A212" s="95"/>
      <c r="B212" s="96"/>
      <c r="C212" s="95"/>
      <c r="D212" s="102"/>
      <c r="E212" s="95"/>
      <c r="F212" s="99"/>
      <c r="G212" s="99"/>
      <c r="H212" s="95"/>
      <c r="I212" s="95"/>
      <c r="J212" s="95"/>
      <c r="L212" s="101" t="s">
        <v>3867</v>
      </c>
      <c r="M212" s="101" t="s">
        <v>922</v>
      </c>
    </row>
    <row r="213">
      <c r="A213" s="95"/>
      <c r="B213" s="96"/>
      <c r="C213" s="95"/>
      <c r="D213" s="102"/>
      <c r="E213" s="95"/>
      <c r="F213" s="99"/>
      <c r="G213" s="99"/>
      <c r="H213" s="95"/>
      <c r="I213" s="95"/>
      <c r="J213" s="95"/>
      <c r="L213" s="101" t="s">
        <v>3868</v>
      </c>
      <c r="M213" s="101" t="s">
        <v>3654</v>
      </c>
    </row>
    <row r="214">
      <c r="A214" s="95"/>
      <c r="B214" s="96"/>
      <c r="C214" s="95"/>
      <c r="D214" s="102"/>
      <c r="E214" s="95"/>
      <c r="F214" s="99"/>
      <c r="G214" s="99"/>
      <c r="H214" s="95"/>
      <c r="I214" s="95"/>
      <c r="J214" s="95"/>
      <c r="L214" s="101" t="s">
        <v>3869</v>
      </c>
      <c r="M214" s="101" t="s">
        <v>3647</v>
      </c>
    </row>
    <row r="215">
      <c r="A215" s="95"/>
      <c r="B215" s="96"/>
      <c r="C215" s="95"/>
      <c r="D215" s="102"/>
      <c r="E215" s="95"/>
      <c r="F215" s="99"/>
      <c r="G215" s="99"/>
      <c r="H215" s="95"/>
      <c r="I215" s="95"/>
      <c r="J215" s="95"/>
      <c r="L215" s="101" t="s">
        <v>3870</v>
      </c>
      <c r="M215" s="101" t="s">
        <v>3813</v>
      </c>
    </row>
    <row r="216">
      <c r="A216" s="95"/>
      <c r="B216" s="96"/>
      <c r="C216" s="95"/>
      <c r="D216" s="102"/>
      <c r="E216" s="95"/>
      <c r="F216" s="99"/>
      <c r="G216" s="99"/>
      <c r="H216" s="95"/>
      <c r="I216" s="95"/>
      <c r="J216" s="95"/>
      <c r="L216" s="101" t="s">
        <v>3871</v>
      </c>
      <c r="M216" s="101" t="s">
        <v>3658</v>
      </c>
    </row>
    <row r="217">
      <c r="A217" s="95"/>
      <c r="B217" s="96"/>
      <c r="C217" s="95"/>
      <c r="D217" s="102"/>
      <c r="E217" s="95"/>
      <c r="F217" s="99"/>
      <c r="G217" s="99"/>
      <c r="H217" s="95"/>
      <c r="I217" s="95"/>
      <c r="J217" s="95"/>
      <c r="L217" s="101" t="s">
        <v>3872</v>
      </c>
      <c r="M217" s="101" t="s">
        <v>3645</v>
      </c>
    </row>
    <row r="218">
      <c r="A218" s="95"/>
      <c r="B218" s="96"/>
      <c r="C218" s="95"/>
      <c r="D218" s="102"/>
      <c r="E218" s="95"/>
      <c r="F218" s="99"/>
      <c r="G218" s="99"/>
      <c r="H218" s="95"/>
      <c r="I218" s="95"/>
      <c r="J218" s="95"/>
      <c r="L218" s="101" t="s">
        <v>3873</v>
      </c>
      <c r="M218" s="101" t="s">
        <v>2601</v>
      </c>
    </row>
    <row r="219">
      <c r="A219" s="95"/>
      <c r="B219" s="96"/>
      <c r="C219" s="95"/>
      <c r="D219" s="102"/>
      <c r="E219" s="95"/>
      <c r="F219" s="99"/>
      <c r="G219" s="99"/>
      <c r="H219" s="95"/>
      <c r="I219" s="95"/>
      <c r="J219" s="95"/>
      <c r="L219" s="101" t="s">
        <v>55</v>
      </c>
      <c r="M219" s="101" t="s">
        <v>3874</v>
      </c>
    </row>
    <row r="220">
      <c r="A220" s="95"/>
      <c r="B220" s="96"/>
      <c r="C220" s="95"/>
      <c r="D220" s="102"/>
      <c r="E220" s="95"/>
      <c r="F220" s="99"/>
      <c r="G220" s="99"/>
      <c r="H220" s="95"/>
      <c r="I220" s="95"/>
      <c r="J220" s="95"/>
      <c r="L220" s="101" t="s">
        <v>3875</v>
      </c>
      <c r="M220" s="101" t="s">
        <v>1144</v>
      </c>
    </row>
    <row r="221">
      <c r="A221" s="95"/>
      <c r="B221" s="96"/>
      <c r="C221" s="95"/>
      <c r="D221" s="102"/>
      <c r="E221" s="95"/>
      <c r="F221" s="99"/>
      <c r="G221" s="99"/>
      <c r="H221" s="95"/>
      <c r="I221" s="95"/>
      <c r="J221" s="95"/>
      <c r="L221" s="101" t="s">
        <v>3876</v>
      </c>
      <c r="M221" s="101" t="s">
        <v>3647</v>
      </c>
    </row>
    <row r="222">
      <c r="A222" s="95"/>
      <c r="B222" s="96"/>
      <c r="C222" s="95"/>
      <c r="D222" s="102"/>
      <c r="E222" s="95"/>
      <c r="F222" s="99"/>
      <c r="G222" s="99"/>
      <c r="H222" s="95"/>
      <c r="I222" s="95"/>
      <c r="J222" s="95"/>
      <c r="L222" s="101" t="s">
        <v>3877</v>
      </c>
      <c r="M222" s="101" t="s">
        <v>3720</v>
      </c>
    </row>
    <row r="223">
      <c r="A223" s="95"/>
      <c r="B223" s="96"/>
      <c r="C223" s="95"/>
      <c r="D223" s="102"/>
      <c r="E223" s="95"/>
      <c r="F223" s="99"/>
      <c r="G223" s="99"/>
      <c r="H223" s="95"/>
      <c r="I223" s="95"/>
      <c r="J223" s="95"/>
      <c r="L223" s="101" t="s">
        <v>3878</v>
      </c>
      <c r="M223" s="101" t="s">
        <v>3658</v>
      </c>
    </row>
    <row r="224">
      <c r="A224" s="95"/>
      <c r="B224" s="96"/>
      <c r="C224" s="95"/>
      <c r="D224" s="102"/>
      <c r="E224" s="95"/>
      <c r="F224" s="99"/>
      <c r="G224" s="99"/>
      <c r="H224" s="95"/>
      <c r="I224" s="95"/>
      <c r="J224" s="95"/>
      <c r="L224" s="101" t="s">
        <v>3879</v>
      </c>
      <c r="M224" s="101" t="s">
        <v>3640</v>
      </c>
    </row>
    <row r="225">
      <c r="A225" s="95"/>
      <c r="B225" s="96"/>
      <c r="C225" s="95"/>
      <c r="D225" s="102"/>
      <c r="E225" s="95"/>
      <c r="F225" s="99"/>
      <c r="G225" s="99"/>
      <c r="H225" s="95"/>
      <c r="I225" s="95"/>
      <c r="J225" s="95"/>
      <c r="L225" s="101" t="s">
        <v>3880</v>
      </c>
      <c r="M225" s="101" t="s">
        <v>3720</v>
      </c>
    </row>
    <row r="226">
      <c r="A226" s="95"/>
      <c r="B226" s="96"/>
      <c r="C226" s="95"/>
      <c r="D226" s="102"/>
      <c r="E226" s="95"/>
      <c r="F226" s="99"/>
      <c r="G226" s="99"/>
      <c r="H226" s="95"/>
      <c r="I226" s="95"/>
      <c r="J226" s="95"/>
      <c r="L226" s="101" t="s">
        <v>3881</v>
      </c>
      <c r="M226" s="101" t="s">
        <v>3647</v>
      </c>
    </row>
    <row r="227">
      <c r="A227" s="95"/>
      <c r="B227" s="96"/>
      <c r="C227" s="95"/>
      <c r="D227" s="102"/>
      <c r="E227" s="95"/>
      <c r="F227" s="99"/>
      <c r="G227" s="99"/>
      <c r="H227" s="95"/>
      <c r="I227" s="95"/>
      <c r="J227" s="95"/>
      <c r="L227" s="101" t="s">
        <v>3882</v>
      </c>
      <c r="M227" s="101" t="s">
        <v>3804</v>
      </c>
    </row>
    <row r="228">
      <c r="A228" s="95"/>
      <c r="B228" s="96"/>
      <c r="C228" s="95"/>
      <c r="D228" s="102"/>
      <c r="E228" s="95"/>
      <c r="F228" s="99"/>
      <c r="G228" s="99"/>
      <c r="H228" s="95"/>
      <c r="I228" s="95"/>
      <c r="J228" s="95"/>
      <c r="L228" s="101" t="s">
        <v>3883</v>
      </c>
      <c r="M228" s="101" t="s">
        <v>3647</v>
      </c>
    </row>
    <row r="229">
      <c r="A229" s="95"/>
      <c r="B229" s="96"/>
      <c r="C229" s="95"/>
      <c r="D229" s="102"/>
      <c r="E229" s="95"/>
      <c r="F229" s="99"/>
      <c r="G229" s="99"/>
      <c r="H229" s="95"/>
      <c r="I229" s="95"/>
      <c r="J229" s="95"/>
      <c r="L229" s="101" t="s">
        <v>3884</v>
      </c>
      <c r="M229" s="101" t="s">
        <v>3660</v>
      </c>
    </row>
    <row r="230">
      <c r="A230" s="95"/>
      <c r="B230" s="96"/>
      <c r="C230" s="95"/>
      <c r="D230" s="102"/>
      <c r="E230" s="95"/>
      <c r="F230" s="99"/>
      <c r="G230" s="99"/>
      <c r="H230" s="95"/>
      <c r="I230" s="95"/>
      <c r="J230" s="95"/>
      <c r="L230" s="101" t="s">
        <v>3885</v>
      </c>
      <c r="M230" s="101" t="s">
        <v>3649</v>
      </c>
    </row>
    <row r="231">
      <c r="A231" s="95"/>
      <c r="B231" s="96"/>
      <c r="C231" s="95"/>
      <c r="D231" s="102"/>
      <c r="E231" s="95"/>
      <c r="F231" s="99"/>
      <c r="G231" s="99"/>
      <c r="H231" s="95"/>
      <c r="I231" s="95"/>
      <c r="J231" s="95"/>
      <c r="L231" s="101" t="s">
        <v>3886</v>
      </c>
      <c r="M231" s="101" t="s">
        <v>3640</v>
      </c>
    </row>
    <row r="232">
      <c r="A232" s="95"/>
      <c r="B232" s="96"/>
      <c r="C232" s="95"/>
      <c r="D232" s="102"/>
      <c r="E232" s="95"/>
      <c r="F232" s="99"/>
      <c r="G232" s="99"/>
      <c r="H232" s="95"/>
      <c r="I232" s="95"/>
      <c r="J232" s="95"/>
      <c r="L232" s="101" t="s">
        <v>3887</v>
      </c>
      <c r="M232" s="101" t="s">
        <v>3654</v>
      </c>
    </row>
    <row r="233">
      <c r="A233" s="95"/>
      <c r="B233" s="96"/>
      <c r="C233" s="95"/>
      <c r="D233" s="102"/>
      <c r="E233" s="95"/>
      <c r="F233" s="99"/>
      <c r="G233" s="99"/>
      <c r="H233" s="95"/>
      <c r="I233" s="95"/>
      <c r="J233" s="95"/>
      <c r="L233" s="101" t="s">
        <v>3888</v>
      </c>
      <c r="M233" s="101" t="s">
        <v>752</v>
      </c>
    </row>
    <row r="234">
      <c r="A234" s="95"/>
      <c r="B234" s="96"/>
      <c r="C234" s="95"/>
      <c r="D234" s="102"/>
      <c r="E234" s="95"/>
      <c r="F234" s="99"/>
      <c r="G234" s="99"/>
      <c r="H234" s="95"/>
      <c r="I234" s="95"/>
      <c r="J234" s="95"/>
      <c r="L234" s="101" t="s">
        <v>3889</v>
      </c>
      <c r="M234" s="101" t="s">
        <v>522</v>
      </c>
    </row>
    <row r="235">
      <c r="A235" s="95"/>
      <c r="B235" s="96"/>
      <c r="C235" s="95"/>
      <c r="D235" s="102"/>
      <c r="E235" s="95"/>
      <c r="F235" s="99"/>
      <c r="G235" s="99"/>
      <c r="H235" s="95"/>
      <c r="I235" s="95"/>
      <c r="J235" s="95"/>
      <c r="L235" s="101" t="s">
        <v>3890</v>
      </c>
      <c r="M235" s="101" t="s">
        <v>3647</v>
      </c>
    </row>
    <row r="236">
      <c r="A236" s="95"/>
      <c r="B236" s="96"/>
      <c r="C236" s="95"/>
      <c r="D236" s="102"/>
      <c r="E236" s="95"/>
      <c r="F236" s="99"/>
      <c r="G236" s="99"/>
      <c r="H236" s="95"/>
      <c r="I236" s="95"/>
      <c r="J236" s="95"/>
      <c r="L236" s="101" t="s">
        <v>3891</v>
      </c>
      <c r="M236" s="101" t="s">
        <v>3658</v>
      </c>
    </row>
    <row r="237">
      <c r="A237" s="95"/>
      <c r="B237" s="96"/>
      <c r="C237" s="95"/>
      <c r="D237" s="102"/>
      <c r="E237" s="95"/>
      <c r="F237" s="99"/>
      <c r="G237" s="99"/>
      <c r="H237" s="95"/>
      <c r="I237" s="95"/>
      <c r="J237" s="95"/>
      <c r="L237" s="101" t="s">
        <v>3892</v>
      </c>
      <c r="M237" s="101" t="s">
        <v>3647</v>
      </c>
    </row>
    <row r="238">
      <c r="A238" s="95"/>
      <c r="B238" s="96"/>
      <c r="C238" s="95"/>
      <c r="D238" s="102"/>
      <c r="E238" s="95"/>
      <c r="F238" s="99"/>
      <c r="G238" s="99"/>
      <c r="H238" s="95"/>
      <c r="I238" s="95"/>
      <c r="J238" s="95"/>
      <c r="L238" s="101" t="s">
        <v>3893</v>
      </c>
      <c r="M238" s="101" t="s">
        <v>3658</v>
      </c>
    </row>
    <row r="239">
      <c r="A239" s="95"/>
      <c r="B239" s="96"/>
      <c r="C239" s="95"/>
      <c r="D239" s="102"/>
      <c r="E239" s="95"/>
      <c r="F239" s="99"/>
      <c r="G239" s="99"/>
      <c r="H239" s="95"/>
      <c r="I239" s="95"/>
      <c r="J239" s="95"/>
      <c r="L239" s="101" t="s">
        <v>3894</v>
      </c>
      <c r="M239" s="101" t="s">
        <v>3895</v>
      </c>
    </row>
    <row r="240">
      <c r="A240" s="95"/>
      <c r="B240" s="96"/>
      <c r="C240" s="95"/>
      <c r="D240" s="102"/>
      <c r="E240" s="95"/>
      <c r="F240" s="99"/>
      <c r="G240" s="99"/>
      <c r="H240" s="95"/>
      <c r="I240" s="95"/>
      <c r="J240" s="95"/>
      <c r="L240" s="101" t="s">
        <v>3896</v>
      </c>
      <c r="M240" s="101" t="s">
        <v>3660</v>
      </c>
    </row>
    <row r="241">
      <c r="A241" s="95"/>
      <c r="B241" s="96"/>
      <c r="C241" s="95"/>
      <c r="D241" s="102"/>
      <c r="E241" s="95"/>
      <c r="F241" s="99"/>
      <c r="G241" s="99"/>
      <c r="H241" s="95"/>
      <c r="I241" s="95"/>
      <c r="J241" s="95"/>
      <c r="L241" s="101" t="s">
        <v>3897</v>
      </c>
      <c r="M241" s="101" t="s">
        <v>3640</v>
      </c>
    </row>
    <row r="242">
      <c r="A242" s="95"/>
      <c r="B242" s="96"/>
      <c r="C242" s="95"/>
      <c r="D242" s="102"/>
      <c r="E242" s="95"/>
      <c r="F242" s="99"/>
      <c r="G242" s="99"/>
      <c r="H242" s="95"/>
      <c r="I242" s="95"/>
      <c r="J242" s="95"/>
      <c r="L242" s="101" t="s">
        <v>3898</v>
      </c>
      <c r="M242" s="101" t="s">
        <v>3647</v>
      </c>
    </row>
    <row r="243">
      <c r="A243" s="95"/>
      <c r="B243" s="96"/>
      <c r="C243" s="95"/>
      <c r="D243" s="102"/>
      <c r="E243" s="95"/>
      <c r="F243" s="99"/>
      <c r="G243" s="99"/>
      <c r="H243" s="95"/>
      <c r="I243" s="95"/>
      <c r="J243" s="95"/>
      <c r="L243" s="101" t="s">
        <v>3899</v>
      </c>
      <c r="M243" s="101" t="s">
        <v>3658</v>
      </c>
    </row>
    <row r="244">
      <c r="A244" s="95"/>
      <c r="B244" s="96"/>
      <c r="C244" s="95"/>
      <c r="D244" s="102"/>
      <c r="E244" s="95"/>
      <c r="F244" s="99"/>
      <c r="G244" s="99"/>
      <c r="H244" s="95"/>
      <c r="I244" s="95"/>
      <c r="J244" s="95"/>
      <c r="L244" s="101" t="s">
        <v>3900</v>
      </c>
      <c r="M244" s="101" t="s">
        <v>3800</v>
      </c>
    </row>
    <row r="245">
      <c r="A245" s="95"/>
      <c r="B245" s="96"/>
      <c r="C245" s="95"/>
      <c r="D245" s="102"/>
      <c r="E245" s="95"/>
      <c r="F245" s="99"/>
      <c r="G245" s="99"/>
      <c r="H245" s="95"/>
      <c r="I245" s="95"/>
      <c r="J245" s="95"/>
      <c r="L245" s="101" t="s">
        <v>3901</v>
      </c>
      <c r="M245" s="101" t="s">
        <v>1144</v>
      </c>
    </row>
    <row r="246">
      <c r="A246" s="95"/>
      <c r="B246" s="96"/>
      <c r="C246" s="95"/>
      <c r="D246" s="102"/>
      <c r="E246" s="95"/>
      <c r="F246" s="99"/>
      <c r="G246" s="99"/>
      <c r="H246" s="95"/>
      <c r="I246" s="95"/>
      <c r="J246" s="95"/>
      <c r="L246" s="101" t="s">
        <v>3902</v>
      </c>
      <c r="M246" s="101" t="s">
        <v>3640</v>
      </c>
    </row>
    <row r="247">
      <c r="A247" s="95"/>
      <c r="B247" s="96"/>
      <c r="C247" s="95"/>
      <c r="D247" s="102"/>
      <c r="E247" s="95"/>
      <c r="F247" s="99"/>
      <c r="G247" s="99"/>
      <c r="H247" s="95"/>
      <c r="I247" s="95"/>
      <c r="J247" s="95"/>
      <c r="L247" s="101" t="s">
        <v>3903</v>
      </c>
      <c r="M247" s="101" t="s">
        <v>3660</v>
      </c>
    </row>
    <row r="248">
      <c r="A248" s="95"/>
      <c r="B248" s="96"/>
      <c r="C248" s="95"/>
      <c r="D248" s="102"/>
      <c r="E248" s="95"/>
      <c r="F248" s="99"/>
      <c r="G248" s="99"/>
      <c r="H248" s="95"/>
      <c r="I248" s="95"/>
      <c r="J248" s="95"/>
      <c r="L248" s="101" t="s">
        <v>3904</v>
      </c>
      <c r="M248" s="101" t="s">
        <v>3676</v>
      </c>
    </row>
    <row r="249">
      <c r="A249" s="95"/>
      <c r="B249" s="96"/>
      <c r="C249" s="95"/>
      <c r="D249" s="102"/>
      <c r="E249" s="95"/>
      <c r="F249" s="99"/>
      <c r="G249" s="99"/>
      <c r="H249" s="95"/>
      <c r="I249" s="95"/>
      <c r="J249" s="95"/>
      <c r="L249" s="101" t="s">
        <v>3905</v>
      </c>
      <c r="M249" s="101" t="s">
        <v>3640</v>
      </c>
    </row>
    <row r="250">
      <c r="A250" s="95"/>
      <c r="B250" s="96"/>
      <c r="C250" s="95"/>
      <c r="D250" s="102"/>
      <c r="E250" s="95"/>
      <c r="F250" s="99"/>
      <c r="G250" s="99"/>
      <c r="H250" s="95"/>
      <c r="I250" s="95"/>
      <c r="J250" s="95"/>
      <c r="L250" s="101" t="s">
        <v>3906</v>
      </c>
      <c r="M250" s="101" t="s">
        <v>3647</v>
      </c>
    </row>
    <row r="251">
      <c r="A251" s="95"/>
      <c r="B251" s="96"/>
      <c r="C251" s="95"/>
      <c r="D251" s="102"/>
      <c r="E251" s="95"/>
      <c r="F251" s="99"/>
      <c r="G251" s="99"/>
      <c r="H251" s="95"/>
      <c r="I251" s="95"/>
      <c r="J251" s="95"/>
      <c r="L251" s="101" t="s">
        <v>3907</v>
      </c>
      <c r="M251" s="101" t="s">
        <v>3647</v>
      </c>
    </row>
    <row r="252">
      <c r="A252" s="95"/>
      <c r="B252" s="96"/>
      <c r="C252" s="95"/>
      <c r="D252" s="102"/>
      <c r="E252" s="95"/>
      <c r="F252" s="99"/>
      <c r="G252" s="99"/>
      <c r="H252" s="95"/>
      <c r="I252" s="95"/>
      <c r="J252" s="95"/>
      <c r="L252" s="101" t="s">
        <v>3908</v>
      </c>
      <c r="M252" s="101" t="s">
        <v>3647</v>
      </c>
    </row>
    <row r="253">
      <c r="A253" s="95"/>
      <c r="B253" s="96"/>
      <c r="C253" s="95"/>
      <c r="D253" s="102"/>
      <c r="E253" s="95"/>
      <c r="F253" s="99"/>
      <c r="G253" s="99"/>
      <c r="H253" s="95"/>
      <c r="I253" s="95"/>
      <c r="J253" s="95"/>
      <c r="L253" s="101" t="s">
        <v>3909</v>
      </c>
      <c r="M253" s="101" t="s">
        <v>3654</v>
      </c>
    </row>
    <row r="254">
      <c r="A254" s="95"/>
      <c r="B254" s="96"/>
      <c r="C254" s="95"/>
      <c r="D254" s="102"/>
      <c r="E254" s="95"/>
      <c r="F254" s="99"/>
      <c r="G254" s="99"/>
      <c r="H254" s="95"/>
      <c r="I254" s="95"/>
      <c r="J254" s="95"/>
      <c r="L254" s="101" t="s">
        <v>3910</v>
      </c>
      <c r="M254" s="101" t="s">
        <v>3640</v>
      </c>
    </row>
    <row r="255">
      <c r="A255" s="95"/>
      <c r="B255" s="96"/>
      <c r="C255" s="95"/>
      <c r="D255" s="102"/>
      <c r="E255" s="95"/>
      <c r="F255" s="99"/>
      <c r="G255" s="99"/>
      <c r="H255" s="95"/>
      <c r="I255" s="95"/>
      <c r="J255" s="95"/>
      <c r="L255" s="101" t="s">
        <v>3911</v>
      </c>
      <c r="M255" s="101" t="s">
        <v>3658</v>
      </c>
    </row>
    <row r="256">
      <c r="A256" s="95"/>
      <c r="B256" s="96"/>
      <c r="C256" s="95"/>
      <c r="D256" s="102"/>
      <c r="E256" s="95"/>
      <c r="F256" s="99"/>
      <c r="G256" s="99"/>
      <c r="H256" s="95"/>
      <c r="I256" s="95"/>
      <c r="J256" s="95"/>
      <c r="L256" s="101" t="s">
        <v>3912</v>
      </c>
      <c r="M256" s="101" t="s">
        <v>3654</v>
      </c>
    </row>
    <row r="257">
      <c r="A257" s="95"/>
      <c r="B257" s="96"/>
      <c r="C257" s="95"/>
      <c r="D257" s="102"/>
      <c r="E257" s="95"/>
      <c r="F257" s="99"/>
      <c r="G257" s="99"/>
      <c r="H257" s="95"/>
      <c r="I257" s="95"/>
      <c r="J257" s="95"/>
      <c r="L257" s="101" t="s">
        <v>3913</v>
      </c>
      <c r="M257" s="101" t="s">
        <v>3660</v>
      </c>
    </row>
    <row r="258">
      <c r="A258" s="95"/>
      <c r="B258" s="96"/>
      <c r="C258" s="95"/>
      <c r="D258" s="102"/>
      <c r="E258" s="95"/>
      <c r="F258" s="99"/>
      <c r="G258" s="99"/>
      <c r="H258" s="95"/>
      <c r="I258" s="95"/>
      <c r="J258" s="95"/>
      <c r="L258" s="101" t="s">
        <v>56</v>
      </c>
      <c r="M258" s="101" t="s">
        <v>3654</v>
      </c>
    </row>
    <row r="259">
      <c r="A259" s="95"/>
      <c r="B259" s="96"/>
      <c r="C259" s="95"/>
      <c r="D259" s="102"/>
      <c r="E259" s="95"/>
      <c r="F259" s="99"/>
      <c r="G259" s="99"/>
      <c r="H259" s="95"/>
      <c r="I259" s="95"/>
      <c r="J259" s="95"/>
      <c r="L259" s="101" t="s">
        <v>3914</v>
      </c>
      <c r="M259" s="101" t="s">
        <v>3658</v>
      </c>
    </row>
    <row r="260">
      <c r="A260" s="95"/>
      <c r="B260" s="96"/>
      <c r="C260" s="95"/>
      <c r="D260" s="102"/>
      <c r="E260" s="95"/>
      <c r="F260" s="99"/>
      <c r="G260" s="99"/>
      <c r="H260" s="95"/>
      <c r="I260" s="95"/>
      <c r="J260" s="95"/>
      <c r="L260" s="101" t="s">
        <v>3915</v>
      </c>
      <c r="M260" s="101" t="s">
        <v>3660</v>
      </c>
    </row>
    <row r="261">
      <c r="A261" s="95"/>
      <c r="B261" s="96"/>
      <c r="C261" s="95"/>
      <c r="D261" s="102"/>
      <c r="E261" s="95"/>
      <c r="F261" s="99"/>
      <c r="G261" s="99"/>
      <c r="H261" s="95"/>
      <c r="I261" s="95"/>
      <c r="J261" s="95"/>
      <c r="L261" s="101" t="s">
        <v>3916</v>
      </c>
      <c r="M261" s="101" t="s">
        <v>3645</v>
      </c>
    </row>
    <row r="262">
      <c r="A262" s="95"/>
      <c r="B262" s="96"/>
      <c r="C262" s="95"/>
      <c r="D262" s="102"/>
      <c r="E262" s="95"/>
      <c r="F262" s="99"/>
      <c r="G262" s="99"/>
      <c r="H262" s="95"/>
      <c r="I262" s="95"/>
      <c r="J262" s="95"/>
      <c r="L262" s="101" t="s">
        <v>3917</v>
      </c>
      <c r="M262" s="101" t="s">
        <v>3647</v>
      </c>
    </row>
    <row r="263">
      <c r="A263" s="95"/>
      <c r="B263" s="96"/>
      <c r="C263" s="95"/>
      <c r="D263" s="102"/>
      <c r="E263" s="95"/>
      <c r="F263" s="99"/>
      <c r="G263" s="99"/>
      <c r="H263" s="95"/>
      <c r="I263" s="95"/>
      <c r="J263" s="95"/>
      <c r="L263" s="101" t="s">
        <v>3918</v>
      </c>
      <c r="M263" s="101" t="s">
        <v>3640</v>
      </c>
    </row>
    <row r="264">
      <c r="A264" s="95"/>
      <c r="B264" s="96"/>
      <c r="C264" s="95"/>
      <c r="D264" s="102"/>
      <c r="E264" s="95"/>
      <c r="F264" s="99"/>
      <c r="G264" s="99"/>
      <c r="H264" s="95"/>
      <c r="I264" s="95"/>
      <c r="J264" s="95"/>
      <c r="L264" s="101" t="s">
        <v>3919</v>
      </c>
      <c r="M264" s="101" t="s">
        <v>3660</v>
      </c>
    </row>
    <row r="265">
      <c r="A265" s="95"/>
      <c r="B265" s="96"/>
      <c r="C265" s="95"/>
      <c r="D265" s="102"/>
      <c r="E265" s="95"/>
      <c r="F265" s="99"/>
      <c r="G265" s="99"/>
      <c r="H265" s="95"/>
      <c r="I265" s="95"/>
      <c r="J265" s="95"/>
      <c r="L265" s="101" t="s">
        <v>3920</v>
      </c>
      <c r="M265" s="101" t="s">
        <v>3640</v>
      </c>
    </row>
    <row r="266">
      <c r="A266" s="95"/>
      <c r="B266" s="96"/>
      <c r="C266" s="95"/>
      <c r="D266" s="102"/>
      <c r="E266" s="95"/>
      <c r="F266" s="99"/>
      <c r="G266" s="99"/>
      <c r="H266" s="95"/>
      <c r="I266" s="95"/>
      <c r="J266" s="95"/>
      <c r="L266" s="101" t="s">
        <v>3921</v>
      </c>
      <c r="M266" s="101" t="s">
        <v>3922</v>
      </c>
    </row>
  </sheetData>
  <mergeCells count="4">
    <mergeCell ref="A1:B1"/>
    <mergeCell ref="C1:D1"/>
    <mergeCell ref="E1:G1"/>
    <mergeCell ref="L1:M1"/>
  </mergeCells>
  <hyperlinks>
    <hyperlink r:id="rId1" ref="G3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78.75"/>
    <col customWidth="1" min="3" max="3" width="16.0"/>
    <col customWidth="1" min="4" max="4" width="45.5"/>
    <col customWidth="1" min="5" max="5" width="31.13"/>
  </cols>
  <sheetData>
    <row r="1">
      <c r="A1" s="90" t="s">
        <v>3923</v>
      </c>
      <c r="B1" s="89"/>
      <c r="C1" s="89"/>
      <c r="D1" s="89"/>
      <c r="E1" s="89"/>
    </row>
    <row r="2">
      <c r="A2" s="93" t="s">
        <v>14</v>
      </c>
      <c r="B2" s="91" t="s">
        <v>3924</v>
      </c>
      <c r="C2" s="91" t="s">
        <v>3925</v>
      </c>
      <c r="D2" s="91" t="s">
        <v>3924</v>
      </c>
      <c r="E2" s="91" t="s">
        <v>3926</v>
      </c>
    </row>
    <row r="3" ht="23.25" customHeight="1">
      <c r="A3" s="97" t="s">
        <v>3927</v>
      </c>
      <c r="B3" s="103" t="s">
        <v>3928</v>
      </c>
      <c r="C3" s="95" t="s">
        <v>3929</v>
      </c>
      <c r="D3" s="99" t="s">
        <v>3930</v>
      </c>
      <c r="E3" s="99" t="s">
        <v>3931</v>
      </c>
    </row>
    <row r="4">
      <c r="A4" s="97" t="s">
        <v>3932</v>
      </c>
      <c r="B4" s="103" t="s">
        <v>3933</v>
      </c>
      <c r="C4" s="95"/>
      <c r="D4" s="99" t="s">
        <v>3934</v>
      </c>
      <c r="E4" s="99" t="s">
        <v>3935</v>
      </c>
    </row>
    <row r="5">
      <c r="A5" s="97" t="s">
        <v>3936</v>
      </c>
      <c r="B5" s="104" t="s">
        <v>3937</v>
      </c>
      <c r="C5" s="95"/>
      <c r="D5" s="99" t="s">
        <v>3938</v>
      </c>
      <c r="E5" s="99"/>
    </row>
    <row r="6">
      <c r="A6" s="97" t="s">
        <v>67</v>
      </c>
      <c r="B6" s="104" t="s">
        <v>3939</v>
      </c>
      <c r="C6" s="95"/>
      <c r="D6" s="99" t="s">
        <v>3938</v>
      </c>
      <c r="E6" s="99"/>
    </row>
    <row r="7">
      <c r="A7" s="97" t="s">
        <v>67</v>
      </c>
      <c r="B7" s="104" t="s">
        <v>3940</v>
      </c>
      <c r="C7" s="95"/>
      <c r="D7" s="99" t="s">
        <v>3938</v>
      </c>
      <c r="E7" s="99"/>
    </row>
    <row r="8">
      <c r="A8" s="97" t="s">
        <v>3941</v>
      </c>
      <c r="B8" s="104" t="s">
        <v>3942</v>
      </c>
      <c r="C8" s="95"/>
      <c r="D8" s="99" t="s">
        <v>3943</v>
      </c>
      <c r="E8" s="99"/>
    </row>
    <row r="9">
      <c r="A9" s="105"/>
    </row>
  </sheetData>
  <mergeCells count="1">
    <mergeCell ref="A1:E1"/>
  </mergeCells>
  <hyperlinks>
    <hyperlink r:id="rId1" ref="B3"/>
    <hyperlink r:id="rId2" ref="B4"/>
    <hyperlink r:id="rId3" ref="B5"/>
    <hyperlink r:id="rId4" ref="B6"/>
    <hyperlink r:id="rId5" ref="B7"/>
    <hyperlink r:id="rId6" ref="B8"/>
  </hyperlinks>
  <drawing r:id="rId7"/>
</worksheet>
</file>